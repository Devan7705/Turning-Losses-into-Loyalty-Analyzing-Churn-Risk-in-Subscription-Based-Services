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evanpatel/Documents/Standalone_Business_Case-Based Pratical/"/>
    </mc:Choice>
  </mc:AlternateContent>
  <xr:revisionPtr revIDLastSave="0" documentId="13_ncr:1_{EF3A4ACE-D911-D946-B6C4-A2F07FAE70AE}" xr6:coauthVersionLast="47" xr6:coauthVersionMax="47" xr10:uidLastSave="{00000000-0000-0000-0000-000000000000}"/>
  <bookViews>
    <workbookView xWindow="0" yWindow="660" windowWidth="29400" windowHeight="16980" activeTab="4" xr2:uid="{2E2C8CA2-923E-F242-AB1A-EA2E58940F74}"/>
  </bookViews>
  <sheets>
    <sheet name="Dashboard" sheetId="4" r:id="rId1"/>
    <sheet name="CustomerSubscriptions" sheetId="1" r:id="rId2"/>
    <sheet name="Pie" sheetId="3" r:id="rId3"/>
    <sheet name="BarData" sheetId="6" r:id="rId4"/>
    <sheet name="LineChart" sheetId="7" r:id="rId5"/>
  </sheets>
  <definedNames>
    <definedName name="ExternalData_1" localSheetId="3" hidden="1">BarData!$A$1:$D$4</definedName>
    <definedName name="ExternalData_1" localSheetId="2" hidden="1">Pie!$A$1:$C$7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" i="1"/>
  <c r="K9" i="4"/>
  <c r="G9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F4" i="3"/>
  <c r="F3" i="3"/>
  <c r="M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BE603-3D05-B84A-8A8F-FF671F20DE3F}" keepAlive="1" name="Query - ChurnedVsActive" description="Connection to the 'ChurnedVsActive' query in the workbook." type="5" refreshedVersion="8" background="1" saveData="1">
    <dbPr connection="Provider=Microsoft.Mashup.OleDb.1;Data Source=$Workbook$;Location=ChurnedVsActive;Extended Properties=&quot;&quot;" command="SELECT * FROM [ChurnedVsActive]"/>
  </connection>
  <connection id="2" xr16:uid="{A85012EE-B092-F041-B720-2CD1725832AF}" keepAlive="1" name="Query - ChurnRateByType" description="Connection to the 'ChurnRateByType' query in the workbook." type="5" refreshedVersion="8" background="1" saveData="1">
    <dbPr connection="Provider=Microsoft.Mashup.OleDb.1;Data Source=$Workbook$;Location=ChurnRateByType;Extended Properties=&quot;&quot;" command="SELECT * FROM [ChurnRateByType]"/>
  </connection>
</connections>
</file>

<file path=xl/sharedStrings.xml><?xml version="1.0" encoding="utf-8"?>
<sst xmlns="http://schemas.openxmlformats.org/spreadsheetml/2006/main" count="8080" uniqueCount="4042">
  <si>
    <t>CustomerID</t>
  </si>
  <si>
    <t>Name</t>
  </si>
  <si>
    <t>Age</t>
  </si>
  <si>
    <t>Gender</t>
  </si>
  <si>
    <t>SubscriptionType</t>
  </si>
  <si>
    <t>SubscriptionDate</t>
  </si>
  <si>
    <t>LastLoginDate</t>
  </si>
  <si>
    <t>TotalSessions</t>
  </si>
  <si>
    <t>FeedbackScore</t>
  </si>
  <si>
    <t>IsChurned</t>
  </si>
  <si>
    <t>CUST0001</t>
  </si>
  <si>
    <t>Lisa Sutton</t>
  </si>
  <si>
    <t>Female</t>
  </si>
  <si>
    <t>Yearly</t>
  </si>
  <si>
    <t>CUST0002</t>
  </si>
  <si>
    <t>Vanessa Smith</t>
  </si>
  <si>
    <t>Other</t>
  </si>
  <si>
    <t>Quarterly</t>
  </si>
  <si>
    <t>CUST0003</t>
  </si>
  <si>
    <t>Calvin Morrison</t>
  </si>
  <si>
    <t>Male</t>
  </si>
  <si>
    <t>Monthly</t>
  </si>
  <si>
    <t>CUST0004</t>
  </si>
  <si>
    <t>Nathan Sandoval</t>
  </si>
  <si>
    <t>CUST0005</t>
  </si>
  <si>
    <t>Rachel Moore</t>
  </si>
  <si>
    <t>CUST0006</t>
  </si>
  <si>
    <t>Melissa Cobb</t>
  </si>
  <si>
    <t>CUST0007</t>
  </si>
  <si>
    <t>Tracy Rios</t>
  </si>
  <si>
    <t>CUST0008</t>
  </si>
  <si>
    <t>Sarah Robinson</t>
  </si>
  <si>
    <t>CUST0009</t>
  </si>
  <si>
    <t>Marc Cochran</t>
  </si>
  <si>
    <t>CUST0010</t>
  </si>
  <si>
    <t>William Williams</t>
  </si>
  <si>
    <t>CUST0011</t>
  </si>
  <si>
    <t>Ellen Jones</t>
  </si>
  <si>
    <t>CUST0012</t>
  </si>
  <si>
    <t>Grace Peters</t>
  </si>
  <si>
    <t>CUST0013</t>
  </si>
  <si>
    <t>John Williams</t>
  </si>
  <si>
    <t>CUST0014</t>
  </si>
  <si>
    <t>Mark Walters</t>
  </si>
  <si>
    <t>CUST0015</t>
  </si>
  <si>
    <t>Shelly Reid</t>
  </si>
  <si>
    <t>CUST0016</t>
  </si>
  <si>
    <t>Michael Wilkerson</t>
  </si>
  <si>
    <t>CUST0017</t>
  </si>
  <si>
    <t>Kathryn Hooper</t>
  </si>
  <si>
    <t>CUST0018</t>
  </si>
  <si>
    <t>Margaret Luna</t>
  </si>
  <si>
    <t>CUST0019</t>
  </si>
  <si>
    <t>Eric Mcdaniel</t>
  </si>
  <si>
    <t>CUST0020</t>
  </si>
  <si>
    <t>Julia Williams</t>
  </si>
  <si>
    <t>CUST0021</t>
  </si>
  <si>
    <t>George Walker</t>
  </si>
  <si>
    <t>CUST0022</t>
  </si>
  <si>
    <t>Michael Morrow</t>
  </si>
  <si>
    <t>CUST0023</t>
  </si>
  <si>
    <t>Melinda Adams</t>
  </si>
  <si>
    <t>CUST0024</t>
  </si>
  <si>
    <t>Matthew Sellers Jr.</t>
  </si>
  <si>
    <t>CUST0025</t>
  </si>
  <si>
    <t>Robert Ortiz</t>
  </si>
  <si>
    <t>CUST0026</t>
  </si>
  <si>
    <t>Randy Reyes</t>
  </si>
  <si>
    <t>CUST0027</t>
  </si>
  <si>
    <t>Joe Jones</t>
  </si>
  <si>
    <t>CUST0028</t>
  </si>
  <si>
    <t>William Warren</t>
  </si>
  <si>
    <t>CUST0029</t>
  </si>
  <si>
    <t>Jason Thornton</t>
  </si>
  <si>
    <t>CUST0030</t>
  </si>
  <si>
    <t>Bill Washington MD</t>
  </si>
  <si>
    <t>CUST0031</t>
  </si>
  <si>
    <t>Arthur Barnes</t>
  </si>
  <si>
    <t>CUST0032</t>
  </si>
  <si>
    <t>Jesse Wilson</t>
  </si>
  <si>
    <t>CUST0033</t>
  </si>
  <si>
    <t>Kelly Callahan</t>
  </si>
  <si>
    <t>CUST0034</t>
  </si>
  <si>
    <t>Stacy Jones</t>
  </si>
  <si>
    <t>CUST0035</t>
  </si>
  <si>
    <t>Jane Reyes</t>
  </si>
  <si>
    <t>CUST0036</t>
  </si>
  <si>
    <t>David Rivera</t>
  </si>
  <si>
    <t>CUST0037</t>
  </si>
  <si>
    <t>Daniel Ellis</t>
  </si>
  <si>
    <t>CUST0038</t>
  </si>
  <si>
    <t>Natasha Yang</t>
  </si>
  <si>
    <t>CUST0039</t>
  </si>
  <si>
    <t>Heidi Burgess</t>
  </si>
  <si>
    <t>CUST0040</t>
  </si>
  <si>
    <t>Jessica Brown</t>
  </si>
  <si>
    <t>CUST0041</t>
  </si>
  <si>
    <t>Dawn Hayes</t>
  </si>
  <si>
    <t>CUST0042</t>
  </si>
  <si>
    <t>Rachel Armstrong</t>
  </si>
  <si>
    <t>CUST0043</t>
  </si>
  <si>
    <t>Randy Davidson</t>
  </si>
  <si>
    <t>CUST0044</t>
  </si>
  <si>
    <t>Nicholas Thompson</t>
  </si>
  <si>
    <t>CUST0045</t>
  </si>
  <si>
    <t>Donna Washington</t>
  </si>
  <si>
    <t>CUST0046</t>
  </si>
  <si>
    <t>Adrian Weaver</t>
  </si>
  <si>
    <t>CUST0047</t>
  </si>
  <si>
    <t>Marissa Hodges</t>
  </si>
  <si>
    <t>CUST0048</t>
  </si>
  <si>
    <t>Steven Martinez</t>
  </si>
  <si>
    <t>CUST0049</t>
  </si>
  <si>
    <t>Michael Guzman</t>
  </si>
  <si>
    <t>CUST0050</t>
  </si>
  <si>
    <t>Christopher Welch</t>
  </si>
  <si>
    <t>CUST0051</t>
  </si>
  <si>
    <t>Christina Baker</t>
  </si>
  <si>
    <t>CUST0052</t>
  </si>
  <si>
    <t>Eric Johns</t>
  </si>
  <si>
    <t>CUST0053</t>
  </si>
  <si>
    <t>Stephen Rodriguez</t>
  </si>
  <si>
    <t>CUST0054</t>
  </si>
  <si>
    <t>Kelly Powell</t>
  </si>
  <si>
    <t>CUST0055</t>
  </si>
  <si>
    <t>Angela King</t>
  </si>
  <si>
    <t>CUST0056</t>
  </si>
  <si>
    <t>Jacob Cain</t>
  </si>
  <si>
    <t>CUST0057</t>
  </si>
  <si>
    <t>Tracy Mccormick</t>
  </si>
  <si>
    <t>CUST0058</t>
  </si>
  <si>
    <t>Stephanie Sherman</t>
  </si>
  <si>
    <t>CUST0059</t>
  </si>
  <si>
    <t>Kenneth Bentley</t>
  </si>
  <si>
    <t>CUST0060</t>
  </si>
  <si>
    <t>Melanie Kelley</t>
  </si>
  <si>
    <t>CUST0061</t>
  </si>
  <si>
    <t>Michael Dawson</t>
  </si>
  <si>
    <t>CUST0062</t>
  </si>
  <si>
    <t>John Martin</t>
  </si>
  <si>
    <t>CUST0063</t>
  </si>
  <si>
    <t>Crystal Rodriguez</t>
  </si>
  <si>
    <t>CUST0064</t>
  </si>
  <si>
    <t>Jenna Martin</t>
  </si>
  <si>
    <t>CUST0065</t>
  </si>
  <si>
    <t>Anna Jacobson</t>
  </si>
  <si>
    <t>CUST0066</t>
  </si>
  <si>
    <t>Daniel Shelton</t>
  </si>
  <si>
    <t>CUST0067</t>
  </si>
  <si>
    <t>Jason Rivera</t>
  </si>
  <si>
    <t>CUST0068</t>
  </si>
  <si>
    <t>Matthew Smith</t>
  </si>
  <si>
    <t>CUST0069</t>
  </si>
  <si>
    <t>Kristen Bailey</t>
  </si>
  <si>
    <t>CUST0070</t>
  </si>
  <si>
    <t>Amy Clark</t>
  </si>
  <si>
    <t>CUST0071</t>
  </si>
  <si>
    <t>Willie Shelton</t>
  </si>
  <si>
    <t>CUST0072</t>
  </si>
  <si>
    <t>Lori Cruz</t>
  </si>
  <si>
    <t>CUST0073</t>
  </si>
  <si>
    <t>Michael Castro</t>
  </si>
  <si>
    <t>CUST0074</t>
  </si>
  <si>
    <t>Leslie Navarro</t>
  </si>
  <si>
    <t>CUST0075</t>
  </si>
  <si>
    <t>Steven James</t>
  </si>
  <si>
    <t>CUST0076</t>
  </si>
  <si>
    <t>Adam Weiss</t>
  </si>
  <si>
    <t>CUST0077</t>
  </si>
  <si>
    <t>Elizabeth Lopez</t>
  </si>
  <si>
    <t>CUST0078</t>
  </si>
  <si>
    <t>Donald Hurst</t>
  </si>
  <si>
    <t>CUST0079</t>
  </si>
  <si>
    <t>Corey Watkins</t>
  </si>
  <si>
    <t>CUST0080</t>
  </si>
  <si>
    <t>Christina Roman</t>
  </si>
  <si>
    <t>CUST0081</t>
  </si>
  <si>
    <t>Paula Williams</t>
  </si>
  <si>
    <t>CUST0082</t>
  </si>
  <si>
    <t>Fernando Cole</t>
  </si>
  <si>
    <t>CUST0083</t>
  </si>
  <si>
    <t>Riley Osborn</t>
  </si>
  <si>
    <t>CUST0084</t>
  </si>
  <si>
    <t>Brittany Kelley</t>
  </si>
  <si>
    <t>CUST0085</t>
  </si>
  <si>
    <t>Angela English</t>
  </si>
  <si>
    <t>CUST0086</t>
  </si>
  <si>
    <t>Shane Watson</t>
  </si>
  <si>
    <t>CUST0087</t>
  </si>
  <si>
    <t>James Hoffman</t>
  </si>
  <si>
    <t>CUST0088</t>
  </si>
  <si>
    <t>Angela Pace</t>
  </si>
  <si>
    <t>CUST0089</t>
  </si>
  <si>
    <t>Dr. Nicole Mendez</t>
  </si>
  <si>
    <t>CUST0090</t>
  </si>
  <si>
    <t>Mark Kelly</t>
  </si>
  <si>
    <t>CUST0091</t>
  </si>
  <si>
    <t>Joseph Khan</t>
  </si>
  <si>
    <t>CUST0092</t>
  </si>
  <si>
    <t>Gerald Bradley</t>
  </si>
  <si>
    <t>CUST0093</t>
  </si>
  <si>
    <t>William Jefferson</t>
  </si>
  <si>
    <t>CUST0094</t>
  </si>
  <si>
    <t>Patricia Snyder</t>
  </si>
  <si>
    <t>CUST0095</t>
  </si>
  <si>
    <t>Claudia Williams</t>
  </si>
  <si>
    <t>CUST0096</t>
  </si>
  <si>
    <t>George Whitney</t>
  </si>
  <si>
    <t>CUST0097</t>
  </si>
  <si>
    <t>Rachel Ellis</t>
  </si>
  <si>
    <t>CUST0098</t>
  </si>
  <si>
    <t>Robert Mullins</t>
  </si>
  <si>
    <t>CUST0099</t>
  </si>
  <si>
    <t>Jimmy Haynes</t>
  </si>
  <si>
    <t>CUST0100</t>
  </si>
  <si>
    <t>David Riley</t>
  </si>
  <si>
    <t>CUST0101</t>
  </si>
  <si>
    <t>Adam Solomon</t>
  </si>
  <si>
    <t>CUST0102</t>
  </si>
  <si>
    <t>Jason Thompson</t>
  </si>
  <si>
    <t>CUST0103</t>
  </si>
  <si>
    <t>Lee Brown</t>
  </si>
  <si>
    <t>CUST0104</t>
  </si>
  <si>
    <t>Angel Reeves</t>
  </si>
  <si>
    <t>CUST0105</t>
  </si>
  <si>
    <t>Aaron Mclaughlin</t>
  </si>
  <si>
    <t>CUST0106</t>
  </si>
  <si>
    <t>Jason Rodriguez</t>
  </si>
  <si>
    <t>CUST0107</t>
  </si>
  <si>
    <t>Joseph Burnett</t>
  </si>
  <si>
    <t>CUST0108</t>
  </si>
  <si>
    <t>Cassidy Graves</t>
  </si>
  <si>
    <t>CUST0109</t>
  </si>
  <si>
    <t>Brian Rodriguez</t>
  </si>
  <si>
    <t>CUST0110</t>
  </si>
  <si>
    <t>Matthew Robinson</t>
  </si>
  <si>
    <t>CUST0111</t>
  </si>
  <si>
    <t>Sara Spencer</t>
  </si>
  <si>
    <t>CUST0112</t>
  </si>
  <si>
    <t>Janet Burns</t>
  </si>
  <si>
    <t>CUST0113</t>
  </si>
  <si>
    <t>Joshua Kirk</t>
  </si>
  <si>
    <t>CUST0114</t>
  </si>
  <si>
    <t>Gregory Huynh</t>
  </si>
  <si>
    <t>CUST0115</t>
  </si>
  <si>
    <t>Heather Vincent</t>
  </si>
  <si>
    <t>CUST0116</t>
  </si>
  <si>
    <t>Julie Moreno</t>
  </si>
  <si>
    <t>CUST0117</t>
  </si>
  <si>
    <t>Patricia Warner</t>
  </si>
  <si>
    <t>CUST0118</t>
  </si>
  <si>
    <t>Joseph Lopez MD</t>
  </si>
  <si>
    <t>CUST0119</t>
  </si>
  <si>
    <t>Kimberly Hunter</t>
  </si>
  <si>
    <t>CUST0120</t>
  </si>
  <si>
    <t>Joshua Knapp</t>
  </si>
  <si>
    <t>CUST0121</t>
  </si>
  <si>
    <t>Richard Ferguson</t>
  </si>
  <si>
    <t>CUST0122</t>
  </si>
  <si>
    <t>Anna Martin</t>
  </si>
  <si>
    <t>CUST0123</t>
  </si>
  <si>
    <t>Christopher Black</t>
  </si>
  <si>
    <t>CUST0124</t>
  </si>
  <si>
    <t>Lindsay Martinez</t>
  </si>
  <si>
    <t>CUST0125</t>
  </si>
  <si>
    <t>Mrs. Brittany Flores DVM</t>
  </si>
  <si>
    <t>CUST0126</t>
  </si>
  <si>
    <t>Rachel Green</t>
  </si>
  <si>
    <t>CUST0127</t>
  </si>
  <si>
    <t>Mr. Devin Blanchard</t>
  </si>
  <si>
    <t>CUST0128</t>
  </si>
  <si>
    <t>Tamara Schultz</t>
  </si>
  <si>
    <t>CUST0129</t>
  </si>
  <si>
    <t>Juan Roberts</t>
  </si>
  <si>
    <t>CUST0130</t>
  </si>
  <si>
    <t>Kevin Webb</t>
  </si>
  <si>
    <t>CUST0131</t>
  </si>
  <si>
    <t>Sheena Cochran</t>
  </si>
  <si>
    <t>CUST0132</t>
  </si>
  <si>
    <t>Donna Griffin</t>
  </si>
  <si>
    <t>CUST0133</t>
  </si>
  <si>
    <t>Brent Cox</t>
  </si>
  <si>
    <t>CUST0134</t>
  </si>
  <si>
    <t>Kim Colon</t>
  </si>
  <si>
    <t>CUST0135</t>
  </si>
  <si>
    <t>Curtis Guerrero</t>
  </si>
  <si>
    <t>CUST0136</t>
  </si>
  <si>
    <t>Miss Tammy Tran</t>
  </si>
  <si>
    <t>CUST0137</t>
  </si>
  <si>
    <t>James Swanson</t>
  </si>
  <si>
    <t>CUST0138</t>
  </si>
  <si>
    <t>Daniel Adams</t>
  </si>
  <si>
    <t>CUST0139</t>
  </si>
  <si>
    <t>Thomas Allison</t>
  </si>
  <si>
    <t>CUST0140</t>
  </si>
  <si>
    <t>Diane Mccarty</t>
  </si>
  <si>
    <t>CUST0141</t>
  </si>
  <si>
    <t>Vincent Huber</t>
  </si>
  <si>
    <t>CUST0142</t>
  </si>
  <si>
    <t>James Webster DDS</t>
  </si>
  <si>
    <t>CUST0143</t>
  </si>
  <si>
    <t>Diana Williams</t>
  </si>
  <si>
    <t>CUST0144</t>
  </si>
  <si>
    <t>Ryan Williams</t>
  </si>
  <si>
    <t>CUST0145</t>
  </si>
  <si>
    <t>Kerry Holloway</t>
  </si>
  <si>
    <t>CUST0146</t>
  </si>
  <si>
    <t>Debra Hickman</t>
  </si>
  <si>
    <t>CUST0147</t>
  </si>
  <si>
    <t>Heather Wright</t>
  </si>
  <si>
    <t>CUST0148</t>
  </si>
  <si>
    <t>Virginia Sheppard</t>
  </si>
  <si>
    <t>CUST0149</t>
  </si>
  <si>
    <t>Ryan Duffy</t>
  </si>
  <si>
    <t>CUST0150</t>
  </si>
  <si>
    <t>Timothy Turner</t>
  </si>
  <si>
    <t>CUST0151</t>
  </si>
  <si>
    <t>Sarah Monroe</t>
  </si>
  <si>
    <t>CUST0152</t>
  </si>
  <si>
    <t>Charles Holmes</t>
  </si>
  <si>
    <t>CUST0153</t>
  </si>
  <si>
    <t>Ryan Anderson</t>
  </si>
  <si>
    <t>CUST0154</t>
  </si>
  <si>
    <t>Gregory Torres</t>
  </si>
  <si>
    <t>CUST0155</t>
  </si>
  <si>
    <t>Andrew Allison</t>
  </si>
  <si>
    <t>CUST0156</t>
  </si>
  <si>
    <t>Christina Phelps</t>
  </si>
  <si>
    <t>CUST0157</t>
  </si>
  <si>
    <t>Carly Johnson</t>
  </si>
  <si>
    <t>CUST0158</t>
  </si>
  <si>
    <t>Tonya Martin</t>
  </si>
  <si>
    <t>CUST0159</t>
  </si>
  <si>
    <t>Ralph Johnson</t>
  </si>
  <si>
    <t>CUST0160</t>
  </si>
  <si>
    <t>Lee Johnson</t>
  </si>
  <si>
    <t>CUST0161</t>
  </si>
  <si>
    <t>Michael Taylor</t>
  </si>
  <si>
    <t>CUST0162</t>
  </si>
  <si>
    <t>Rachel Salazar</t>
  </si>
  <si>
    <t>CUST0163</t>
  </si>
  <si>
    <t>Joseph Medina</t>
  </si>
  <si>
    <t>CUST0164</t>
  </si>
  <si>
    <t>Jesus Miller</t>
  </si>
  <si>
    <t>CUST0165</t>
  </si>
  <si>
    <t>Donna Mcfarland</t>
  </si>
  <si>
    <t>CUST0166</t>
  </si>
  <si>
    <t>Stephen Jackson</t>
  </si>
  <si>
    <t>CUST0167</t>
  </si>
  <si>
    <t>Andrew Williams</t>
  </si>
  <si>
    <t>CUST0168</t>
  </si>
  <si>
    <t>Paul Hartman</t>
  </si>
  <si>
    <t>CUST0169</t>
  </si>
  <si>
    <t>Brendan Mayer</t>
  </si>
  <si>
    <t>CUST0170</t>
  </si>
  <si>
    <t>Debbie Diaz</t>
  </si>
  <si>
    <t>CUST0171</t>
  </si>
  <si>
    <t>Lori Cook</t>
  </si>
  <si>
    <t>CUST0172</t>
  </si>
  <si>
    <t>Francisco Lawson</t>
  </si>
  <si>
    <t>CUST0173</t>
  </si>
  <si>
    <t>Brian Ortiz</t>
  </si>
  <si>
    <t>CUST0174</t>
  </si>
  <si>
    <t>Robert Harris</t>
  </si>
  <si>
    <t>CUST0175</t>
  </si>
  <si>
    <t>Jonathon West</t>
  </si>
  <si>
    <t>CUST0176</t>
  </si>
  <si>
    <t>Margaret Mason</t>
  </si>
  <si>
    <t>CUST0177</t>
  </si>
  <si>
    <t>Robert Gray</t>
  </si>
  <si>
    <t>CUST0178</t>
  </si>
  <si>
    <t>Mr. Michael Norton</t>
  </si>
  <si>
    <t>CUST0179</t>
  </si>
  <si>
    <t>Michael Murphy</t>
  </si>
  <si>
    <t>CUST0180</t>
  </si>
  <si>
    <t>Justin Lee</t>
  </si>
  <si>
    <t>CUST0181</t>
  </si>
  <si>
    <t>Carla Matthews</t>
  </si>
  <si>
    <t>CUST0182</t>
  </si>
  <si>
    <t>Matthew Cruz</t>
  </si>
  <si>
    <t>CUST0183</t>
  </si>
  <si>
    <t>Shannon Wilkinson</t>
  </si>
  <si>
    <t>CUST0184</t>
  </si>
  <si>
    <t>Rodney Ramos</t>
  </si>
  <si>
    <t>CUST0185</t>
  </si>
  <si>
    <t>Connie Hughes</t>
  </si>
  <si>
    <t>CUST0186</t>
  </si>
  <si>
    <t>Leslie Gaines</t>
  </si>
  <si>
    <t>CUST0187</t>
  </si>
  <si>
    <t>Olivia Morrow</t>
  </si>
  <si>
    <t>CUST0188</t>
  </si>
  <si>
    <t>Jeremy Williams</t>
  </si>
  <si>
    <t>CUST0189</t>
  </si>
  <si>
    <t>Kimberly Davis</t>
  </si>
  <si>
    <t>CUST0190</t>
  </si>
  <si>
    <t>Jeremy Howe</t>
  </si>
  <si>
    <t>CUST0191</t>
  </si>
  <si>
    <t>Randy Brady</t>
  </si>
  <si>
    <t>CUST0192</t>
  </si>
  <si>
    <t>Amanda Flores</t>
  </si>
  <si>
    <t>CUST0193</t>
  </si>
  <si>
    <t>Mr. Todd Howard</t>
  </si>
  <si>
    <t>CUST0194</t>
  </si>
  <si>
    <t>Cindy Nelson</t>
  </si>
  <si>
    <t>CUST0195</t>
  </si>
  <si>
    <t>Brittany Mcmillan</t>
  </si>
  <si>
    <t>CUST0196</t>
  </si>
  <si>
    <t>Wesley Gonzales</t>
  </si>
  <si>
    <t>CUST0197</t>
  </si>
  <si>
    <t>Eric Smith</t>
  </si>
  <si>
    <t>CUST0198</t>
  </si>
  <si>
    <t>Charles Goodman</t>
  </si>
  <si>
    <t>CUST0199</t>
  </si>
  <si>
    <t>Michelle Murray</t>
  </si>
  <si>
    <t>CUST0200</t>
  </si>
  <si>
    <t>Jessica Scott</t>
  </si>
  <si>
    <t>CUST0201</t>
  </si>
  <si>
    <t>Joseph Allen</t>
  </si>
  <si>
    <t>CUST0202</t>
  </si>
  <si>
    <t>Lee Andrews</t>
  </si>
  <si>
    <t>CUST0203</t>
  </si>
  <si>
    <t>Richard Chen</t>
  </si>
  <si>
    <t>CUST0204</t>
  </si>
  <si>
    <t>Dakota Medina</t>
  </si>
  <si>
    <t>CUST0205</t>
  </si>
  <si>
    <t>Thomas Graham</t>
  </si>
  <si>
    <t>CUST0206</t>
  </si>
  <si>
    <t>Jeffrey Mays</t>
  </si>
  <si>
    <t>CUST0207</t>
  </si>
  <si>
    <t>Alan Gonzalez</t>
  </si>
  <si>
    <t>CUST0208</t>
  </si>
  <si>
    <t>Tracy Thompson</t>
  </si>
  <si>
    <t>CUST0209</t>
  </si>
  <si>
    <t>Jerome Payne</t>
  </si>
  <si>
    <t>CUST0210</t>
  </si>
  <si>
    <t>Nathaniel Murray</t>
  </si>
  <si>
    <t>CUST0211</t>
  </si>
  <si>
    <t>Megan Sosa</t>
  </si>
  <si>
    <t>CUST0212</t>
  </si>
  <si>
    <t>Heidi Smith</t>
  </si>
  <si>
    <t>CUST0213</t>
  </si>
  <si>
    <t>Michael Johnson</t>
  </si>
  <si>
    <t>CUST0214</t>
  </si>
  <si>
    <t>Melissa Wall</t>
  </si>
  <si>
    <t>CUST0215</t>
  </si>
  <si>
    <t>Diana Wright</t>
  </si>
  <si>
    <t>CUST0216</t>
  </si>
  <si>
    <t>Olivia Bell</t>
  </si>
  <si>
    <t>CUST0217</t>
  </si>
  <si>
    <t>Brandon Pace Jr.</t>
  </si>
  <si>
    <t>CUST0218</t>
  </si>
  <si>
    <t>Lauren Smith</t>
  </si>
  <si>
    <t>CUST0219</t>
  </si>
  <si>
    <t>Dwayne Hayes</t>
  </si>
  <si>
    <t>CUST0220</t>
  </si>
  <si>
    <t>CUST0221</t>
  </si>
  <si>
    <t>Sabrina Allison</t>
  </si>
  <si>
    <t>CUST0222</t>
  </si>
  <si>
    <t>Michelle Warner</t>
  </si>
  <si>
    <t>CUST0223</t>
  </si>
  <si>
    <t>Regina Stewart</t>
  </si>
  <si>
    <t>CUST0224</t>
  </si>
  <si>
    <t>Aaron Mcneil</t>
  </si>
  <si>
    <t>CUST0225</t>
  </si>
  <si>
    <t>Daniel Young</t>
  </si>
  <si>
    <t>CUST0226</t>
  </si>
  <si>
    <t>Marcus Rivera</t>
  </si>
  <si>
    <t>CUST0227</t>
  </si>
  <si>
    <t>Mark Mcgrath</t>
  </si>
  <si>
    <t>CUST0228</t>
  </si>
  <si>
    <t>Greg Taylor</t>
  </si>
  <si>
    <t>CUST0229</t>
  </si>
  <si>
    <t>Holly Moore</t>
  </si>
  <si>
    <t>CUST0230</t>
  </si>
  <si>
    <t>Erin Ramirez</t>
  </si>
  <si>
    <t>CUST0231</t>
  </si>
  <si>
    <t>Dr. Emily Murphy</t>
  </si>
  <si>
    <t>CUST0232</t>
  </si>
  <si>
    <t>John Cervantes</t>
  </si>
  <si>
    <t>CUST0233</t>
  </si>
  <si>
    <t>Regina Weber MD</t>
  </si>
  <si>
    <t>CUST0234</t>
  </si>
  <si>
    <t>Brett Rogers</t>
  </si>
  <si>
    <t>CUST0235</t>
  </si>
  <si>
    <t>Phyllis Johnson</t>
  </si>
  <si>
    <t>CUST0236</t>
  </si>
  <si>
    <t>Christopher Curtis</t>
  </si>
  <si>
    <t>CUST0237</t>
  </si>
  <si>
    <t>Angela Lang</t>
  </si>
  <si>
    <t>CUST0238</t>
  </si>
  <si>
    <t>Jessica Cunningham</t>
  </si>
  <si>
    <t>CUST0239</t>
  </si>
  <si>
    <t>Kevin Thomas</t>
  </si>
  <si>
    <t>CUST0240</t>
  </si>
  <si>
    <t>Dillon Davis</t>
  </si>
  <si>
    <t>CUST0241</t>
  </si>
  <si>
    <t>Adrienne Andrews</t>
  </si>
  <si>
    <t>CUST0242</t>
  </si>
  <si>
    <t>Peter Smith</t>
  </si>
  <si>
    <t>CUST0243</t>
  </si>
  <si>
    <t>Kevin Sandoval</t>
  </si>
  <si>
    <t>CUST0244</t>
  </si>
  <si>
    <t>Christina Burgess</t>
  </si>
  <si>
    <t>CUST0245</t>
  </si>
  <si>
    <t>Jennifer Silva</t>
  </si>
  <si>
    <t>CUST0246</t>
  </si>
  <si>
    <t>Victoria Rodriguez</t>
  </si>
  <si>
    <t>CUST0247</t>
  </si>
  <si>
    <t>Joseph Rosales</t>
  </si>
  <si>
    <t>CUST0248</t>
  </si>
  <si>
    <t>Thomas Smith</t>
  </si>
  <si>
    <t>CUST0249</t>
  </si>
  <si>
    <t>John Blake</t>
  </si>
  <si>
    <t>CUST0250</t>
  </si>
  <si>
    <t>Kelli Woods</t>
  </si>
  <si>
    <t>CUST0251</t>
  </si>
  <si>
    <t>Edwin Lutz</t>
  </si>
  <si>
    <t>CUST0252</t>
  </si>
  <si>
    <t>Jonathan Bailey</t>
  </si>
  <si>
    <t>CUST0253</t>
  </si>
  <si>
    <t>Debra Mckee</t>
  </si>
  <si>
    <t>CUST0254</t>
  </si>
  <si>
    <t>Paula Carroll</t>
  </si>
  <si>
    <t>CUST0255</t>
  </si>
  <si>
    <t>Laura Lewis</t>
  </si>
  <si>
    <t>CUST0256</t>
  </si>
  <si>
    <t>Laura Mcdaniel</t>
  </si>
  <si>
    <t>CUST0257</t>
  </si>
  <si>
    <t>Joshua Silva</t>
  </si>
  <si>
    <t>CUST0258</t>
  </si>
  <si>
    <t>Jason Carter</t>
  </si>
  <si>
    <t>CUST0259</t>
  </si>
  <si>
    <t>Jessica Bush</t>
  </si>
  <si>
    <t>CUST0260</t>
  </si>
  <si>
    <t>James Torres</t>
  </si>
  <si>
    <t>CUST0261</t>
  </si>
  <si>
    <t>Stephen Daniels</t>
  </si>
  <si>
    <t>CUST0262</t>
  </si>
  <si>
    <t>Susan White</t>
  </si>
  <si>
    <t>CUST0263</t>
  </si>
  <si>
    <t>Joel Ruiz</t>
  </si>
  <si>
    <t>CUST0264</t>
  </si>
  <si>
    <t>Andre Blake</t>
  </si>
  <si>
    <t>CUST0265</t>
  </si>
  <si>
    <t>Jennifer Payne</t>
  </si>
  <si>
    <t>CUST0266</t>
  </si>
  <si>
    <t>Brianna Torres MD</t>
  </si>
  <si>
    <t>CUST0267</t>
  </si>
  <si>
    <t>Kelly Potter</t>
  </si>
  <si>
    <t>CUST0268</t>
  </si>
  <si>
    <t>Bruce Barnes</t>
  </si>
  <si>
    <t>CUST0269</t>
  </si>
  <si>
    <t>Shawn Burnett</t>
  </si>
  <si>
    <t>CUST0270</t>
  </si>
  <si>
    <t>Stephanie Zimmerman</t>
  </si>
  <si>
    <t>CUST0271</t>
  </si>
  <si>
    <t>Savannah Hart</t>
  </si>
  <si>
    <t>CUST0272</t>
  </si>
  <si>
    <t>Keith Ramirez</t>
  </si>
  <si>
    <t>CUST0273</t>
  </si>
  <si>
    <t>Jean Smith</t>
  </si>
  <si>
    <t>CUST0274</t>
  </si>
  <si>
    <t>John Kim</t>
  </si>
  <si>
    <t>CUST0275</t>
  </si>
  <si>
    <t>Joshua Rhodes</t>
  </si>
  <si>
    <t>CUST0276</t>
  </si>
  <si>
    <t>Ray Jimenez</t>
  </si>
  <si>
    <t>CUST0277</t>
  </si>
  <si>
    <t>Laura Morris</t>
  </si>
  <si>
    <t>CUST0278</t>
  </si>
  <si>
    <t>Lance Porter</t>
  </si>
  <si>
    <t>CUST0279</t>
  </si>
  <si>
    <t>Valerie Wright</t>
  </si>
  <si>
    <t>CUST0280</t>
  </si>
  <si>
    <t>Thomas Delacruz</t>
  </si>
  <si>
    <t>CUST0281</t>
  </si>
  <si>
    <t>Laura Oneal</t>
  </si>
  <si>
    <t>CUST0282</t>
  </si>
  <si>
    <t>Jamie Ramirez</t>
  </si>
  <si>
    <t>CUST0283</t>
  </si>
  <si>
    <t>William Henry</t>
  </si>
  <si>
    <t>CUST0284</t>
  </si>
  <si>
    <t>Erika Blankenship</t>
  </si>
  <si>
    <t>CUST0285</t>
  </si>
  <si>
    <t>Samuel Valentine</t>
  </si>
  <si>
    <t>CUST0286</t>
  </si>
  <si>
    <t>James Coffey</t>
  </si>
  <si>
    <t>CUST0287</t>
  </si>
  <si>
    <t>Michael Gomez</t>
  </si>
  <si>
    <t>CUST0288</t>
  </si>
  <si>
    <t>Alexis Morrison</t>
  </si>
  <si>
    <t>CUST0289</t>
  </si>
  <si>
    <t>Dennis Grimes</t>
  </si>
  <si>
    <t>CUST0290</t>
  </si>
  <si>
    <t>Molly Kim</t>
  </si>
  <si>
    <t>CUST0291</t>
  </si>
  <si>
    <t>Sherri Mason</t>
  </si>
  <si>
    <t>CUST0292</t>
  </si>
  <si>
    <t>Christina Thornton</t>
  </si>
  <si>
    <t>CUST0293</t>
  </si>
  <si>
    <t>Alexandra Fields</t>
  </si>
  <si>
    <t>CUST0294</t>
  </si>
  <si>
    <t>Matthew Bailey</t>
  </si>
  <si>
    <t>CUST0295</t>
  </si>
  <si>
    <t>Scott Gibson</t>
  </si>
  <si>
    <t>CUST0296</t>
  </si>
  <si>
    <t>Sarah Perez</t>
  </si>
  <si>
    <t>CUST0297</t>
  </si>
  <si>
    <t>Jackie Sherman</t>
  </si>
  <si>
    <t>CUST0298</t>
  </si>
  <si>
    <t>Richard Meyer</t>
  </si>
  <si>
    <t>CUST0299</t>
  </si>
  <si>
    <t>Johnathan Kelly</t>
  </si>
  <si>
    <t>CUST0300</t>
  </si>
  <si>
    <t>Shannon Booker</t>
  </si>
  <si>
    <t>CUST0301</t>
  </si>
  <si>
    <t>Dwayne Baldwin</t>
  </si>
  <si>
    <t>CUST0302</t>
  </si>
  <si>
    <t>Ronald Davis</t>
  </si>
  <si>
    <t>CUST0303</t>
  </si>
  <si>
    <t>Lauren May</t>
  </si>
  <si>
    <t>CUST0304</t>
  </si>
  <si>
    <t>Andrew Edwards</t>
  </si>
  <si>
    <t>CUST0305</t>
  </si>
  <si>
    <t>Robert Reynolds</t>
  </si>
  <si>
    <t>CUST0306</t>
  </si>
  <si>
    <t>William Rivers</t>
  </si>
  <si>
    <t>CUST0307</t>
  </si>
  <si>
    <t>Bradley Gill</t>
  </si>
  <si>
    <t>CUST0308</t>
  </si>
  <si>
    <t>Eric Holder</t>
  </si>
  <si>
    <t>CUST0309</t>
  </si>
  <si>
    <t>Nancy Robinson</t>
  </si>
  <si>
    <t>CUST0310</t>
  </si>
  <si>
    <t>Gregory Kim</t>
  </si>
  <si>
    <t>CUST0311</t>
  </si>
  <si>
    <t>Charles Stanton</t>
  </si>
  <si>
    <t>CUST0312</t>
  </si>
  <si>
    <t>Marco Black</t>
  </si>
  <si>
    <t>CUST0313</t>
  </si>
  <si>
    <t>Jessica Roy</t>
  </si>
  <si>
    <t>CUST0314</t>
  </si>
  <si>
    <t>Julie Marquez</t>
  </si>
  <si>
    <t>CUST0315</t>
  </si>
  <si>
    <t>Dawn George</t>
  </si>
  <si>
    <t>CUST0316</t>
  </si>
  <si>
    <t>Jeffery Thomas</t>
  </si>
  <si>
    <t>CUST0317</t>
  </si>
  <si>
    <t>Amanda Ortiz</t>
  </si>
  <si>
    <t>CUST0318</t>
  </si>
  <si>
    <t>Jennifer Barber</t>
  </si>
  <si>
    <t>CUST0319</t>
  </si>
  <si>
    <t>Suzanne Wilkinson</t>
  </si>
  <si>
    <t>CUST0320</t>
  </si>
  <si>
    <t>Adam Edwards</t>
  </si>
  <si>
    <t>CUST0321</t>
  </si>
  <si>
    <t>John Bean</t>
  </si>
  <si>
    <t>CUST0322</t>
  </si>
  <si>
    <t>Brandon Rivera</t>
  </si>
  <si>
    <t>CUST0323</t>
  </si>
  <si>
    <t>Jordan Huffman</t>
  </si>
  <si>
    <t>CUST0324</t>
  </si>
  <si>
    <t>Lawrence Hall</t>
  </si>
  <si>
    <t>CUST0325</t>
  </si>
  <si>
    <t>Travis Taylor</t>
  </si>
  <si>
    <t>CUST0326</t>
  </si>
  <si>
    <t>James Goodwin</t>
  </si>
  <si>
    <t>CUST0327</t>
  </si>
  <si>
    <t>Gregory Davis</t>
  </si>
  <si>
    <t>CUST0328</t>
  </si>
  <si>
    <t>Paul Lopez</t>
  </si>
  <si>
    <t>CUST0329</t>
  </si>
  <si>
    <t>Robert Reese</t>
  </si>
  <si>
    <t>CUST0330</t>
  </si>
  <si>
    <t>Pamela Anthony</t>
  </si>
  <si>
    <t>CUST0331</t>
  </si>
  <si>
    <t>Deanna Miller</t>
  </si>
  <si>
    <t>CUST0332</t>
  </si>
  <si>
    <t>Ashley Allen</t>
  </si>
  <si>
    <t>CUST0333</t>
  </si>
  <si>
    <t>Anthony Dodson</t>
  </si>
  <si>
    <t>CUST0334</t>
  </si>
  <si>
    <t>Michelle Ruiz</t>
  </si>
  <si>
    <t>CUST0335</t>
  </si>
  <si>
    <t>Chad Stein</t>
  </si>
  <si>
    <t>CUST0336</t>
  </si>
  <si>
    <t>Heather Roberts</t>
  </si>
  <si>
    <t>CUST0337</t>
  </si>
  <si>
    <t>Denise Sullivan</t>
  </si>
  <si>
    <t>CUST0338</t>
  </si>
  <si>
    <t>Derrick Hooper</t>
  </si>
  <si>
    <t>CUST0339</t>
  </si>
  <si>
    <t>David Murphy</t>
  </si>
  <si>
    <t>CUST0340</t>
  </si>
  <si>
    <t>Alisha Porter</t>
  </si>
  <si>
    <t>CUST0341</t>
  </si>
  <si>
    <t>Michael Berry</t>
  </si>
  <si>
    <t>CUST0342</t>
  </si>
  <si>
    <t>Michael Nelson</t>
  </si>
  <si>
    <t>CUST0343</t>
  </si>
  <si>
    <t>Laura Greene</t>
  </si>
  <si>
    <t>CUST0344</t>
  </si>
  <si>
    <t>Alexander Brown</t>
  </si>
  <si>
    <t>CUST0345</t>
  </si>
  <si>
    <t>Mark Medina</t>
  </si>
  <si>
    <t>CUST0346</t>
  </si>
  <si>
    <t>Nancy Mejia</t>
  </si>
  <si>
    <t>CUST0347</t>
  </si>
  <si>
    <t>Terry Stewart III</t>
  </si>
  <si>
    <t>CUST0348</t>
  </si>
  <si>
    <t>Jessica Harrison</t>
  </si>
  <si>
    <t>CUST0349</t>
  </si>
  <si>
    <t>Jeffrey Ball</t>
  </si>
  <si>
    <t>CUST0350</t>
  </si>
  <si>
    <t>Jonathan Sanders</t>
  </si>
  <si>
    <t>CUST0351</t>
  </si>
  <si>
    <t>James Rogers</t>
  </si>
  <si>
    <t>CUST0352</t>
  </si>
  <si>
    <t>John Jackson</t>
  </si>
  <si>
    <t>CUST0353</t>
  </si>
  <si>
    <t>Daniel Morrison</t>
  </si>
  <si>
    <t>CUST0354</t>
  </si>
  <si>
    <t>Michael Miller</t>
  </si>
  <si>
    <t>CUST0355</t>
  </si>
  <si>
    <t>Brandy Jones</t>
  </si>
  <si>
    <t>CUST0356</t>
  </si>
  <si>
    <t>Sandra Ray</t>
  </si>
  <si>
    <t>CUST0357</t>
  </si>
  <si>
    <t>Lauren Thompson</t>
  </si>
  <si>
    <t>CUST0358</t>
  </si>
  <si>
    <t>Joshua Lopez</t>
  </si>
  <si>
    <t>CUST0359</t>
  </si>
  <si>
    <t>Matthew Cameron</t>
  </si>
  <si>
    <t>CUST0360</t>
  </si>
  <si>
    <t>Daniel Fischer</t>
  </si>
  <si>
    <t>CUST0361</t>
  </si>
  <si>
    <t>Jennifer Green</t>
  </si>
  <si>
    <t>CUST0362</t>
  </si>
  <si>
    <t>Denise Alexander</t>
  </si>
  <si>
    <t>CUST0363</t>
  </si>
  <si>
    <t>Derek Collins</t>
  </si>
  <si>
    <t>CUST0364</t>
  </si>
  <si>
    <t>Jennifer Allen</t>
  </si>
  <si>
    <t>CUST0365</t>
  </si>
  <si>
    <t>Jacob Torres</t>
  </si>
  <si>
    <t>CUST0366</t>
  </si>
  <si>
    <t>Kimberly Gonzales</t>
  </si>
  <si>
    <t>CUST0367</t>
  </si>
  <si>
    <t>Jeremy Burke</t>
  </si>
  <si>
    <t>CUST0368</t>
  </si>
  <si>
    <t>Brianna Powell</t>
  </si>
  <si>
    <t>CUST0369</t>
  </si>
  <si>
    <t>Nicholas Huynh PhD</t>
  </si>
  <si>
    <t>CUST0370</t>
  </si>
  <si>
    <t>Heather Hudson</t>
  </si>
  <si>
    <t>CUST0371</t>
  </si>
  <si>
    <t>Erica Fleming</t>
  </si>
  <si>
    <t>CUST0372</t>
  </si>
  <si>
    <t>Samantha Gonzales</t>
  </si>
  <si>
    <t>CUST0373</t>
  </si>
  <si>
    <t>Edwin Wyatt DVM</t>
  </si>
  <si>
    <t>CUST0374</t>
  </si>
  <si>
    <t>Joshua Smith</t>
  </si>
  <si>
    <t>CUST0375</t>
  </si>
  <si>
    <t>Kristina Dunn</t>
  </si>
  <si>
    <t>CUST0376</t>
  </si>
  <si>
    <t>Timothy Hayes</t>
  </si>
  <si>
    <t>CUST0377</t>
  </si>
  <si>
    <t>Diana Wagner</t>
  </si>
  <si>
    <t>CUST0378</t>
  </si>
  <si>
    <t>Maureen Holmes</t>
  </si>
  <si>
    <t>CUST0379</t>
  </si>
  <si>
    <t>Angelica Hebert</t>
  </si>
  <si>
    <t>CUST0380</t>
  </si>
  <si>
    <t>Jonathan Johnson</t>
  </si>
  <si>
    <t>CUST0381</t>
  </si>
  <si>
    <t>Selena Parker</t>
  </si>
  <si>
    <t>CUST0382</t>
  </si>
  <si>
    <t>Jennifer Conley</t>
  </si>
  <si>
    <t>CUST0383</t>
  </si>
  <si>
    <t>Todd Turner</t>
  </si>
  <si>
    <t>CUST0384</t>
  </si>
  <si>
    <t>Melanie Wallace</t>
  </si>
  <si>
    <t>CUST0385</t>
  </si>
  <si>
    <t>April White</t>
  </si>
  <si>
    <t>CUST0386</t>
  </si>
  <si>
    <t>Jessica Thomas</t>
  </si>
  <si>
    <t>CUST0387</t>
  </si>
  <si>
    <t>Kevin Williams</t>
  </si>
  <si>
    <t>CUST0388</t>
  </si>
  <si>
    <t>Aaron Dunn</t>
  </si>
  <si>
    <t>CUST0389</t>
  </si>
  <si>
    <t>Katherine Smith</t>
  </si>
  <si>
    <t>CUST0390</t>
  </si>
  <si>
    <t>Tyler Huynh</t>
  </si>
  <si>
    <t>CUST0391</t>
  </si>
  <si>
    <t>Jose Cook</t>
  </si>
  <si>
    <t>CUST0392</t>
  </si>
  <si>
    <t>Nicholas Paul</t>
  </si>
  <si>
    <t>CUST0393</t>
  </si>
  <si>
    <t>Angela Ramirez</t>
  </si>
  <si>
    <t>CUST0394</t>
  </si>
  <si>
    <t>Lauren Weiss</t>
  </si>
  <si>
    <t>CUST0395</t>
  </si>
  <si>
    <t>Mr. Timothy Martin Jr.</t>
  </si>
  <si>
    <t>CUST0396</t>
  </si>
  <si>
    <t>Theresa Lambert</t>
  </si>
  <si>
    <t>CUST0397</t>
  </si>
  <si>
    <t>Alexis Reyes</t>
  </si>
  <si>
    <t>CUST0398</t>
  </si>
  <si>
    <t>Barbara Banks</t>
  </si>
  <si>
    <t>CUST0399</t>
  </si>
  <si>
    <t>James Archer</t>
  </si>
  <si>
    <t>CUST0400</t>
  </si>
  <si>
    <t>Andrew Thompson</t>
  </si>
  <si>
    <t>CUST0401</t>
  </si>
  <si>
    <t>Trevor Robbins</t>
  </si>
  <si>
    <t>CUST0402</t>
  </si>
  <si>
    <t>Kathleen Wade</t>
  </si>
  <si>
    <t>CUST0403</t>
  </si>
  <si>
    <t>Ebony Johnson</t>
  </si>
  <si>
    <t>CUST0404</t>
  </si>
  <si>
    <t>Mr. Charles Kennedy</t>
  </si>
  <si>
    <t>CUST0405</t>
  </si>
  <si>
    <t>Lisa Hooper</t>
  </si>
  <si>
    <t>CUST0406</t>
  </si>
  <si>
    <t>Tyler Davis</t>
  </si>
  <si>
    <t>CUST0407</t>
  </si>
  <si>
    <t>Charles Schwartz</t>
  </si>
  <si>
    <t>CUST0408</t>
  </si>
  <si>
    <t>Matthew West</t>
  </si>
  <si>
    <t>CUST0409</t>
  </si>
  <si>
    <t>Ryan Holt</t>
  </si>
  <si>
    <t>CUST0410</t>
  </si>
  <si>
    <t>Kathleen Jimenez</t>
  </si>
  <si>
    <t>CUST0411</t>
  </si>
  <si>
    <t>Mr. Jacob Norris</t>
  </si>
  <si>
    <t>CUST0412</t>
  </si>
  <si>
    <t>Crystal Lewis</t>
  </si>
  <si>
    <t>CUST0413</t>
  </si>
  <si>
    <t>Diana Shepard</t>
  </si>
  <si>
    <t>CUST0414</t>
  </si>
  <si>
    <t>Ashley Hall</t>
  </si>
  <si>
    <t>CUST0415</t>
  </si>
  <si>
    <t>Justin Brown</t>
  </si>
  <si>
    <t>CUST0416</t>
  </si>
  <si>
    <t>Angela Carpenter</t>
  </si>
  <si>
    <t>CUST0417</t>
  </si>
  <si>
    <t>Jeffrey Johnson</t>
  </si>
  <si>
    <t>CUST0418</t>
  </si>
  <si>
    <t>Joel Walker</t>
  </si>
  <si>
    <t>CUST0419</t>
  </si>
  <si>
    <t>Amber Braun</t>
  </si>
  <si>
    <t>CUST0420</t>
  </si>
  <si>
    <t>David Hernandez</t>
  </si>
  <si>
    <t>CUST0421</t>
  </si>
  <si>
    <t>Curtis Rocha</t>
  </si>
  <si>
    <t>CUST0422</t>
  </si>
  <si>
    <t>Michael Howell</t>
  </si>
  <si>
    <t>CUST0423</t>
  </si>
  <si>
    <t>Kara Robinson</t>
  </si>
  <si>
    <t>CUST0424</t>
  </si>
  <si>
    <t>Justin Moore PhD</t>
  </si>
  <si>
    <t>CUST0425</t>
  </si>
  <si>
    <t>Lisa Smith</t>
  </si>
  <si>
    <t>CUST0426</t>
  </si>
  <si>
    <t>Karen Haynes</t>
  </si>
  <si>
    <t>CUST0427</t>
  </si>
  <si>
    <t>Juan Sawyer</t>
  </si>
  <si>
    <t>CUST0428</t>
  </si>
  <si>
    <t>Dana Barrera</t>
  </si>
  <si>
    <t>CUST0429</t>
  </si>
  <si>
    <t>Dennis Mendez</t>
  </si>
  <si>
    <t>CUST0430</t>
  </si>
  <si>
    <t>Donald Lucas</t>
  </si>
  <si>
    <t>CUST0431</t>
  </si>
  <si>
    <t>Russell Lee</t>
  </si>
  <si>
    <t>CUST0432</t>
  </si>
  <si>
    <t>Christine Smith</t>
  </si>
  <si>
    <t>CUST0433</t>
  </si>
  <si>
    <t>George Hill</t>
  </si>
  <si>
    <t>CUST0434</t>
  </si>
  <si>
    <t>Lindsey Lopez</t>
  </si>
  <si>
    <t>CUST0435</t>
  </si>
  <si>
    <t>Joanne Barker</t>
  </si>
  <si>
    <t>CUST0436</t>
  </si>
  <si>
    <t>Arthur Morgan</t>
  </si>
  <si>
    <t>CUST0437</t>
  </si>
  <si>
    <t>Christopher Reed</t>
  </si>
  <si>
    <t>CUST0438</t>
  </si>
  <si>
    <t>Meghan Miller</t>
  </si>
  <si>
    <t>CUST0439</t>
  </si>
  <si>
    <t>Elizabeth Petersen</t>
  </si>
  <si>
    <t>CUST0440</t>
  </si>
  <si>
    <t>Megan Jimenez</t>
  </si>
  <si>
    <t>CUST0441</t>
  </si>
  <si>
    <t>Andrea Murphy</t>
  </si>
  <si>
    <t>CUST0442</t>
  </si>
  <si>
    <t>Donna Lewis</t>
  </si>
  <si>
    <t>CUST0443</t>
  </si>
  <si>
    <t>John Carlson</t>
  </si>
  <si>
    <t>CUST0444</t>
  </si>
  <si>
    <t>Brittany Foley</t>
  </si>
  <si>
    <t>CUST0445</t>
  </si>
  <si>
    <t>Patricia Miller</t>
  </si>
  <si>
    <t>CUST0446</t>
  </si>
  <si>
    <t>Kevin Velez</t>
  </si>
  <si>
    <t>CUST0447</t>
  </si>
  <si>
    <t>David Guzman</t>
  </si>
  <si>
    <t>CUST0448</t>
  </si>
  <si>
    <t>Christine Bishop</t>
  </si>
  <si>
    <t>CUST0449</t>
  </si>
  <si>
    <t>Pamela Ryan</t>
  </si>
  <si>
    <t>CUST0450</t>
  </si>
  <si>
    <t>Heather Hernandez</t>
  </si>
  <si>
    <t>CUST0451</t>
  </si>
  <si>
    <t>Joshua Wu</t>
  </si>
  <si>
    <t>CUST0452</t>
  </si>
  <si>
    <t>Michael Frank</t>
  </si>
  <si>
    <t>CUST0453</t>
  </si>
  <si>
    <t>Savannah Rogers</t>
  </si>
  <si>
    <t>CUST0454</t>
  </si>
  <si>
    <t>Charles Cooper</t>
  </si>
  <si>
    <t>CUST0455</t>
  </si>
  <si>
    <t>Sharon Coleman</t>
  </si>
  <si>
    <t>CUST0456</t>
  </si>
  <si>
    <t>Jenny Fuentes</t>
  </si>
  <si>
    <t>CUST0457</t>
  </si>
  <si>
    <t>Barry Fleming</t>
  </si>
  <si>
    <t>CUST0458</t>
  </si>
  <si>
    <t>Lindsey Hicks</t>
  </si>
  <si>
    <t>CUST0459</t>
  </si>
  <si>
    <t>Lynn Gentry</t>
  </si>
  <si>
    <t>CUST0460</t>
  </si>
  <si>
    <t>Michael Matthews</t>
  </si>
  <si>
    <t>CUST0461</t>
  </si>
  <si>
    <t>Catherine Torres</t>
  </si>
  <si>
    <t>CUST0462</t>
  </si>
  <si>
    <t>Janice Gardner</t>
  </si>
  <si>
    <t>CUST0463</t>
  </si>
  <si>
    <t>Samuel Barnes</t>
  </si>
  <si>
    <t>CUST0464</t>
  </si>
  <si>
    <t>Jody Jones</t>
  </si>
  <si>
    <t>CUST0465</t>
  </si>
  <si>
    <t>Marie Williams</t>
  </si>
  <si>
    <t>CUST0466</t>
  </si>
  <si>
    <t>Kayla Gregory</t>
  </si>
  <si>
    <t>CUST0467</t>
  </si>
  <si>
    <t>Kelly Snyder</t>
  </si>
  <si>
    <t>CUST0468</t>
  </si>
  <si>
    <t>Amanda Patrick</t>
  </si>
  <si>
    <t>CUST0469</t>
  </si>
  <si>
    <t>Ryan Adams</t>
  </si>
  <si>
    <t>CUST0470</t>
  </si>
  <si>
    <t>William Mitchell</t>
  </si>
  <si>
    <t>CUST0471</t>
  </si>
  <si>
    <t>Sergio Davenport</t>
  </si>
  <si>
    <t>CUST0472</t>
  </si>
  <si>
    <t>Shane Frederick</t>
  </si>
  <si>
    <t>CUST0473</t>
  </si>
  <si>
    <t>James Gonzales</t>
  </si>
  <si>
    <t>CUST0474</t>
  </si>
  <si>
    <t>Jonathan Riley</t>
  </si>
  <si>
    <t>CUST0475</t>
  </si>
  <si>
    <t>Barbara Jones</t>
  </si>
  <si>
    <t>CUST0476</t>
  </si>
  <si>
    <t>John Irwin</t>
  </si>
  <si>
    <t>CUST0477</t>
  </si>
  <si>
    <t>Eric Jackson</t>
  </si>
  <si>
    <t>CUST0478</t>
  </si>
  <si>
    <t>Amanda Mckay</t>
  </si>
  <si>
    <t>CUST0479</t>
  </si>
  <si>
    <t>James Khan</t>
  </si>
  <si>
    <t>CUST0480</t>
  </si>
  <si>
    <t>Andrew Watson</t>
  </si>
  <si>
    <t>CUST0481</t>
  </si>
  <si>
    <t>Erica Jackson</t>
  </si>
  <si>
    <t>CUST0482</t>
  </si>
  <si>
    <t>Mark Pham</t>
  </si>
  <si>
    <t>CUST0483</t>
  </si>
  <si>
    <t>Rachel Price</t>
  </si>
  <si>
    <t>CUST0484</t>
  </si>
  <si>
    <t>Rebecca Bowen</t>
  </si>
  <si>
    <t>CUST0485</t>
  </si>
  <si>
    <t>Jared Malone</t>
  </si>
  <si>
    <t>CUST0486</t>
  </si>
  <si>
    <t>Jennifer Rios</t>
  </si>
  <si>
    <t>CUST0487</t>
  </si>
  <si>
    <t>Brittany Skinner</t>
  </si>
  <si>
    <t>CUST0488</t>
  </si>
  <si>
    <t>John Thompson</t>
  </si>
  <si>
    <t>CUST0489</t>
  </si>
  <si>
    <t>Aaron Smith</t>
  </si>
  <si>
    <t>CUST0490</t>
  </si>
  <si>
    <t>Dr. Robert Hebert</t>
  </si>
  <si>
    <t>CUST0491</t>
  </si>
  <si>
    <t>Lisa Coleman</t>
  </si>
  <si>
    <t>CUST0492</t>
  </si>
  <si>
    <t>Taylor Parker</t>
  </si>
  <si>
    <t>CUST0493</t>
  </si>
  <si>
    <t>Kenneth Hanna</t>
  </si>
  <si>
    <t>CUST0494</t>
  </si>
  <si>
    <t>William Bailey</t>
  </si>
  <si>
    <t>CUST0495</t>
  </si>
  <si>
    <t>Kendra Rodriguez</t>
  </si>
  <si>
    <t>CUST0496</t>
  </si>
  <si>
    <t>Sara Strong</t>
  </si>
  <si>
    <t>CUST0497</t>
  </si>
  <si>
    <t>Gina Thomas</t>
  </si>
  <si>
    <t>CUST0498</t>
  </si>
  <si>
    <t>Jessica Moody</t>
  </si>
  <si>
    <t>CUST0499</t>
  </si>
  <si>
    <t>David Sutton</t>
  </si>
  <si>
    <t>CUST0500</t>
  </si>
  <si>
    <t>Diane English</t>
  </si>
  <si>
    <t>CUST0501</t>
  </si>
  <si>
    <t>Sarah Ellis</t>
  </si>
  <si>
    <t>CUST0502</t>
  </si>
  <si>
    <t>Sara Gibson</t>
  </si>
  <si>
    <t>CUST0503</t>
  </si>
  <si>
    <t>Alicia Evans</t>
  </si>
  <si>
    <t>CUST0504</t>
  </si>
  <si>
    <t>William Porter</t>
  </si>
  <si>
    <t>CUST0505</t>
  </si>
  <si>
    <t>Mark Gibson</t>
  </si>
  <si>
    <t>CUST0506</t>
  </si>
  <si>
    <t>Patricia Johnson</t>
  </si>
  <si>
    <t>CUST0507</t>
  </si>
  <si>
    <t>Bobby Franklin</t>
  </si>
  <si>
    <t>CUST0508</t>
  </si>
  <si>
    <t>Wyatt Lopez</t>
  </si>
  <si>
    <t>CUST0509</t>
  </si>
  <si>
    <t>Noah Castro DVM</t>
  </si>
  <si>
    <t>CUST0510</t>
  </si>
  <si>
    <t>Logan Duke</t>
  </si>
  <si>
    <t>CUST0511</t>
  </si>
  <si>
    <t>Marilyn Mann</t>
  </si>
  <si>
    <t>CUST0512</t>
  </si>
  <si>
    <t>Stephanie Clark</t>
  </si>
  <si>
    <t>CUST0513</t>
  </si>
  <si>
    <t>Alicia Wilson</t>
  </si>
  <si>
    <t>CUST0514</t>
  </si>
  <si>
    <t>Aaron Jackson</t>
  </si>
  <si>
    <t>CUST0515</t>
  </si>
  <si>
    <t>Jamie Perez</t>
  </si>
  <si>
    <t>CUST0516</t>
  </si>
  <si>
    <t>Chris Reyes</t>
  </si>
  <si>
    <t>CUST0517</t>
  </si>
  <si>
    <t>Stephanie Wallace</t>
  </si>
  <si>
    <t>CUST0518</t>
  </si>
  <si>
    <t>Emily Estrada</t>
  </si>
  <si>
    <t>CUST0519</t>
  </si>
  <si>
    <t>John Rivera</t>
  </si>
  <si>
    <t>CUST0520</t>
  </si>
  <si>
    <t>Travis Hooper</t>
  </si>
  <si>
    <t>CUST0521</t>
  </si>
  <si>
    <t>Thomas Rosario</t>
  </si>
  <si>
    <t>CUST0522</t>
  </si>
  <si>
    <t>Jacob Graves</t>
  </si>
  <si>
    <t>CUST0523</t>
  </si>
  <si>
    <t>Travis Beck MD</t>
  </si>
  <si>
    <t>CUST0524</t>
  </si>
  <si>
    <t>Johnny Myers</t>
  </si>
  <si>
    <t>CUST0525</t>
  </si>
  <si>
    <t>Gregory Turner</t>
  </si>
  <si>
    <t>CUST0526</t>
  </si>
  <si>
    <t>Karen Hunt</t>
  </si>
  <si>
    <t>CUST0527</t>
  </si>
  <si>
    <t>Margaret Clark</t>
  </si>
  <si>
    <t>CUST0528</t>
  </si>
  <si>
    <t>James James</t>
  </si>
  <si>
    <t>CUST0529</t>
  </si>
  <si>
    <t>Alexis Alvarez</t>
  </si>
  <si>
    <t>CUST0530</t>
  </si>
  <si>
    <t>Jeremiah Hall</t>
  </si>
  <si>
    <t>CUST0531</t>
  </si>
  <si>
    <t>Ronald Kennedy</t>
  </si>
  <si>
    <t>CUST0532</t>
  </si>
  <si>
    <t>Daniel Allen</t>
  </si>
  <si>
    <t>CUST0533</t>
  </si>
  <si>
    <t>Brian Patel</t>
  </si>
  <si>
    <t>CUST0534</t>
  </si>
  <si>
    <t>Jeffrey Vargas</t>
  </si>
  <si>
    <t>CUST0535</t>
  </si>
  <si>
    <t>Robert Jenkins</t>
  </si>
  <si>
    <t>CUST0536</t>
  </si>
  <si>
    <t>Troy Torres</t>
  </si>
  <si>
    <t>CUST0537</t>
  </si>
  <si>
    <t>Mindy Brown</t>
  </si>
  <si>
    <t>CUST0538</t>
  </si>
  <si>
    <t>Catherine Alexander</t>
  </si>
  <si>
    <t>CUST0539</t>
  </si>
  <si>
    <t>Angel Jackson</t>
  </si>
  <si>
    <t>CUST0540</t>
  </si>
  <si>
    <t>Oscar Marquez</t>
  </si>
  <si>
    <t>CUST0541</t>
  </si>
  <si>
    <t>Randy Anderson</t>
  </si>
  <si>
    <t>CUST0542</t>
  </si>
  <si>
    <t>Matthew Nguyen</t>
  </si>
  <si>
    <t>CUST0543</t>
  </si>
  <si>
    <t>Amanda Hebert</t>
  </si>
  <si>
    <t>CUST0544</t>
  </si>
  <si>
    <t>Jenna Dennis</t>
  </si>
  <si>
    <t>CUST0545</t>
  </si>
  <si>
    <t>Shannon Johnson</t>
  </si>
  <si>
    <t>CUST0546</t>
  </si>
  <si>
    <t>Michael Kim</t>
  </si>
  <si>
    <t>CUST0547</t>
  </si>
  <si>
    <t>Heidi Diaz</t>
  </si>
  <si>
    <t>CUST0548</t>
  </si>
  <si>
    <t>Whitney Martin</t>
  </si>
  <si>
    <t>CUST0549</t>
  </si>
  <si>
    <t>Edward Williams</t>
  </si>
  <si>
    <t>CUST0550</t>
  </si>
  <si>
    <t>Tina Harris</t>
  </si>
  <si>
    <t>CUST0551</t>
  </si>
  <si>
    <t>Arthur Tran</t>
  </si>
  <si>
    <t>CUST0552</t>
  </si>
  <si>
    <t>Susan Johnson</t>
  </si>
  <si>
    <t>CUST0553</t>
  </si>
  <si>
    <t>Joshua Davila</t>
  </si>
  <si>
    <t>CUST0554</t>
  </si>
  <si>
    <t>Barbara Valdez</t>
  </si>
  <si>
    <t>CUST0555</t>
  </si>
  <si>
    <t>Alfred Russo</t>
  </si>
  <si>
    <t>CUST0556</t>
  </si>
  <si>
    <t>Amy Wilson</t>
  </si>
  <si>
    <t>CUST0557</t>
  </si>
  <si>
    <t>Mark Vang</t>
  </si>
  <si>
    <t>CUST0558</t>
  </si>
  <si>
    <t>James Aguilar</t>
  </si>
  <si>
    <t>CUST0559</t>
  </si>
  <si>
    <t>Amy Leblanc</t>
  </si>
  <si>
    <t>CUST0560</t>
  </si>
  <si>
    <t>Justin Miller</t>
  </si>
  <si>
    <t>CUST0561</t>
  </si>
  <si>
    <t>Barbara Hampton</t>
  </si>
  <si>
    <t>CUST0562</t>
  </si>
  <si>
    <t>Michael Love</t>
  </si>
  <si>
    <t>CUST0563</t>
  </si>
  <si>
    <t>Steven Bender</t>
  </si>
  <si>
    <t>CUST0564</t>
  </si>
  <si>
    <t>Matthew Boone</t>
  </si>
  <si>
    <t>CUST0565</t>
  </si>
  <si>
    <t>Lauren Jones</t>
  </si>
  <si>
    <t>CUST0566</t>
  </si>
  <si>
    <t>Theodore Peterson</t>
  </si>
  <si>
    <t>CUST0567</t>
  </si>
  <si>
    <t>Heather Garner</t>
  </si>
  <si>
    <t>CUST0568</t>
  </si>
  <si>
    <t>Heather Ortiz</t>
  </si>
  <si>
    <t>CUST0569</t>
  </si>
  <si>
    <t>Ryan Cook</t>
  </si>
  <si>
    <t>CUST0570</t>
  </si>
  <si>
    <t>Jeffrey Mcintosh</t>
  </si>
  <si>
    <t>CUST0571</t>
  </si>
  <si>
    <t>Travis Smith</t>
  </si>
  <si>
    <t>CUST0572</t>
  </si>
  <si>
    <t>Jennifer Meyer</t>
  </si>
  <si>
    <t>CUST0573</t>
  </si>
  <si>
    <t>Steven Taylor</t>
  </si>
  <si>
    <t>CUST0574</t>
  </si>
  <si>
    <t>Gerald Arellano</t>
  </si>
  <si>
    <t>CUST0575</t>
  </si>
  <si>
    <t>Rachel Glass</t>
  </si>
  <si>
    <t>CUST0576</t>
  </si>
  <si>
    <t>Jasmine Murphy</t>
  </si>
  <si>
    <t>CUST0577</t>
  </si>
  <si>
    <t>James Alvarado</t>
  </si>
  <si>
    <t>CUST0578</t>
  </si>
  <si>
    <t>David Wade</t>
  </si>
  <si>
    <t>CUST0579</t>
  </si>
  <si>
    <t>Maria Lewis</t>
  </si>
  <si>
    <t>CUST0580</t>
  </si>
  <si>
    <t>Kimberly Singleton</t>
  </si>
  <si>
    <t>CUST0581</t>
  </si>
  <si>
    <t>Valerie Cummings</t>
  </si>
  <si>
    <t>CUST0582</t>
  </si>
  <si>
    <t>Marcus Ramirez</t>
  </si>
  <si>
    <t>CUST0583</t>
  </si>
  <si>
    <t>Diana Tran</t>
  </si>
  <si>
    <t>CUST0584</t>
  </si>
  <si>
    <t>Tanner Sanchez</t>
  </si>
  <si>
    <t>CUST0585</t>
  </si>
  <si>
    <t>Troy Ruiz</t>
  </si>
  <si>
    <t>CUST0586</t>
  </si>
  <si>
    <t>Belinda Garrett</t>
  </si>
  <si>
    <t>CUST0587</t>
  </si>
  <si>
    <t>Matthew Gardner</t>
  </si>
  <si>
    <t>CUST0588</t>
  </si>
  <si>
    <t>Mary Walters</t>
  </si>
  <si>
    <t>CUST0589</t>
  </si>
  <si>
    <t>Joshua Turner</t>
  </si>
  <si>
    <t>CUST0590</t>
  </si>
  <si>
    <t>Mary Gentry</t>
  </si>
  <si>
    <t>CUST0591</t>
  </si>
  <si>
    <t>Jessica Clay</t>
  </si>
  <si>
    <t>CUST0592</t>
  </si>
  <si>
    <t>Miss Rhonda Rodriguez</t>
  </si>
  <si>
    <t>CUST0593</t>
  </si>
  <si>
    <t>Nathaniel Roth</t>
  </si>
  <si>
    <t>CUST0594</t>
  </si>
  <si>
    <t>Laura Russo</t>
  </si>
  <si>
    <t>CUST0595</t>
  </si>
  <si>
    <t>Thomas Long</t>
  </si>
  <si>
    <t>CUST0596</t>
  </si>
  <si>
    <t>Joseph Abbott</t>
  </si>
  <si>
    <t>CUST0597</t>
  </si>
  <si>
    <t>William Silva</t>
  </si>
  <si>
    <t>CUST0598</t>
  </si>
  <si>
    <t>Nancy Cameron</t>
  </si>
  <si>
    <t>CUST0599</t>
  </si>
  <si>
    <t>Jeffrey Jackson</t>
  </si>
  <si>
    <t>CUST0600</t>
  </si>
  <si>
    <t>Anthony Griffin</t>
  </si>
  <si>
    <t>CUST0601</t>
  </si>
  <si>
    <t>Lisa Myers</t>
  </si>
  <si>
    <t>CUST0602</t>
  </si>
  <si>
    <t>Christopher Summers</t>
  </si>
  <si>
    <t>CUST0603</t>
  </si>
  <si>
    <t>Nicholas Reynolds</t>
  </si>
  <si>
    <t>CUST0604</t>
  </si>
  <si>
    <t>Eddie Gross</t>
  </si>
  <si>
    <t>CUST0605</t>
  </si>
  <si>
    <t>Nicole Anderson</t>
  </si>
  <si>
    <t>CUST0606</t>
  </si>
  <si>
    <t>Erika Dawson</t>
  </si>
  <si>
    <t>CUST0607</t>
  </si>
  <si>
    <t>Lauren Nolan</t>
  </si>
  <si>
    <t>CUST0608</t>
  </si>
  <si>
    <t>Mary King</t>
  </si>
  <si>
    <t>CUST0609</t>
  </si>
  <si>
    <t>Kara Barnes</t>
  </si>
  <si>
    <t>CUST0610</t>
  </si>
  <si>
    <t>Joel Padilla</t>
  </si>
  <si>
    <t>CUST0611</t>
  </si>
  <si>
    <t>Scott Oconnor</t>
  </si>
  <si>
    <t>CUST0612</t>
  </si>
  <si>
    <t>Mrs. Lynn Pearson</t>
  </si>
  <si>
    <t>CUST0613</t>
  </si>
  <si>
    <t>Amber Wilson</t>
  </si>
  <si>
    <t>CUST0614</t>
  </si>
  <si>
    <t>Ashley Martinez</t>
  </si>
  <si>
    <t>CUST0615</t>
  </si>
  <si>
    <t>George Dougherty</t>
  </si>
  <si>
    <t>CUST0616</t>
  </si>
  <si>
    <t>Brady Gomez</t>
  </si>
  <si>
    <t>CUST0617</t>
  </si>
  <si>
    <t>Jason Larson</t>
  </si>
  <si>
    <t>CUST0618</t>
  </si>
  <si>
    <t>Barry Stafford</t>
  </si>
  <si>
    <t>CUST0619</t>
  </si>
  <si>
    <t>Michael Porter</t>
  </si>
  <si>
    <t>CUST0620</t>
  </si>
  <si>
    <t>Jennifer Sanders</t>
  </si>
  <si>
    <t>CUST0621</t>
  </si>
  <si>
    <t>Pamela Kelly</t>
  </si>
  <si>
    <t>CUST0622</t>
  </si>
  <si>
    <t>Lisa Foster</t>
  </si>
  <si>
    <t>CUST0623</t>
  </si>
  <si>
    <t>Joshua Lawson</t>
  </si>
  <si>
    <t>CUST0624</t>
  </si>
  <si>
    <t>Stacy Hughes</t>
  </si>
  <si>
    <t>CUST0625</t>
  </si>
  <si>
    <t>Kelli Mendoza</t>
  </si>
  <si>
    <t>CUST0626</t>
  </si>
  <si>
    <t>CUST0627</t>
  </si>
  <si>
    <t>Jennifer Smith</t>
  </si>
  <si>
    <t>CUST0628</t>
  </si>
  <si>
    <t>Robert Ryan</t>
  </si>
  <si>
    <t>CUST0629</t>
  </si>
  <si>
    <t>Christine Dorsey</t>
  </si>
  <si>
    <t>CUST0630</t>
  </si>
  <si>
    <t>Holly Adams</t>
  </si>
  <si>
    <t>CUST0631</t>
  </si>
  <si>
    <t>Alexandra Hicks</t>
  </si>
  <si>
    <t>CUST0632</t>
  </si>
  <si>
    <t>Crystal White</t>
  </si>
  <si>
    <t>CUST0633</t>
  </si>
  <si>
    <t>George Howard</t>
  </si>
  <si>
    <t>CUST0634</t>
  </si>
  <si>
    <t>Sarah Burton</t>
  </si>
  <si>
    <t>CUST0635</t>
  </si>
  <si>
    <t>Miss Amber Conrad</t>
  </si>
  <si>
    <t>CUST0636</t>
  </si>
  <si>
    <t>Michael Russell</t>
  </si>
  <si>
    <t>CUST0637</t>
  </si>
  <si>
    <t>Jennifer Phelps</t>
  </si>
  <si>
    <t>CUST0638</t>
  </si>
  <si>
    <t>Stephen Nelson</t>
  </si>
  <si>
    <t>CUST0639</t>
  </si>
  <si>
    <t>Dwayne Bailey</t>
  </si>
  <si>
    <t>CUST0640</t>
  </si>
  <si>
    <t>Michael Pierce</t>
  </si>
  <si>
    <t>CUST0641</t>
  </si>
  <si>
    <t>Peter Simpson</t>
  </si>
  <si>
    <t>CUST0642</t>
  </si>
  <si>
    <t>Derek Dawson</t>
  </si>
  <si>
    <t>CUST0643</t>
  </si>
  <si>
    <t>Stephanie Frazier</t>
  </si>
  <si>
    <t>CUST0644</t>
  </si>
  <si>
    <t>Brittany Miller</t>
  </si>
  <si>
    <t>CUST0645</t>
  </si>
  <si>
    <t>Benjamin Heath</t>
  </si>
  <si>
    <t>CUST0646</t>
  </si>
  <si>
    <t>Lisa Jensen</t>
  </si>
  <si>
    <t>CUST0647</t>
  </si>
  <si>
    <t>Jared Taylor</t>
  </si>
  <si>
    <t>CUST0648</t>
  </si>
  <si>
    <t>Elizabeth Mckenzie</t>
  </si>
  <si>
    <t>CUST0649</t>
  </si>
  <si>
    <t>Charles Smith</t>
  </si>
  <si>
    <t>CUST0650</t>
  </si>
  <si>
    <t>Anna Fuentes</t>
  </si>
  <si>
    <t>CUST0651</t>
  </si>
  <si>
    <t>Madison Lamb</t>
  </si>
  <si>
    <t>CUST0652</t>
  </si>
  <si>
    <t>Bruce Thompson</t>
  </si>
  <si>
    <t>CUST0653</t>
  </si>
  <si>
    <t>Allison King</t>
  </si>
  <si>
    <t>CUST0654</t>
  </si>
  <si>
    <t>Craig Perez</t>
  </si>
  <si>
    <t>CUST0655</t>
  </si>
  <si>
    <t>Michael Woods</t>
  </si>
  <si>
    <t>CUST0656</t>
  </si>
  <si>
    <t>Michele Hodge</t>
  </si>
  <si>
    <t>CUST0657</t>
  </si>
  <si>
    <t>CUST0658</t>
  </si>
  <si>
    <t>David Lopez</t>
  </si>
  <si>
    <t>CUST0659</t>
  </si>
  <si>
    <t>Bryan King</t>
  </si>
  <si>
    <t>CUST0660</t>
  </si>
  <si>
    <t>David Orozco</t>
  </si>
  <si>
    <t>CUST0661</t>
  </si>
  <si>
    <t>Vanessa Gibson</t>
  </si>
  <si>
    <t>CUST0662</t>
  </si>
  <si>
    <t>Paula Spencer</t>
  </si>
  <si>
    <t>CUST0663</t>
  </si>
  <si>
    <t>Marcia Lewis</t>
  </si>
  <si>
    <t>CUST0664</t>
  </si>
  <si>
    <t>Christopher Erickson</t>
  </si>
  <si>
    <t>CUST0665</t>
  </si>
  <si>
    <t>Stephanie Curtis</t>
  </si>
  <si>
    <t>CUST0666</t>
  </si>
  <si>
    <t>Nicholas Ortega DVM</t>
  </si>
  <si>
    <t>CUST0667</t>
  </si>
  <si>
    <t>Joshua Cooper</t>
  </si>
  <si>
    <t>CUST0668</t>
  </si>
  <si>
    <t>Catherine Petersen</t>
  </si>
  <si>
    <t>CUST0669</t>
  </si>
  <si>
    <t>Shawn Austin</t>
  </si>
  <si>
    <t>CUST0670</t>
  </si>
  <si>
    <t>Gina Cruz</t>
  </si>
  <si>
    <t>CUST0671</t>
  </si>
  <si>
    <t>Tonya Olson</t>
  </si>
  <si>
    <t>CUST0672</t>
  </si>
  <si>
    <t>William Walker</t>
  </si>
  <si>
    <t>CUST0673</t>
  </si>
  <si>
    <t>Amanda Anderson</t>
  </si>
  <si>
    <t>CUST0674</t>
  </si>
  <si>
    <t>Lawrence Heath</t>
  </si>
  <si>
    <t>CUST0675</t>
  </si>
  <si>
    <t>Sarah Brown</t>
  </si>
  <si>
    <t>CUST0676</t>
  </si>
  <si>
    <t>Timothy Hernandez</t>
  </si>
  <si>
    <t>CUST0677</t>
  </si>
  <si>
    <t>Kirsten Young</t>
  </si>
  <si>
    <t>CUST0678</t>
  </si>
  <si>
    <t>Gregory Dalton</t>
  </si>
  <si>
    <t>CUST0679</t>
  </si>
  <si>
    <t>John Holloway</t>
  </si>
  <si>
    <t>CUST0680</t>
  </si>
  <si>
    <t>Holly Buckley</t>
  </si>
  <si>
    <t>CUST0681</t>
  </si>
  <si>
    <t>Robert Case</t>
  </si>
  <si>
    <t>CUST0682</t>
  </si>
  <si>
    <t>Crystal Hunter</t>
  </si>
  <si>
    <t>CUST0683</t>
  </si>
  <si>
    <t>Tyler Hammond</t>
  </si>
  <si>
    <t>CUST0684</t>
  </si>
  <si>
    <t>Paul Sanchez</t>
  </si>
  <si>
    <t>CUST0685</t>
  </si>
  <si>
    <t>Tanya Lindsey</t>
  </si>
  <si>
    <t>CUST0686</t>
  </si>
  <si>
    <t>Terrance Beck</t>
  </si>
  <si>
    <t>CUST0687</t>
  </si>
  <si>
    <t>Sharon Martinez</t>
  </si>
  <si>
    <t>CUST0688</t>
  </si>
  <si>
    <t>John Lowery</t>
  </si>
  <si>
    <t>CUST0689</t>
  </si>
  <si>
    <t>Diana Graham</t>
  </si>
  <si>
    <t>CUST0690</t>
  </si>
  <si>
    <t>Geoffrey Prince</t>
  </si>
  <si>
    <t>CUST0691</t>
  </si>
  <si>
    <t>Mr. Carl Hopkins</t>
  </si>
  <si>
    <t>CUST0692</t>
  </si>
  <si>
    <t>Laura Wade</t>
  </si>
  <si>
    <t>CUST0693</t>
  </si>
  <si>
    <t>Theresa Sanchez</t>
  </si>
  <si>
    <t>CUST0694</t>
  </si>
  <si>
    <t>Donald Hawkins</t>
  </si>
  <si>
    <t>CUST0695</t>
  </si>
  <si>
    <t>Jeffrey Tran</t>
  </si>
  <si>
    <t>CUST0696</t>
  </si>
  <si>
    <t>Antonio Jackson</t>
  </si>
  <si>
    <t>CUST0697</t>
  </si>
  <si>
    <t>Henry Smith</t>
  </si>
  <si>
    <t>CUST0698</t>
  </si>
  <si>
    <t>John Taylor</t>
  </si>
  <si>
    <t>CUST0699</t>
  </si>
  <si>
    <t>Cristina Moore</t>
  </si>
  <si>
    <t>CUST0700</t>
  </si>
  <si>
    <t>Scott Rodriguez</t>
  </si>
  <si>
    <t>CUST0701</t>
  </si>
  <si>
    <t>Lori Lawrence</t>
  </si>
  <si>
    <t>CUST0702</t>
  </si>
  <si>
    <t>Valerie Williams</t>
  </si>
  <si>
    <t>CUST0703</t>
  </si>
  <si>
    <t>Kathy Castro</t>
  </si>
  <si>
    <t>CUST0704</t>
  </si>
  <si>
    <t>Benjamin White</t>
  </si>
  <si>
    <t>CUST0705</t>
  </si>
  <si>
    <t>Chelsea Mcdowell</t>
  </si>
  <si>
    <t>CUST0706</t>
  </si>
  <si>
    <t>Crystal Johnson</t>
  </si>
  <si>
    <t>CUST0707</t>
  </si>
  <si>
    <t>Elizabeth Acosta</t>
  </si>
  <si>
    <t>CUST0708</t>
  </si>
  <si>
    <t>Rachel Middleton</t>
  </si>
  <si>
    <t>CUST0709</t>
  </si>
  <si>
    <t>Michael Shea DVM</t>
  </si>
  <si>
    <t>CUST0710</t>
  </si>
  <si>
    <t>Krystal Duncan</t>
  </si>
  <si>
    <t>CUST0711</t>
  </si>
  <si>
    <t>Kristin Lopez</t>
  </si>
  <si>
    <t>CUST0712</t>
  </si>
  <si>
    <t>Kevin Brown</t>
  </si>
  <si>
    <t>CUST0713</t>
  </si>
  <si>
    <t>Steve Holloway</t>
  </si>
  <si>
    <t>CUST0714</t>
  </si>
  <si>
    <t>Jeffrey Mendez</t>
  </si>
  <si>
    <t>CUST0715</t>
  </si>
  <si>
    <t>Anthony Schmitt</t>
  </si>
  <si>
    <t>CUST0716</t>
  </si>
  <si>
    <t>Daniel Savage</t>
  </si>
  <si>
    <t>CUST0717</t>
  </si>
  <si>
    <t>David Schneider</t>
  </si>
  <si>
    <t>CUST0718</t>
  </si>
  <si>
    <t>Christopher Todd</t>
  </si>
  <si>
    <t>CUST0719</t>
  </si>
  <si>
    <t>Michelle Singh</t>
  </si>
  <si>
    <t>CUST0720</t>
  </si>
  <si>
    <t>Matthew Spears</t>
  </si>
  <si>
    <t>CUST0721</t>
  </si>
  <si>
    <t>Jacob Estrada</t>
  </si>
  <si>
    <t>CUST0722</t>
  </si>
  <si>
    <t>Jeffrey Clark</t>
  </si>
  <si>
    <t>CUST0723</t>
  </si>
  <si>
    <t>Jennifer Davis</t>
  </si>
  <si>
    <t>CUST0724</t>
  </si>
  <si>
    <t>Christopher Charles</t>
  </si>
  <si>
    <t>CUST0725</t>
  </si>
  <si>
    <t>Donald Jones</t>
  </si>
  <si>
    <t>CUST0726</t>
  </si>
  <si>
    <t>Devon Jones</t>
  </si>
  <si>
    <t>CUST0727</t>
  </si>
  <si>
    <t>Jessica Ortiz</t>
  </si>
  <si>
    <t>CUST0728</t>
  </si>
  <si>
    <t>Lawrence Sharp</t>
  </si>
  <si>
    <t>CUST0729</t>
  </si>
  <si>
    <t>Maria Thomas</t>
  </si>
  <si>
    <t>CUST0730</t>
  </si>
  <si>
    <t>Erik Jones</t>
  </si>
  <si>
    <t>CUST0731</t>
  </si>
  <si>
    <t>CUST0732</t>
  </si>
  <si>
    <t>Kevin Jackson</t>
  </si>
  <si>
    <t>CUST0733</t>
  </si>
  <si>
    <t>Denise Pena</t>
  </si>
  <si>
    <t>CUST0734</t>
  </si>
  <si>
    <t>Angela Mckee</t>
  </si>
  <si>
    <t>CUST0735</t>
  </si>
  <si>
    <t>Michelle Martinez</t>
  </si>
  <si>
    <t>CUST0736</t>
  </si>
  <si>
    <t>Tina Johnson</t>
  </si>
  <si>
    <t>CUST0737</t>
  </si>
  <si>
    <t>Phillip Newton</t>
  </si>
  <si>
    <t>CUST0738</t>
  </si>
  <si>
    <t>Paul Flores</t>
  </si>
  <si>
    <t>CUST0739</t>
  </si>
  <si>
    <t>Amy Murray</t>
  </si>
  <si>
    <t>CUST0740</t>
  </si>
  <si>
    <t>Michael Peterson</t>
  </si>
  <si>
    <t>CUST0741</t>
  </si>
  <si>
    <t>Erica Pugh</t>
  </si>
  <si>
    <t>CUST0742</t>
  </si>
  <si>
    <t>Matthew Lopez</t>
  </si>
  <si>
    <t>CUST0743</t>
  </si>
  <si>
    <t>Maria Mitchell</t>
  </si>
  <si>
    <t>CUST0744</t>
  </si>
  <si>
    <t>Jeffrey Arnold</t>
  </si>
  <si>
    <t>CUST0745</t>
  </si>
  <si>
    <t>Kayla Mcgee</t>
  </si>
  <si>
    <t>CUST0746</t>
  </si>
  <si>
    <t>Mr. Robert Brooks</t>
  </si>
  <si>
    <t>CUST0747</t>
  </si>
  <si>
    <t>Christopher Anderson</t>
  </si>
  <si>
    <t>CUST0748</t>
  </si>
  <si>
    <t>Michael Levine</t>
  </si>
  <si>
    <t>CUST0749</t>
  </si>
  <si>
    <t>Jeffrey Wilson</t>
  </si>
  <si>
    <t>CUST0750</t>
  </si>
  <si>
    <t>Ashley Travis</t>
  </si>
  <si>
    <t>CUST0751</t>
  </si>
  <si>
    <t>Warren Acevedo</t>
  </si>
  <si>
    <t>CUST0752</t>
  </si>
  <si>
    <t>Ann Roy</t>
  </si>
  <si>
    <t>CUST0753</t>
  </si>
  <si>
    <t>Paula Ball</t>
  </si>
  <si>
    <t>CUST0754</t>
  </si>
  <si>
    <t>Jeffrey Perez</t>
  </si>
  <si>
    <t>CUST0755</t>
  </si>
  <si>
    <t>Rebecca Barr</t>
  </si>
  <si>
    <t>CUST0756</t>
  </si>
  <si>
    <t>Kyle Huff</t>
  </si>
  <si>
    <t>CUST0757</t>
  </si>
  <si>
    <t>Angela Wheeler</t>
  </si>
  <si>
    <t>CUST0758</t>
  </si>
  <si>
    <t>Justin Green</t>
  </si>
  <si>
    <t>CUST0759</t>
  </si>
  <si>
    <t>Nathaniel Armstrong</t>
  </si>
  <si>
    <t>CUST0760</t>
  </si>
  <si>
    <t>Brianna Moore</t>
  </si>
  <si>
    <t>CUST0761</t>
  </si>
  <si>
    <t>Elizabeth Mccann</t>
  </si>
  <si>
    <t>CUST0762</t>
  </si>
  <si>
    <t>David Fletcher</t>
  </si>
  <si>
    <t>CUST0763</t>
  </si>
  <si>
    <t>Mary Chavez</t>
  </si>
  <si>
    <t>CUST0764</t>
  </si>
  <si>
    <t>Dennis Jackson</t>
  </si>
  <si>
    <t>CUST0765</t>
  </si>
  <si>
    <t>Jennifer Hensley</t>
  </si>
  <si>
    <t>CUST0766</t>
  </si>
  <si>
    <t>Daniel Mcconnell</t>
  </si>
  <si>
    <t>CUST0767</t>
  </si>
  <si>
    <t>George Thomas</t>
  </si>
  <si>
    <t>CUST0768</t>
  </si>
  <si>
    <t>Morgan Hamilton</t>
  </si>
  <si>
    <t>CUST0769</t>
  </si>
  <si>
    <t>Matthew Arnold</t>
  </si>
  <si>
    <t>CUST0770</t>
  </si>
  <si>
    <t>Chase Carrillo</t>
  </si>
  <si>
    <t>CUST0771</t>
  </si>
  <si>
    <t>Dave Buckley</t>
  </si>
  <si>
    <t>CUST0772</t>
  </si>
  <si>
    <t>Timothy Williams</t>
  </si>
  <si>
    <t>CUST0773</t>
  </si>
  <si>
    <t>Charles Wilkins</t>
  </si>
  <si>
    <t>CUST0774</t>
  </si>
  <si>
    <t>Catherine Joseph</t>
  </si>
  <si>
    <t>CUST0775</t>
  </si>
  <si>
    <t>Daniel Moore</t>
  </si>
  <si>
    <t>CUST0776</t>
  </si>
  <si>
    <t>Sandra Price</t>
  </si>
  <si>
    <t>CUST0777</t>
  </si>
  <si>
    <t>Brian Gaines MD</t>
  </si>
  <si>
    <t>CUST0778</t>
  </si>
  <si>
    <t>David Hooper</t>
  </si>
  <si>
    <t>CUST0779</t>
  </si>
  <si>
    <t>Whitney Forbes</t>
  </si>
  <si>
    <t>CUST0780</t>
  </si>
  <si>
    <t>Thomas Hall</t>
  </si>
  <si>
    <t>CUST0781</t>
  </si>
  <si>
    <t>Dylan Brooks</t>
  </si>
  <si>
    <t>CUST0782</t>
  </si>
  <si>
    <t>Jesse Mccarthy</t>
  </si>
  <si>
    <t>CUST0783</t>
  </si>
  <si>
    <t>Kelly Dougherty</t>
  </si>
  <si>
    <t>CUST0784</t>
  </si>
  <si>
    <t>Mark Hill</t>
  </si>
  <si>
    <t>CUST0785</t>
  </si>
  <si>
    <t>Michele Hernandez</t>
  </si>
  <si>
    <t>CUST0786</t>
  </si>
  <si>
    <t>Kelly Price</t>
  </si>
  <si>
    <t>CUST0787</t>
  </si>
  <si>
    <t>Matthew Hunt</t>
  </si>
  <si>
    <t>CUST0788</t>
  </si>
  <si>
    <t>Brittany Acevedo</t>
  </si>
  <si>
    <t>CUST0789</t>
  </si>
  <si>
    <t>Angela Buchanan</t>
  </si>
  <si>
    <t>CUST0790</t>
  </si>
  <si>
    <t>Frank Clayton</t>
  </si>
  <si>
    <t>CUST0791</t>
  </si>
  <si>
    <t>Adriana Atkins</t>
  </si>
  <si>
    <t>CUST0792</t>
  </si>
  <si>
    <t>Mark Martin</t>
  </si>
  <si>
    <t>CUST0793</t>
  </si>
  <si>
    <t>Gregory Mcintosh</t>
  </si>
  <si>
    <t>CUST0794</t>
  </si>
  <si>
    <t>Ian Cook</t>
  </si>
  <si>
    <t>CUST0795</t>
  </si>
  <si>
    <t>William Wallace</t>
  </si>
  <si>
    <t>CUST0796</t>
  </si>
  <si>
    <t>Meagan Nguyen</t>
  </si>
  <si>
    <t>CUST0797</t>
  </si>
  <si>
    <t>Rhonda Hayes</t>
  </si>
  <si>
    <t>CUST0798</t>
  </si>
  <si>
    <t>Alexander Foley</t>
  </si>
  <si>
    <t>CUST0799</t>
  </si>
  <si>
    <t>Joshua James</t>
  </si>
  <si>
    <t>CUST0800</t>
  </si>
  <si>
    <t>Angela Miller</t>
  </si>
  <si>
    <t>CUST0801</t>
  </si>
  <si>
    <t>Angela Ortiz</t>
  </si>
  <si>
    <t>CUST0802</t>
  </si>
  <si>
    <t>Valerie Schmidt</t>
  </si>
  <si>
    <t>CUST0803</t>
  </si>
  <si>
    <t>Eric Reed</t>
  </si>
  <si>
    <t>CUST0804</t>
  </si>
  <si>
    <t>Brianna Thornton</t>
  </si>
  <si>
    <t>CUST0805</t>
  </si>
  <si>
    <t>Michael Lewis</t>
  </si>
  <si>
    <t>CUST0806</t>
  </si>
  <si>
    <t>Matthew Pratt</t>
  </si>
  <si>
    <t>CUST0807</t>
  </si>
  <si>
    <t>Christopher Hawkins</t>
  </si>
  <si>
    <t>CUST0808</t>
  </si>
  <si>
    <t>Kelly Goodwin</t>
  </si>
  <si>
    <t>CUST0809</t>
  </si>
  <si>
    <t>Christopher Walker</t>
  </si>
  <si>
    <t>CUST0810</t>
  </si>
  <si>
    <t>Jason Conway</t>
  </si>
  <si>
    <t>CUST0811</t>
  </si>
  <si>
    <t>Joseph Orr</t>
  </si>
  <si>
    <t>CUST0812</t>
  </si>
  <si>
    <t>Penny Phillips</t>
  </si>
  <si>
    <t>CUST0813</t>
  </si>
  <si>
    <t>Rebecca Case</t>
  </si>
  <si>
    <t>CUST0814</t>
  </si>
  <si>
    <t>Jenny Armstrong</t>
  </si>
  <si>
    <t>CUST0815</t>
  </si>
  <si>
    <t>Tiffany Miller</t>
  </si>
  <si>
    <t>CUST0816</t>
  </si>
  <si>
    <t>Robin Hanson</t>
  </si>
  <si>
    <t>CUST0817</t>
  </si>
  <si>
    <t>Tracey Nguyen</t>
  </si>
  <si>
    <t>CUST0818</t>
  </si>
  <si>
    <t>Mary Torres DDS</t>
  </si>
  <si>
    <t>CUST0819</t>
  </si>
  <si>
    <t>Rachel Benitez</t>
  </si>
  <si>
    <t>CUST0820</t>
  </si>
  <si>
    <t>Dr. Kelli Reed</t>
  </si>
  <si>
    <t>CUST0821</t>
  </si>
  <si>
    <t>Steven Long</t>
  </si>
  <si>
    <t>CUST0822</t>
  </si>
  <si>
    <t>Megan Rhodes</t>
  </si>
  <si>
    <t>CUST0823</t>
  </si>
  <si>
    <t>Brandon Thompson</t>
  </si>
  <si>
    <t>CUST0824</t>
  </si>
  <si>
    <t>Melissa Rice</t>
  </si>
  <si>
    <t>CUST0825</t>
  </si>
  <si>
    <t>Alexandria Marshall</t>
  </si>
  <si>
    <t>CUST0826</t>
  </si>
  <si>
    <t>William Barrett</t>
  </si>
  <si>
    <t>CUST0827</t>
  </si>
  <si>
    <t>Frank Daugherty</t>
  </si>
  <si>
    <t>CUST0828</t>
  </si>
  <si>
    <t>Kristen Brown</t>
  </si>
  <si>
    <t>CUST0829</t>
  </si>
  <si>
    <t>Randall Armstrong</t>
  </si>
  <si>
    <t>CUST0830</t>
  </si>
  <si>
    <t>Julie Payne</t>
  </si>
  <si>
    <t>CUST0831</t>
  </si>
  <si>
    <t>Matthew Campbell</t>
  </si>
  <si>
    <t>CUST0832</t>
  </si>
  <si>
    <t>Kevin Rios</t>
  </si>
  <si>
    <t>CUST0833</t>
  </si>
  <si>
    <t>Mario Gross</t>
  </si>
  <si>
    <t>CUST0834</t>
  </si>
  <si>
    <t>Michelle Munoz</t>
  </si>
  <si>
    <t>CUST0835</t>
  </si>
  <si>
    <t>Michael Montoya</t>
  </si>
  <si>
    <t>CUST0836</t>
  </si>
  <si>
    <t>Daniel Berry</t>
  </si>
  <si>
    <t>CUST0837</t>
  </si>
  <si>
    <t>Erik Griffin</t>
  </si>
  <si>
    <t>CUST0838</t>
  </si>
  <si>
    <t>Dawn West</t>
  </si>
  <si>
    <t>CUST0839</t>
  </si>
  <si>
    <t>Clayton Gomez</t>
  </si>
  <si>
    <t>CUST0840</t>
  </si>
  <si>
    <t>Patrick Boyd</t>
  </si>
  <si>
    <t>CUST0841</t>
  </si>
  <si>
    <t>Donald Powell</t>
  </si>
  <si>
    <t>CUST0842</t>
  </si>
  <si>
    <t>Lindsey Oneal</t>
  </si>
  <si>
    <t>CUST0843</t>
  </si>
  <si>
    <t>Cody Gutierrez</t>
  </si>
  <si>
    <t>CUST0844</t>
  </si>
  <si>
    <t>Cristina Munoz</t>
  </si>
  <si>
    <t>CUST0845</t>
  </si>
  <si>
    <t>Linda Davis</t>
  </si>
  <si>
    <t>CUST0846</t>
  </si>
  <si>
    <t>Helen Garcia</t>
  </si>
  <si>
    <t>CUST0847</t>
  </si>
  <si>
    <t>Rodney Cobb</t>
  </si>
  <si>
    <t>CUST0848</t>
  </si>
  <si>
    <t>Shawn Walsh</t>
  </si>
  <si>
    <t>CUST0849</t>
  </si>
  <si>
    <t>Jonathan Mitchell</t>
  </si>
  <si>
    <t>CUST0850</t>
  </si>
  <si>
    <t>Jesse Anderson</t>
  </si>
  <si>
    <t>CUST0851</t>
  </si>
  <si>
    <t>Jamie Rice</t>
  </si>
  <si>
    <t>CUST0852</t>
  </si>
  <si>
    <t>Tony Munoz</t>
  </si>
  <si>
    <t>CUST0853</t>
  </si>
  <si>
    <t>Kara Deleon</t>
  </si>
  <si>
    <t>CUST0854</t>
  </si>
  <si>
    <t>Gregory Klein</t>
  </si>
  <si>
    <t>CUST0855</t>
  </si>
  <si>
    <t>Joseph Carr</t>
  </si>
  <si>
    <t>CUST0856</t>
  </si>
  <si>
    <t>Susan Smith</t>
  </si>
  <si>
    <t>CUST0857</t>
  </si>
  <si>
    <t>Andrew Oconnor</t>
  </si>
  <si>
    <t>CUST0858</t>
  </si>
  <si>
    <t>Kimberly Kerr</t>
  </si>
  <si>
    <t>CUST0859</t>
  </si>
  <si>
    <t>Daniel Kaufman</t>
  </si>
  <si>
    <t>CUST0860</t>
  </si>
  <si>
    <t>Kyle Smith</t>
  </si>
  <si>
    <t>CUST0861</t>
  </si>
  <si>
    <t>Mrs. Mia Miller</t>
  </si>
  <si>
    <t>CUST0862</t>
  </si>
  <si>
    <t>Amy Perez</t>
  </si>
  <si>
    <t>CUST0863</t>
  </si>
  <si>
    <t>Jody Price</t>
  </si>
  <si>
    <t>CUST0864</t>
  </si>
  <si>
    <t>Calvin Moore</t>
  </si>
  <si>
    <t>CUST0865</t>
  </si>
  <si>
    <t>Natalie West</t>
  </si>
  <si>
    <t>CUST0866</t>
  </si>
  <si>
    <t>Phillip Johnson</t>
  </si>
  <si>
    <t>CUST0867</t>
  </si>
  <si>
    <t>Cameron Glenn</t>
  </si>
  <si>
    <t>CUST0868</t>
  </si>
  <si>
    <t>Wanda Burns DDS</t>
  </si>
  <si>
    <t>CUST0869</t>
  </si>
  <si>
    <t>Justin Santos</t>
  </si>
  <si>
    <t>CUST0870</t>
  </si>
  <si>
    <t>Brandy Smith</t>
  </si>
  <si>
    <t>CUST0871</t>
  </si>
  <si>
    <t>Lauren Brown</t>
  </si>
  <si>
    <t>CUST0872</t>
  </si>
  <si>
    <t>Thomas Harris</t>
  </si>
  <si>
    <t>CUST0873</t>
  </si>
  <si>
    <t>Tony Monroe</t>
  </si>
  <si>
    <t>CUST0874</t>
  </si>
  <si>
    <t>Alexis Fernandez</t>
  </si>
  <si>
    <t>CUST0875</t>
  </si>
  <si>
    <t>Kyle Guzman</t>
  </si>
  <si>
    <t>CUST0876</t>
  </si>
  <si>
    <t>Jerry Adkins</t>
  </si>
  <si>
    <t>CUST0877</t>
  </si>
  <si>
    <t>Pamela Weiss</t>
  </si>
  <si>
    <t>CUST0878</t>
  </si>
  <si>
    <t>Melissa Moyer</t>
  </si>
  <si>
    <t>CUST0879</t>
  </si>
  <si>
    <t>Alison Jackson</t>
  </si>
  <si>
    <t>CUST0880</t>
  </si>
  <si>
    <t>Melanie Williams</t>
  </si>
  <si>
    <t>CUST0881</t>
  </si>
  <si>
    <t>Brian Parker</t>
  </si>
  <si>
    <t>CUST0882</t>
  </si>
  <si>
    <t>Krystal Zimmerman DDS</t>
  </si>
  <si>
    <t>CUST0883</t>
  </si>
  <si>
    <t>Donna Reed</t>
  </si>
  <si>
    <t>CUST0884</t>
  </si>
  <si>
    <t>Diana Pierce</t>
  </si>
  <si>
    <t>CUST0885</t>
  </si>
  <si>
    <t>Julie Steele</t>
  </si>
  <si>
    <t>CUST0886</t>
  </si>
  <si>
    <t>Christopher Edwards</t>
  </si>
  <si>
    <t>CUST0887</t>
  </si>
  <si>
    <t>John Trevino</t>
  </si>
  <si>
    <t>CUST0888</t>
  </si>
  <si>
    <t>Gregory Lee</t>
  </si>
  <si>
    <t>CUST0889</t>
  </si>
  <si>
    <t>Kim Schwartz</t>
  </si>
  <si>
    <t>CUST0890</t>
  </si>
  <si>
    <t>Taylor Lopez</t>
  </si>
  <si>
    <t>CUST0891</t>
  </si>
  <si>
    <t>Kimberly Yang</t>
  </si>
  <si>
    <t>CUST0892</t>
  </si>
  <si>
    <t>Michelle Rios</t>
  </si>
  <si>
    <t>CUST0893</t>
  </si>
  <si>
    <t>Dr. Meredith Vega DVM</t>
  </si>
  <si>
    <t>CUST0894</t>
  </si>
  <si>
    <t>Cassidy Hicks</t>
  </si>
  <si>
    <t>CUST0895</t>
  </si>
  <si>
    <t>Jeffery Washington</t>
  </si>
  <si>
    <t>CUST0896</t>
  </si>
  <si>
    <t>Paul Ferguson</t>
  </si>
  <si>
    <t>CUST0897</t>
  </si>
  <si>
    <t>Derrick Perez</t>
  </si>
  <si>
    <t>CUST0898</t>
  </si>
  <si>
    <t>Nicole Luna</t>
  </si>
  <si>
    <t>CUST0899</t>
  </si>
  <si>
    <t>Whitney Garcia</t>
  </si>
  <si>
    <t>CUST0900</t>
  </si>
  <si>
    <t>Amy Williams</t>
  </si>
  <si>
    <t>CUST0901</t>
  </si>
  <si>
    <t>Marc Cole</t>
  </si>
  <si>
    <t>CUST0902</t>
  </si>
  <si>
    <t>Kevin Olson</t>
  </si>
  <si>
    <t>CUST0903</t>
  </si>
  <si>
    <t>Natasha Perkins</t>
  </si>
  <si>
    <t>CUST0904</t>
  </si>
  <si>
    <t>Kimberly Cooper</t>
  </si>
  <si>
    <t>CUST0905</t>
  </si>
  <si>
    <t>Natalie Knox</t>
  </si>
  <si>
    <t>CUST0906</t>
  </si>
  <si>
    <t>Jason Murray</t>
  </si>
  <si>
    <t>CUST0907</t>
  </si>
  <si>
    <t>Michael Adams</t>
  </si>
  <si>
    <t>CUST0908</t>
  </si>
  <si>
    <t>Janice Travis</t>
  </si>
  <si>
    <t>CUST0909</t>
  </si>
  <si>
    <t>Melissa Dominguez</t>
  </si>
  <si>
    <t>CUST0910</t>
  </si>
  <si>
    <t>Norman Garza</t>
  </si>
  <si>
    <t>CUST0911</t>
  </si>
  <si>
    <t>Eric Weaver</t>
  </si>
  <si>
    <t>CUST0912</t>
  </si>
  <si>
    <t>Steven Love</t>
  </si>
  <si>
    <t>CUST0913</t>
  </si>
  <si>
    <t>Karen Bartlett</t>
  </si>
  <si>
    <t>CUST0914</t>
  </si>
  <si>
    <t>Melinda Ford</t>
  </si>
  <si>
    <t>CUST0915</t>
  </si>
  <si>
    <t>Phillip Scott</t>
  </si>
  <si>
    <t>CUST0916</t>
  </si>
  <si>
    <t>Karen Thompson</t>
  </si>
  <si>
    <t>CUST0917</t>
  </si>
  <si>
    <t>Carrie Nichols</t>
  </si>
  <si>
    <t>CUST0918</t>
  </si>
  <si>
    <t>Christopher Williams</t>
  </si>
  <si>
    <t>CUST0919</t>
  </si>
  <si>
    <t>Kaitlyn Nichols</t>
  </si>
  <si>
    <t>CUST0920</t>
  </si>
  <si>
    <t>Victoria Woodard</t>
  </si>
  <si>
    <t>CUST0921</t>
  </si>
  <si>
    <t>Phillip Poole</t>
  </si>
  <si>
    <t>CUST0922</t>
  </si>
  <si>
    <t>Jason Ryan</t>
  </si>
  <si>
    <t>CUST0923</t>
  </si>
  <si>
    <t>Richard Miller</t>
  </si>
  <si>
    <t>CUST0924</t>
  </si>
  <si>
    <t>CUST0925</t>
  </si>
  <si>
    <t>Paula Cook</t>
  </si>
  <si>
    <t>CUST0926</t>
  </si>
  <si>
    <t>Heather Taylor</t>
  </si>
  <si>
    <t>CUST0927</t>
  </si>
  <si>
    <t>Danny Gutierrez</t>
  </si>
  <si>
    <t>CUST0928</t>
  </si>
  <si>
    <t>Jennifer Hanson</t>
  </si>
  <si>
    <t>CUST0929</t>
  </si>
  <si>
    <t>Dana Steele</t>
  </si>
  <si>
    <t>CUST0930</t>
  </si>
  <si>
    <t>Samantha Copeland</t>
  </si>
  <si>
    <t>CUST0931</t>
  </si>
  <si>
    <t>Carol Davis MD</t>
  </si>
  <si>
    <t>CUST0932</t>
  </si>
  <si>
    <t>Lori Ferguson</t>
  </si>
  <si>
    <t>CUST0933</t>
  </si>
  <si>
    <t>Andrew Weber</t>
  </si>
  <si>
    <t>CUST0934</t>
  </si>
  <si>
    <t>Alexis Nunez</t>
  </si>
  <si>
    <t>CUST0935</t>
  </si>
  <si>
    <t>John Reed</t>
  </si>
  <si>
    <t>CUST0936</t>
  </si>
  <si>
    <t>Jason Harris MD</t>
  </si>
  <si>
    <t>CUST0937</t>
  </si>
  <si>
    <t>Barbara Norton</t>
  </si>
  <si>
    <t>CUST0938</t>
  </si>
  <si>
    <t>Christopher Kim</t>
  </si>
  <si>
    <t>CUST0939</t>
  </si>
  <si>
    <t>Shane Wallace</t>
  </si>
  <si>
    <t>CUST0940</t>
  </si>
  <si>
    <t>John Hawkins</t>
  </si>
  <si>
    <t>CUST0941</t>
  </si>
  <si>
    <t>Terri Strickland</t>
  </si>
  <si>
    <t>CUST0942</t>
  </si>
  <si>
    <t>Anthony King</t>
  </si>
  <si>
    <t>CUST0943</t>
  </si>
  <si>
    <t>Amanda Hensley</t>
  </si>
  <si>
    <t>CUST0944</t>
  </si>
  <si>
    <t>Danny Soto</t>
  </si>
  <si>
    <t>CUST0945</t>
  </si>
  <si>
    <t>Greg Silva</t>
  </si>
  <si>
    <t>CUST0946</t>
  </si>
  <si>
    <t>Kimberly Fernandez</t>
  </si>
  <si>
    <t>CUST0947</t>
  </si>
  <si>
    <t>Michael Salinas</t>
  </si>
  <si>
    <t>CUST0948</t>
  </si>
  <si>
    <t>Rebecca Farmer</t>
  </si>
  <si>
    <t>CUST0949</t>
  </si>
  <si>
    <t>Jesse Brooks</t>
  </si>
  <si>
    <t>CUST0950</t>
  </si>
  <si>
    <t>Laura David</t>
  </si>
  <si>
    <t>CUST0951</t>
  </si>
  <si>
    <t>Jacob Sanchez</t>
  </si>
  <si>
    <t>CUST0952</t>
  </si>
  <si>
    <t>Kimberly Fisher</t>
  </si>
  <si>
    <t>CUST0953</t>
  </si>
  <si>
    <t>Aaron Lawson</t>
  </si>
  <si>
    <t>CUST0954</t>
  </si>
  <si>
    <t>Jose Miller</t>
  </si>
  <si>
    <t>CUST0955</t>
  </si>
  <si>
    <t>Mr. Zachary Decker</t>
  </si>
  <si>
    <t>CUST0956</t>
  </si>
  <si>
    <t>Mr. Marcus Marquez Jr.</t>
  </si>
  <si>
    <t>CUST0957</t>
  </si>
  <si>
    <t>Stephanie Collins</t>
  </si>
  <si>
    <t>CUST0958</t>
  </si>
  <si>
    <t>CUST0959</t>
  </si>
  <si>
    <t>Zachary Cunningham</t>
  </si>
  <si>
    <t>CUST0960</t>
  </si>
  <si>
    <t>David Nelson</t>
  </si>
  <si>
    <t>CUST0961</t>
  </si>
  <si>
    <t>Dylan Perez</t>
  </si>
  <si>
    <t>CUST0962</t>
  </si>
  <si>
    <t>Eric Leonard</t>
  </si>
  <si>
    <t>CUST0963</t>
  </si>
  <si>
    <t>Mark Gregory</t>
  </si>
  <si>
    <t>CUST0964</t>
  </si>
  <si>
    <t>Sheri Williams</t>
  </si>
  <si>
    <t>CUST0965</t>
  </si>
  <si>
    <t>Michael Joseph</t>
  </si>
  <si>
    <t>CUST0966</t>
  </si>
  <si>
    <t>Erin Hunter</t>
  </si>
  <si>
    <t>CUST0967</t>
  </si>
  <si>
    <t>Mark Zamora</t>
  </si>
  <si>
    <t>CUST0968</t>
  </si>
  <si>
    <t>Daniel Salazar</t>
  </si>
  <si>
    <t>CUST0969</t>
  </si>
  <si>
    <t>Blake Herrera</t>
  </si>
  <si>
    <t>CUST0970</t>
  </si>
  <si>
    <t>Joseph Wright</t>
  </si>
  <si>
    <t>CUST0971</t>
  </si>
  <si>
    <t>Eric Garcia</t>
  </si>
  <si>
    <t>CUST0972</t>
  </si>
  <si>
    <t>Jason Jensen</t>
  </si>
  <si>
    <t>CUST0973</t>
  </si>
  <si>
    <t>Natasha Nelson</t>
  </si>
  <si>
    <t>CUST0974</t>
  </si>
  <si>
    <t>Shirley Smith</t>
  </si>
  <si>
    <t>CUST0975</t>
  </si>
  <si>
    <t>Rachel Watson</t>
  </si>
  <si>
    <t>CUST0976</t>
  </si>
  <si>
    <t>Lauren Maldonado</t>
  </si>
  <si>
    <t>CUST0977</t>
  </si>
  <si>
    <t>Kelsey Little</t>
  </si>
  <si>
    <t>CUST0978</t>
  </si>
  <si>
    <t>Stephen Perry</t>
  </si>
  <si>
    <t>CUST0979</t>
  </si>
  <si>
    <t>George Rivera</t>
  </si>
  <si>
    <t>CUST0980</t>
  </si>
  <si>
    <t>CUST0981</t>
  </si>
  <si>
    <t>Diana Contreras</t>
  </si>
  <si>
    <t>CUST0982</t>
  </si>
  <si>
    <t>Victoria Martin</t>
  </si>
  <si>
    <t>CUST0983</t>
  </si>
  <si>
    <t>Karen Wright</t>
  </si>
  <si>
    <t>CUST0984</t>
  </si>
  <si>
    <t>Anthony Blackburn DDS</t>
  </si>
  <si>
    <t>CUST0985</t>
  </si>
  <si>
    <t>Mark Jones</t>
  </si>
  <si>
    <t>CUST0986</t>
  </si>
  <si>
    <t>Kelly Peters</t>
  </si>
  <si>
    <t>CUST0987</t>
  </si>
  <si>
    <t>Leslie Gomez</t>
  </si>
  <si>
    <t>CUST0988</t>
  </si>
  <si>
    <t>Michael Ingram</t>
  </si>
  <si>
    <t>CUST0989</t>
  </si>
  <si>
    <t>Susan Harrison</t>
  </si>
  <si>
    <t>CUST0990</t>
  </si>
  <si>
    <t>David Welch</t>
  </si>
  <si>
    <t>CUST0991</t>
  </si>
  <si>
    <t>Doris Moreno</t>
  </si>
  <si>
    <t>CUST0992</t>
  </si>
  <si>
    <t>CUST0993</t>
  </si>
  <si>
    <t>April Brewer</t>
  </si>
  <si>
    <t>CUST0994</t>
  </si>
  <si>
    <t>Marilyn Morton</t>
  </si>
  <si>
    <t>CUST0995</t>
  </si>
  <si>
    <t>Cory Jordan</t>
  </si>
  <si>
    <t>CUST0996</t>
  </si>
  <si>
    <t>Benjamin Cross</t>
  </si>
  <si>
    <t>CUST0997</t>
  </si>
  <si>
    <t>Catherine Miller</t>
  </si>
  <si>
    <t>CUST0998</t>
  </si>
  <si>
    <t>Melinda Perry</t>
  </si>
  <si>
    <t>CUST0999</t>
  </si>
  <si>
    <t>Melissa Strickland</t>
  </si>
  <si>
    <t>CUST1000</t>
  </si>
  <si>
    <t>Sandra Sandoval</t>
  </si>
  <si>
    <t>CUST1001</t>
  </si>
  <si>
    <t>Bonnie Young</t>
  </si>
  <si>
    <t>CUST1002</t>
  </si>
  <si>
    <t>Kim Martinez</t>
  </si>
  <si>
    <t>CUST1003</t>
  </si>
  <si>
    <t>Samuel Becker</t>
  </si>
  <si>
    <t>CUST1004</t>
  </si>
  <si>
    <t>Victoria Baker</t>
  </si>
  <si>
    <t>CUST1005</t>
  </si>
  <si>
    <t>Taylor Brown</t>
  </si>
  <si>
    <t>CUST1006</t>
  </si>
  <si>
    <t>Amy Thompson</t>
  </si>
  <si>
    <t>CUST1007</t>
  </si>
  <si>
    <t>Cynthia Barnes</t>
  </si>
  <si>
    <t>CUST1008</t>
  </si>
  <si>
    <t>Kelly Wong</t>
  </si>
  <si>
    <t>CUST1009</t>
  </si>
  <si>
    <t>Joel Alexander</t>
  </si>
  <si>
    <t>CUST1010</t>
  </si>
  <si>
    <t>Michael Ortiz</t>
  </si>
  <si>
    <t>CUST1011</t>
  </si>
  <si>
    <t>Dillon Barnes</t>
  </si>
  <si>
    <t>CUST1012</t>
  </si>
  <si>
    <t>Jordan Ballard</t>
  </si>
  <si>
    <t>CUST1013</t>
  </si>
  <si>
    <t>Joshua Sharp</t>
  </si>
  <si>
    <t>CUST1014</t>
  </si>
  <si>
    <t>Shannon Butler</t>
  </si>
  <si>
    <t>CUST1015</t>
  </si>
  <si>
    <t>Kaylee Wright</t>
  </si>
  <si>
    <t>CUST1016</t>
  </si>
  <si>
    <t>Kevin Collier</t>
  </si>
  <si>
    <t>CUST1017</t>
  </si>
  <si>
    <t>Antonio Skinner</t>
  </si>
  <si>
    <t>CUST1018</t>
  </si>
  <si>
    <t>Jennifer Coleman</t>
  </si>
  <si>
    <t>CUST1019</t>
  </si>
  <si>
    <t>Sabrina Figueroa</t>
  </si>
  <si>
    <t>CUST1020</t>
  </si>
  <si>
    <t>Adam Garcia</t>
  </si>
  <si>
    <t>CUST1021</t>
  </si>
  <si>
    <t>Todd Clark</t>
  </si>
  <si>
    <t>CUST1022</t>
  </si>
  <si>
    <t>Ronnie Hobbs</t>
  </si>
  <si>
    <t>CUST1023</t>
  </si>
  <si>
    <t>Devon Stafford</t>
  </si>
  <si>
    <t>CUST1024</t>
  </si>
  <si>
    <t>Joshua Rodriguez</t>
  </si>
  <si>
    <t>CUST1025</t>
  </si>
  <si>
    <t>Shannon Gomez</t>
  </si>
  <si>
    <t>CUST1026</t>
  </si>
  <si>
    <t>Sheila Waters</t>
  </si>
  <si>
    <t>CUST1027</t>
  </si>
  <si>
    <t>CUST1028</t>
  </si>
  <si>
    <t>Amber Turner</t>
  </si>
  <si>
    <t>CUST1029</t>
  </si>
  <si>
    <t>Anna Delacruz</t>
  </si>
  <si>
    <t>CUST1030</t>
  </si>
  <si>
    <t>Crystal Everett</t>
  </si>
  <si>
    <t>CUST1031</t>
  </si>
  <si>
    <t>Leslie James</t>
  </si>
  <si>
    <t>CUST1032</t>
  </si>
  <si>
    <t>CUST1033</t>
  </si>
  <si>
    <t>Kevin Stokes</t>
  </si>
  <si>
    <t>CUST1034</t>
  </si>
  <si>
    <t>Christopher Patel</t>
  </si>
  <si>
    <t>CUST1035</t>
  </si>
  <si>
    <t>Clifford Buckley</t>
  </si>
  <si>
    <t>CUST1036</t>
  </si>
  <si>
    <t>Gregory Luna</t>
  </si>
  <si>
    <t>CUST1037</t>
  </si>
  <si>
    <t>Maria Jones</t>
  </si>
  <si>
    <t>CUST1038</t>
  </si>
  <si>
    <t>Jennifer Rodriguez</t>
  </si>
  <si>
    <t>CUST1039</t>
  </si>
  <si>
    <t>Alex Garcia</t>
  </si>
  <si>
    <t>CUST1040</t>
  </si>
  <si>
    <t>CUST1041</t>
  </si>
  <si>
    <t>Justin Greene</t>
  </si>
  <si>
    <t>CUST1042</t>
  </si>
  <si>
    <t>Joseph Phillips</t>
  </si>
  <si>
    <t>CUST1043</t>
  </si>
  <si>
    <t>Jacob Rodriguez</t>
  </si>
  <si>
    <t>CUST1044</t>
  </si>
  <si>
    <t>Rhonda Walters</t>
  </si>
  <si>
    <t>CUST1045</t>
  </si>
  <si>
    <t>Christopher Brown</t>
  </si>
  <si>
    <t>CUST1046</t>
  </si>
  <si>
    <t>Cynthia Rodriguez</t>
  </si>
  <si>
    <t>CUST1047</t>
  </si>
  <si>
    <t>Matthew Marshall</t>
  </si>
  <si>
    <t>CUST1048</t>
  </si>
  <si>
    <t>Leslie Proctor</t>
  </si>
  <si>
    <t>CUST1049</t>
  </si>
  <si>
    <t>Katherine Fernandez</t>
  </si>
  <si>
    <t>CUST1050</t>
  </si>
  <si>
    <t>Jeffrey Gibson</t>
  </si>
  <si>
    <t>CUST1051</t>
  </si>
  <si>
    <t>Andrea Salinas</t>
  </si>
  <si>
    <t>CUST1052</t>
  </si>
  <si>
    <t>Michael Jones</t>
  </si>
  <si>
    <t>CUST1053</t>
  </si>
  <si>
    <t>David Reynolds</t>
  </si>
  <si>
    <t>CUST1054</t>
  </si>
  <si>
    <t>Nancy Jackson</t>
  </si>
  <si>
    <t>CUST1055</t>
  </si>
  <si>
    <t>Randy Murray</t>
  </si>
  <si>
    <t>CUST1056</t>
  </si>
  <si>
    <t>Angela Hampton</t>
  </si>
  <si>
    <t>CUST1057</t>
  </si>
  <si>
    <t>Margaret Nguyen</t>
  </si>
  <si>
    <t>CUST1058</t>
  </si>
  <si>
    <t>Francis Garcia</t>
  </si>
  <si>
    <t>CUST1059</t>
  </si>
  <si>
    <t>Allison Smith</t>
  </si>
  <si>
    <t>CUST1060</t>
  </si>
  <si>
    <t>Daniel Jones</t>
  </si>
  <si>
    <t>CUST1061</t>
  </si>
  <si>
    <t>Anna Johnson</t>
  </si>
  <si>
    <t>CUST1062</t>
  </si>
  <si>
    <t>Jerry Spencer</t>
  </si>
  <si>
    <t>CUST1063</t>
  </si>
  <si>
    <t>Alyssa Perez</t>
  </si>
  <si>
    <t>CUST1064</t>
  </si>
  <si>
    <t>Lindsay Richardson</t>
  </si>
  <si>
    <t>CUST1065</t>
  </si>
  <si>
    <t>Theodore Francis</t>
  </si>
  <si>
    <t>CUST1066</t>
  </si>
  <si>
    <t>Jessica Smith DDS</t>
  </si>
  <si>
    <t>CUST1067</t>
  </si>
  <si>
    <t>Jim Thompson</t>
  </si>
  <si>
    <t>CUST1068</t>
  </si>
  <si>
    <t>Keith Frederick</t>
  </si>
  <si>
    <t>CUST1069</t>
  </si>
  <si>
    <t>Emily Thompson</t>
  </si>
  <si>
    <t>CUST1070</t>
  </si>
  <si>
    <t>Jacqueline Mcintosh</t>
  </si>
  <si>
    <t>CUST1071</t>
  </si>
  <si>
    <t>Sheila Patel</t>
  </si>
  <si>
    <t>CUST1072</t>
  </si>
  <si>
    <t>Paul Dawson</t>
  </si>
  <si>
    <t>CUST1073</t>
  </si>
  <si>
    <t>Rebecca Stewart</t>
  </si>
  <si>
    <t>CUST1074</t>
  </si>
  <si>
    <t>Marcus Mcgee</t>
  </si>
  <si>
    <t>CUST1075</t>
  </si>
  <si>
    <t>Sheila Chan</t>
  </si>
  <si>
    <t>CUST1076</t>
  </si>
  <si>
    <t>Kathleen Roberts</t>
  </si>
  <si>
    <t>CUST1077</t>
  </si>
  <si>
    <t>Michelle Berger</t>
  </si>
  <si>
    <t>CUST1078</t>
  </si>
  <si>
    <t>Philip Bruce</t>
  </si>
  <si>
    <t>CUST1079</t>
  </si>
  <si>
    <t>Michael Sanford</t>
  </si>
  <si>
    <t>CUST1080</t>
  </si>
  <si>
    <t>Roberta Grant</t>
  </si>
  <si>
    <t>CUST1081</t>
  </si>
  <si>
    <t>Cathy Brooks</t>
  </si>
  <si>
    <t>CUST1082</t>
  </si>
  <si>
    <t>Christina Robinson</t>
  </si>
  <si>
    <t>CUST1083</t>
  </si>
  <si>
    <t>Nicole Mcdowell</t>
  </si>
  <si>
    <t>CUST1084</t>
  </si>
  <si>
    <t>Aaron Ford</t>
  </si>
  <si>
    <t>CUST1085</t>
  </si>
  <si>
    <t>James Harding</t>
  </si>
  <si>
    <t>CUST1086</t>
  </si>
  <si>
    <t>Martin Reeves</t>
  </si>
  <si>
    <t>CUST1087</t>
  </si>
  <si>
    <t>Jennifer Salazar DVM</t>
  </si>
  <si>
    <t>CUST1088</t>
  </si>
  <si>
    <t>Margaret Rosales</t>
  </si>
  <si>
    <t>CUST1089</t>
  </si>
  <si>
    <t>John Wright</t>
  </si>
  <si>
    <t>CUST1090</t>
  </si>
  <si>
    <t>Kayla Stone</t>
  </si>
  <si>
    <t>CUST1091</t>
  </si>
  <si>
    <t>David Brown</t>
  </si>
  <si>
    <t>CUST1092</t>
  </si>
  <si>
    <t>Paul Wilson</t>
  </si>
  <si>
    <t>CUST1093</t>
  </si>
  <si>
    <t>Charles Lopez</t>
  </si>
  <si>
    <t>CUST1094</t>
  </si>
  <si>
    <t>Elizabeth Peterson</t>
  </si>
  <si>
    <t>CUST1095</t>
  </si>
  <si>
    <t>Jacob Sanders</t>
  </si>
  <si>
    <t>CUST1096</t>
  </si>
  <si>
    <t>John Palmer</t>
  </si>
  <si>
    <t>CUST1097</t>
  </si>
  <si>
    <t>Megan Smith</t>
  </si>
  <si>
    <t>CUST1098</t>
  </si>
  <si>
    <t>John Jones</t>
  </si>
  <si>
    <t>CUST1099</t>
  </si>
  <si>
    <t>Justin Richmond</t>
  </si>
  <si>
    <t>CUST1100</t>
  </si>
  <si>
    <t>David Taylor</t>
  </si>
  <si>
    <t>CUST1101</t>
  </si>
  <si>
    <t>Andrew Haynes</t>
  </si>
  <si>
    <t>CUST1102</t>
  </si>
  <si>
    <t>Eric Davis</t>
  </si>
  <si>
    <t>CUST1103</t>
  </si>
  <si>
    <t>Mitchell Obrien</t>
  </si>
  <si>
    <t>CUST1104</t>
  </si>
  <si>
    <t>Robert Hall</t>
  </si>
  <si>
    <t>CUST1105</t>
  </si>
  <si>
    <t>Brandon Brown</t>
  </si>
  <si>
    <t>CUST1106</t>
  </si>
  <si>
    <t>Joseph Daniels</t>
  </si>
  <si>
    <t>CUST1107</t>
  </si>
  <si>
    <t>Taylor Bell</t>
  </si>
  <si>
    <t>CUST1108</t>
  </si>
  <si>
    <t>Regina Hawkins</t>
  </si>
  <si>
    <t>CUST1109</t>
  </si>
  <si>
    <t>Molly Rogers</t>
  </si>
  <si>
    <t>CUST1110</t>
  </si>
  <si>
    <t>Jeanette Osborne</t>
  </si>
  <si>
    <t>CUST1111</t>
  </si>
  <si>
    <t>Adam Collier</t>
  </si>
  <si>
    <t>CUST1112</t>
  </si>
  <si>
    <t>Elijah Chapman</t>
  </si>
  <si>
    <t>CUST1113</t>
  </si>
  <si>
    <t>Sara Kelly</t>
  </si>
  <si>
    <t>CUST1114</t>
  </si>
  <si>
    <t>Michael Turner</t>
  </si>
  <si>
    <t>CUST1115</t>
  </si>
  <si>
    <t>Elizabeth Richards</t>
  </si>
  <si>
    <t>CUST1116</t>
  </si>
  <si>
    <t>Melissa Burns</t>
  </si>
  <si>
    <t>CUST1117</t>
  </si>
  <si>
    <t>Michael Cohen</t>
  </si>
  <si>
    <t>CUST1118</t>
  </si>
  <si>
    <t>Rodney Bradley</t>
  </si>
  <si>
    <t>CUST1119</t>
  </si>
  <si>
    <t>Melissa Stephenson</t>
  </si>
  <si>
    <t>CUST1120</t>
  </si>
  <si>
    <t>Joe Lewis</t>
  </si>
  <si>
    <t>CUST1121</t>
  </si>
  <si>
    <t>Warren Green</t>
  </si>
  <si>
    <t>CUST1122</t>
  </si>
  <si>
    <t>Joshua Sparks</t>
  </si>
  <si>
    <t>CUST1123</t>
  </si>
  <si>
    <t>Allison Villa</t>
  </si>
  <si>
    <t>CUST1124</t>
  </si>
  <si>
    <t>Olivia Johnson</t>
  </si>
  <si>
    <t>CUST1125</t>
  </si>
  <si>
    <t>Jason Parker</t>
  </si>
  <si>
    <t>CUST1126</t>
  </si>
  <si>
    <t>Donna Miller</t>
  </si>
  <si>
    <t>CUST1127</t>
  </si>
  <si>
    <t>Janet Anderson</t>
  </si>
  <si>
    <t>CUST1128</t>
  </si>
  <si>
    <t>William Chapman</t>
  </si>
  <si>
    <t>CUST1129</t>
  </si>
  <si>
    <t>Alicia Daniel</t>
  </si>
  <si>
    <t>CUST1130</t>
  </si>
  <si>
    <t>Rebecca Mason</t>
  </si>
  <si>
    <t>CUST1131</t>
  </si>
  <si>
    <t>Leah Norman</t>
  </si>
  <si>
    <t>CUST1132</t>
  </si>
  <si>
    <t>Jeffrey Armstrong</t>
  </si>
  <si>
    <t>CUST1133</t>
  </si>
  <si>
    <t>Todd Ellis</t>
  </si>
  <si>
    <t>CUST1134</t>
  </si>
  <si>
    <t>Jo Weaver</t>
  </si>
  <si>
    <t>CUST1135</t>
  </si>
  <si>
    <t>John Barnes</t>
  </si>
  <si>
    <t>CUST1136</t>
  </si>
  <si>
    <t>Michael Petersen</t>
  </si>
  <si>
    <t>CUST1137</t>
  </si>
  <si>
    <t>Joshua Salas</t>
  </si>
  <si>
    <t>CUST1138</t>
  </si>
  <si>
    <t>Sharon Allen</t>
  </si>
  <si>
    <t>CUST1139</t>
  </si>
  <si>
    <t>Kristin Hampton</t>
  </si>
  <si>
    <t>CUST1140</t>
  </si>
  <si>
    <t>Lisa Montgomery</t>
  </si>
  <si>
    <t>CUST1141</t>
  </si>
  <si>
    <t>Mark Carpenter</t>
  </si>
  <si>
    <t>CUST1142</t>
  </si>
  <si>
    <t>Nathan Torres</t>
  </si>
  <si>
    <t>CUST1143</t>
  </si>
  <si>
    <t>Noah Martin</t>
  </si>
  <si>
    <t>CUST1144</t>
  </si>
  <si>
    <t>Steven Lee</t>
  </si>
  <si>
    <t>CUST1145</t>
  </si>
  <si>
    <t>Christopher Joyce</t>
  </si>
  <si>
    <t>CUST1146</t>
  </si>
  <si>
    <t>Stanley Medina</t>
  </si>
  <si>
    <t>CUST1147</t>
  </si>
  <si>
    <t>Dennis Diaz</t>
  </si>
  <si>
    <t>CUST1148</t>
  </si>
  <si>
    <t>Zachary Chapman</t>
  </si>
  <si>
    <t>CUST1149</t>
  </si>
  <si>
    <t>Robert Palmer</t>
  </si>
  <si>
    <t>CUST1150</t>
  </si>
  <si>
    <t>Rebecca Clark</t>
  </si>
  <si>
    <t>CUST1151</t>
  </si>
  <si>
    <t>Martha Tanner</t>
  </si>
  <si>
    <t>CUST1152</t>
  </si>
  <si>
    <t>Peter Miller</t>
  </si>
  <si>
    <t>CUST1153</t>
  </si>
  <si>
    <t>Michael Garrett</t>
  </si>
  <si>
    <t>CUST1154</t>
  </si>
  <si>
    <t>Sandra Chambers</t>
  </si>
  <si>
    <t>CUST1155</t>
  </si>
  <si>
    <t>Kathy Sanchez</t>
  </si>
  <si>
    <t>CUST1156</t>
  </si>
  <si>
    <t>Michelle Jones</t>
  </si>
  <si>
    <t>CUST1157</t>
  </si>
  <si>
    <t>Johnny White</t>
  </si>
  <si>
    <t>CUST1158</t>
  </si>
  <si>
    <t>Teresa Hamilton</t>
  </si>
  <si>
    <t>CUST1159</t>
  </si>
  <si>
    <t>Bryan Williams</t>
  </si>
  <si>
    <t>CUST1160</t>
  </si>
  <si>
    <t>Angela Hebert</t>
  </si>
  <si>
    <t>CUST1161</t>
  </si>
  <si>
    <t>Paul Rogers</t>
  </si>
  <si>
    <t>CUST1162</t>
  </si>
  <si>
    <t>Philip Gonzales</t>
  </si>
  <si>
    <t>CUST1163</t>
  </si>
  <si>
    <t>Aaron Rivera</t>
  </si>
  <si>
    <t>CUST1164</t>
  </si>
  <si>
    <t>Denise Olson</t>
  </si>
  <si>
    <t>CUST1165</t>
  </si>
  <si>
    <t>Kathleen Johnson</t>
  </si>
  <si>
    <t>CUST1166</t>
  </si>
  <si>
    <t>Scott Crawford</t>
  </si>
  <si>
    <t>CUST1167</t>
  </si>
  <si>
    <t>Jeffrey Barton</t>
  </si>
  <si>
    <t>CUST1168</t>
  </si>
  <si>
    <t>James Anderson</t>
  </si>
  <si>
    <t>CUST1169</t>
  </si>
  <si>
    <t>Jack Thomas</t>
  </si>
  <si>
    <t>CUST1170</t>
  </si>
  <si>
    <t>Steven Thomas</t>
  </si>
  <si>
    <t>CUST1171</t>
  </si>
  <si>
    <t>Stacy Arnold</t>
  </si>
  <si>
    <t>CUST1172</t>
  </si>
  <si>
    <t>Jonathan Gonzalez</t>
  </si>
  <si>
    <t>CUST1173</t>
  </si>
  <si>
    <t>Christopher King</t>
  </si>
  <si>
    <t>CUST1174</t>
  </si>
  <si>
    <t>Gabrielle Lyons</t>
  </si>
  <si>
    <t>CUST1175</t>
  </si>
  <si>
    <t>Robert Bailey</t>
  </si>
  <si>
    <t>CUST1176</t>
  </si>
  <si>
    <t>David Kim</t>
  </si>
  <si>
    <t>CUST1177</t>
  </si>
  <si>
    <t>Miguel Powers</t>
  </si>
  <si>
    <t>CUST1178</t>
  </si>
  <si>
    <t>Kim Oliver</t>
  </si>
  <si>
    <t>CUST1179</t>
  </si>
  <si>
    <t>Michael Ross</t>
  </si>
  <si>
    <t>CUST1180</t>
  </si>
  <si>
    <t>William Jordan</t>
  </si>
  <si>
    <t>CUST1181</t>
  </si>
  <si>
    <t>Judith Romero</t>
  </si>
  <si>
    <t>CUST1182</t>
  </si>
  <si>
    <t>Yolanda Lyons</t>
  </si>
  <si>
    <t>CUST1183</t>
  </si>
  <si>
    <t>Joseph Baker</t>
  </si>
  <si>
    <t>CUST1184</t>
  </si>
  <si>
    <t>Johnny Morris</t>
  </si>
  <si>
    <t>CUST1185</t>
  </si>
  <si>
    <t>Susan Ryan</t>
  </si>
  <si>
    <t>CUST1186</t>
  </si>
  <si>
    <t>John Brady</t>
  </si>
  <si>
    <t>CUST1187</t>
  </si>
  <si>
    <t>Eduardo Rodriguez</t>
  </si>
  <si>
    <t>CUST1188</t>
  </si>
  <si>
    <t>Stephanie Merritt</t>
  </si>
  <si>
    <t>CUST1189</t>
  </si>
  <si>
    <t>Emily Baker</t>
  </si>
  <si>
    <t>CUST1190</t>
  </si>
  <si>
    <t>Stephanie Sanchez</t>
  </si>
  <si>
    <t>CUST1191</t>
  </si>
  <si>
    <t>Jack Doyle</t>
  </si>
  <si>
    <t>CUST1192</t>
  </si>
  <si>
    <t>David Smith</t>
  </si>
  <si>
    <t>CUST1193</t>
  </si>
  <si>
    <t>Jessica Sandoval</t>
  </si>
  <si>
    <t>CUST1194</t>
  </si>
  <si>
    <t>Angela Jones</t>
  </si>
  <si>
    <t>CUST1195</t>
  </si>
  <si>
    <t>Jennifer Brock</t>
  </si>
  <si>
    <t>CUST1196</t>
  </si>
  <si>
    <t>Nicholas Bradley</t>
  </si>
  <si>
    <t>CUST1197</t>
  </si>
  <si>
    <t>Nicole Smith</t>
  </si>
  <si>
    <t>CUST1198</t>
  </si>
  <si>
    <t>Cynthia Torres</t>
  </si>
  <si>
    <t>CUST1199</t>
  </si>
  <si>
    <t>Kevin Thompson</t>
  </si>
  <si>
    <t>CUST1200</t>
  </si>
  <si>
    <t>Mitchell Whitaker</t>
  </si>
  <si>
    <t>CUST1201</t>
  </si>
  <si>
    <t>John Bryant</t>
  </si>
  <si>
    <t>CUST1202</t>
  </si>
  <si>
    <t>Daniel Dalton</t>
  </si>
  <si>
    <t>CUST1203</t>
  </si>
  <si>
    <t>Hunter West</t>
  </si>
  <si>
    <t>CUST1204</t>
  </si>
  <si>
    <t>Tammy Dominguez</t>
  </si>
  <si>
    <t>CUST1205</t>
  </si>
  <si>
    <t>Whitney Porter</t>
  </si>
  <si>
    <t>CUST1206</t>
  </si>
  <si>
    <t>Caroline Brown</t>
  </si>
  <si>
    <t>CUST1207</t>
  </si>
  <si>
    <t>Randy Clark</t>
  </si>
  <si>
    <t>CUST1208</t>
  </si>
  <si>
    <t>Maria Riggs</t>
  </si>
  <si>
    <t>CUST1209</t>
  </si>
  <si>
    <t>Marcus Jones</t>
  </si>
  <si>
    <t>CUST1210</t>
  </si>
  <si>
    <t>Jean Chambers</t>
  </si>
  <si>
    <t>CUST1211</t>
  </si>
  <si>
    <t>Jean Hawkins</t>
  </si>
  <si>
    <t>CUST1212</t>
  </si>
  <si>
    <t>Erin Williams</t>
  </si>
  <si>
    <t>CUST1213</t>
  </si>
  <si>
    <t>Steven Preston</t>
  </si>
  <si>
    <t>CUST1214</t>
  </si>
  <si>
    <t>Lisa Ross</t>
  </si>
  <si>
    <t>CUST1215</t>
  </si>
  <si>
    <t>Amanda Russell</t>
  </si>
  <si>
    <t>CUST1216</t>
  </si>
  <si>
    <t>Sean Adams</t>
  </si>
  <si>
    <t>CUST1217</t>
  </si>
  <si>
    <t>Brandon Rocha</t>
  </si>
  <si>
    <t>CUST1218</t>
  </si>
  <si>
    <t>Daniel Moon</t>
  </si>
  <si>
    <t>CUST1219</t>
  </si>
  <si>
    <t>Robert Zimmerman</t>
  </si>
  <si>
    <t>CUST1220</t>
  </si>
  <si>
    <t>Timothy Gutierrez</t>
  </si>
  <si>
    <t>CUST1221</t>
  </si>
  <si>
    <t>Alexis Wilcox MD</t>
  </si>
  <si>
    <t>CUST1222</t>
  </si>
  <si>
    <t>Brian Reynolds</t>
  </si>
  <si>
    <t>CUST1223</t>
  </si>
  <si>
    <t>Logan Cohen</t>
  </si>
  <si>
    <t>CUST1224</t>
  </si>
  <si>
    <t>CUST1225</t>
  </si>
  <si>
    <t>Deborah Alvarez</t>
  </si>
  <si>
    <t>CUST1226</t>
  </si>
  <si>
    <t>Justin Morales</t>
  </si>
  <si>
    <t>CUST1227</t>
  </si>
  <si>
    <t>Mary Ward</t>
  </si>
  <si>
    <t>CUST1228</t>
  </si>
  <si>
    <t>Joshua Powell</t>
  </si>
  <si>
    <t>CUST1229</t>
  </si>
  <si>
    <t>Walter Bowman</t>
  </si>
  <si>
    <t>CUST1230</t>
  </si>
  <si>
    <t>Dr. Tracie Butler DDS</t>
  </si>
  <si>
    <t>CUST1231</t>
  </si>
  <si>
    <t>Taylor Adams</t>
  </si>
  <si>
    <t>CUST1232</t>
  </si>
  <si>
    <t>Veronica James</t>
  </si>
  <si>
    <t>CUST1233</t>
  </si>
  <si>
    <t>Melinda Maldonado</t>
  </si>
  <si>
    <t>CUST1234</t>
  </si>
  <si>
    <t>Timothy Francis</t>
  </si>
  <si>
    <t>CUST1235</t>
  </si>
  <si>
    <t>Daniel Dominguez</t>
  </si>
  <si>
    <t>CUST1236</t>
  </si>
  <si>
    <t>Christopher Cooper</t>
  </si>
  <si>
    <t>CUST1237</t>
  </si>
  <si>
    <t>Tiffany White</t>
  </si>
  <si>
    <t>CUST1238</t>
  </si>
  <si>
    <t>Linda Pratt</t>
  </si>
  <si>
    <t>CUST1239</t>
  </si>
  <si>
    <t>Adrian Anderson</t>
  </si>
  <si>
    <t>CUST1240</t>
  </si>
  <si>
    <t>John Ross</t>
  </si>
  <si>
    <t>CUST1241</t>
  </si>
  <si>
    <t>Jerry Perkins</t>
  </si>
  <si>
    <t>CUST1242</t>
  </si>
  <si>
    <t>Tiffany Maynard</t>
  </si>
  <si>
    <t>CUST1243</t>
  </si>
  <si>
    <t>Todd Le</t>
  </si>
  <si>
    <t>CUST1244</t>
  </si>
  <si>
    <t>Natasha Woodard</t>
  </si>
  <si>
    <t>CUST1245</t>
  </si>
  <si>
    <t>Nancy Wall</t>
  </si>
  <si>
    <t>CUST1246</t>
  </si>
  <si>
    <t>Maria Franklin</t>
  </si>
  <si>
    <t>CUST1247</t>
  </si>
  <si>
    <t>Madison Johnson</t>
  </si>
  <si>
    <t>CUST1248</t>
  </si>
  <si>
    <t>Mariah Hernandez</t>
  </si>
  <si>
    <t>CUST1249</t>
  </si>
  <si>
    <t>Christina Moore</t>
  </si>
  <si>
    <t>CUST1250</t>
  </si>
  <si>
    <t>Sandra Chaney</t>
  </si>
  <si>
    <t>CUST1251</t>
  </si>
  <si>
    <t>Jonathan Vaughn</t>
  </si>
  <si>
    <t>CUST1252</t>
  </si>
  <si>
    <t>Kelly Perez</t>
  </si>
  <si>
    <t>CUST1253</t>
  </si>
  <si>
    <t>Courtney Johnson</t>
  </si>
  <si>
    <t>CUST1254</t>
  </si>
  <si>
    <t>Virginia Ferguson</t>
  </si>
  <si>
    <t>CUST1255</t>
  </si>
  <si>
    <t>Ethan Mason</t>
  </si>
  <si>
    <t>CUST1256</t>
  </si>
  <si>
    <t>Aaron Fischer</t>
  </si>
  <si>
    <t>CUST1257</t>
  </si>
  <si>
    <t>Chris Fitzpatrick</t>
  </si>
  <si>
    <t>CUST1258</t>
  </si>
  <si>
    <t>CUST1259</t>
  </si>
  <si>
    <t>Molly Murphy</t>
  </si>
  <si>
    <t>CUST1260</t>
  </si>
  <si>
    <t>Jessica Harper</t>
  </si>
  <si>
    <t>CUST1261</t>
  </si>
  <si>
    <t>Michael Rodriguez DDS</t>
  </si>
  <si>
    <t>CUST1262</t>
  </si>
  <si>
    <t>Philip Mercer</t>
  </si>
  <si>
    <t>CUST1263</t>
  </si>
  <si>
    <t>Tony Spence</t>
  </si>
  <si>
    <t>CUST1264</t>
  </si>
  <si>
    <t>Kristen Barnett</t>
  </si>
  <si>
    <t>CUST1265</t>
  </si>
  <si>
    <t>Nicole Fernandez</t>
  </si>
  <si>
    <t>CUST1266</t>
  </si>
  <si>
    <t>Angel Colon</t>
  </si>
  <si>
    <t>CUST1267</t>
  </si>
  <si>
    <t>Kristie Joseph</t>
  </si>
  <si>
    <t>CUST1268</t>
  </si>
  <si>
    <t>Angela Day</t>
  </si>
  <si>
    <t>CUST1269</t>
  </si>
  <si>
    <t>Keith Hardin</t>
  </si>
  <si>
    <t>CUST1270</t>
  </si>
  <si>
    <t>Michelle Hall</t>
  </si>
  <si>
    <t>CUST1271</t>
  </si>
  <si>
    <t>Kellie Myers</t>
  </si>
  <si>
    <t>CUST1272</t>
  </si>
  <si>
    <t>Diana Peterson</t>
  </si>
  <si>
    <t>CUST1273</t>
  </si>
  <si>
    <t>Teresa Lin</t>
  </si>
  <si>
    <t>CUST1274</t>
  </si>
  <si>
    <t>Kimberly Parker</t>
  </si>
  <si>
    <t>CUST1275</t>
  </si>
  <si>
    <t>Matthew English</t>
  </si>
  <si>
    <t>CUST1276</t>
  </si>
  <si>
    <t>Denise Chung</t>
  </si>
  <si>
    <t>CUST1277</t>
  </si>
  <si>
    <t>Hannah Hansen</t>
  </si>
  <si>
    <t>CUST1278</t>
  </si>
  <si>
    <t>Denise Foster</t>
  </si>
  <si>
    <t>CUST1279</t>
  </si>
  <si>
    <t>Holly Gonzalez</t>
  </si>
  <si>
    <t>CUST1280</t>
  </si>
  <si>
    <t>Jerry Smith</t>
  </si>
  <si>
    <t>CUST1281</t>
  </si>
  <si>
    <t>Colleen Conway</t>
  </si>
  <si>
    <t>CUST1282</t>
  </si>
  <si>
    <t>Amanda Rogers</t>
  </si>
  <si>
    <t>CUST1283</t>
  </si>
  <si>
    <t>Joseph Martinez</t>
  </si>
  <si>
    <t>CUST1284</t>
  </si>
  <si>
    <t>Eric Blair</t>
  </si>
  <si>
    <t>CUST1285</t>
  </si>
  <si>
    <t>Paul Hood</t>
  </si>
  <si>
    <t>CUST1286</t>
  </si>
  <si>
    <t>Connie Brooks</t>
  </si>
  <si>
    <t>CUST1287</t>
  </si>
  <si>
    <t>Erika Davis</t>
  </si>
  <si>
    <t>CUST1288</t>
  </si>
  <si>
    <t>Alfred Rasmussen</t>
  </si>
  <si>
    <t>CUST1289</t>
  </si>
  <si>
    <t>Christina Hill</t>
  </si>
  <si>
    <t>CUST1290</t>
  </si>
  <si>
    <t>Cynthia Vargas</t>
  </si>
  <si>
    <t>CUST1291</t>
  </si>
  <si>
    <t>Sean Deleon</t>
  </si>
  <si>
    <t>CUST1292</t>
  </si>
  <si>
    <t>Benjamin Pierce</t>
  </si>
  <si>
    <t>CUST1293</t>
  </si>
  <si>
    <t>Frances Cohen</t>
  </si>
  <si>
    <t>CUST1294</t>
  </si>
  <si>
    <t>Tara Oconnell</t>
  </si>
  <si>
    <t>CUST1295</t>
  </si>
  <si>
    <t>Ryan Simmons</t>
  </si>
  <si>
    <t>CUST1296</t>
  </si>
  <si>
    <t>George Sheppard</t>
  </si>
  <si>
    <t>CUST1297</t>
  </si>
  <si>
    <t>Benjamin Barnes</t>
  </si>
  <si>
    <t>CUST1298</t>
  </si>
  <si>
    <t>Carly Brown</t>
  </si>
  <si>
    <t>CUST1299</t>
  </si>
  <si>
    <t>Sharon Ross</t>
  </si>
  <si>
    <t>CUST1300</t>
  </si>
  <si>
    <t>Lindsey Kemp</t>
  </si>
  <si>
    <t>CUST1301</t>
  </si>
  <si>
    <t>Michael Smith</t>
  </si>
  <si>
    <t>CUST1302</t>
  </si>
  <si>
    <t>Eric Grimes</t>
  </si>
  <si>
    <t>CUST1303</t>
  </si>
  <si>
    <t>David Turner</t>
  </si>
  <si>
    <t>CUST1304</t>
  </si>
  <si>
    <t>Gary Fields</t>
  </si>
  <si>
    <t>CUST1305</t>
  </si>
  <si>
    <t>Patrick Liu</t>
  </si>
  <si>
    <t>CUST1306</t>
  </si>
  <si>
    <t>CUST1307</t>
  </si>
  <si>
    <t>Dana Mayo</t>
  </si>
  <si>
    <t>CUST1308</t>
  </si>
  <si>
    <t>Scott Brandt</t>
  </si>
  <si>
    <t>CUST1309</t>
  </si>
  <si>
    <t>Shane Dunn</t>
  </si>
  <si>
    <t>CUST1310</t>
  </si>
  <si>
    <t>Zachary Todd</t>
  </si>
  <si>
    <t>CUST1311</t>
  </si>
  <si>
    <t>Alexander Martin</t>
  </si>
  <si>
    <t>CUST1312</t>
  </si>
  <si>
    <t>Kristin Gray</t>
  </si>
  <si>
    <t>CUST1313</t>
  </si>
  <si>
    <t>Justin Moss</t>
  </si>
  <si>
    <t>CUST1314</t>
  </si>
  <si>
    <t>Alyssa Simpson</t>
  </si>
  <si>
    <t>CUST1315</t>
  </si>
  <si>
    <t>Jasmine Collins</t>
  </si>
  <si>
    <t>CUST1316</t>
  </si>
  <si>
    <t>Steven Mitchell</t>
  </si>
  <si>
    <t>CUST1317</t>
  </si>
  <si>
    <t>Zachary Bond</t>
  </si>
  <si>
    <t>CUST1318</t>
  </si>
  <si>
    <t>Christine Murphy</t>
  </si>
  <si>
    <t>CUST1319</t>
  </si>
  <si>
    <t>Daniel Waters</t>
  </si>
  <si>
    <t>CUST1320</t>
  </si>
  <si>
    <t>Rachel Moses</t>
  </si>
  <si>
    <t>CUST1321</t>
  </si>
  <si>
    <t>Elizabeth Hopkins</t>
  </si>
  <si>
    <t>CUST1322</t>
  </si>
  <si>
    <t>Garrett Garcia</t>
  </si>
  <si>
    <t>CUST1323</t>
  </si>
  <si>
    <t>Kimberly Wolfe</t>
  </si>
  <si>
    <t>CUST1324</t>
  </si>
  <si>
    <t>Thomas Mcintyre</t>
  </si>
  <si>
    <t>CUST1325</t>
  </si>
  <si>
    <t>Stephen Melton</t>
  </si>
  <si>
    <t>CUST1326</t>
  </si>
  <si>
    <t>James Barnes</t>
  </si>
  <si>
    <t>CUST1327</t>
  </si>
  <si>
    <t>Emily Smith</t>
  </si>
  <si>
    <t>CUST1328</t>
  </si>
  <si>
    <t>Kristi Carter</t>
  </si>
  <si>
    <t>CUST1329</t>
  </si>
  <si>
    <t>Kenneth Velasquez</t>
  </si>
  <si>
    <t>CUST1330</t>
  </si>
  <si>
    <t>Michael Brewer</t>
  </si>
  <si>
    <t>CUST1331</t>
  </si>
  <si>
    <t>Joseph Cortez</t>
  </si>
  <si>
    <t>CUST1332</t>
  </si>
  <si>
    <t>Caleb Roman</t>
  </si>
  <si>
    <t>CUST1333</t>
  </si>
  <si>
    <t>Rachel Anthony</t>
  </si>
  <si>
    <t>CUST1334</t>
  </si>
  <si>
    <t>Anthony Gomez</t>
  </si>
  <si>
    <t>CUST1335</t>
  </si>
  <si>
    <t>Robert Whitaker</t>
  </si>
  <si>
    <t>CUST1336</t>
  </si>
  <si>
    <t>Ana Reynolds</t>
  </si>
  <si>
    <t>CUST1337</t>
  </si>
  <si>
    <t>CUST1338</t>
  </si>
  <si>
    <t>Mrs. Kayla Anderson</t>
  </si>
  <si>
    <t>CUST1339</t>
  </si>
  <si>
    <t>Benjamin Thompson Jr.</t>
  </si>
  <si>
    <t>CUST1340</t>
  </si>
  <si>
    <t>Jennifer Delgado</t>
  </si>
  <si>
    <t>CUST1341</t>
  </si>
  <si>
    <t>Michael Yu</t>
  </si>
  <si>
    <t>CUST1342</t>
  </si>
  <si>
    <t>Christine Rogers</t>
  </si>
  <si>
    <t>CUST1343</t>
  </si>
  <si>
    <t>Jack Bell</t>
  </si>
  <si>
    <t>CUST1344</t>
  </si>
  <si>
    <t>Kent Olson</t>
  </si>
  <si>
    <t>CUST1345</t>
  </si>
  <si>
    <t>Joseph Crane</t>
  </si>
  <si>
    <t>CUST1346</t>
  </si>
  <si>
    <t>Amber Figueroa</t>
  </si>
  <si>
    <t>CUST1347</t>
  </si>
  <si>
    <t>Stephanie Sanford DDS</t>
  </si>
  <si>
    <t>CUST1348</t>
  </si>
  <si>
    <t>Kaylee Coffey</t>
  </si>
  <si>
    <t>CUST1349</t>
  </si>
  <si>
    <t>Justin Weber</t>
  </si>
  <si>
    <t>CUST1350</t>
  </si>
  <si>
    <t>Tyler Jones</t>
  </si>
  <si>
    <t>CUST1351</t>
  </si>
  <si>
    <t>Carlos Raymond</t>
  </si>
  <si>
    <t>CUST1352</t>
  </si>
  <si>
    <t>Dr. Brenda Smith</t>
  </si>
  <si>
    <t>CUST1353</t>
  </si>
  <si>
    <t>Brandon Castro</t>
  </si>
  <si>
    <t>CUST1354</t>
  </si>
  <si>
    <t>Ms. Abigail Nixon</t>
  </si>
  <si>
    <t>CUST1355</t>
  </si>
  <si>
    <t>Sarah Campbell</t>
  </si>
  <si>
    <t>CUST1356</t>
  </si>
  <si>
    <t>Joseph Dean</t>
  </si>
  <si>
    <t>CUST1357</t>
  </si>
  <si>
    <t>Crystal Mendoza</t>
  </si>
  <si>
    <t>CUST1358</t>
  </si>
  <si>
    <t>Dr. Jacqueline Young</t>
  </si>
  <si>
    <t>CUST1359</t>
  </si>
  <si>
    <t>Sabrina Hughes</t>
  </si>
  <si>
    <t>CUST1360</t>
  </si>
  <si>
    <t>Daniel Daniels</t>
  </si>
  <si>
    <t>CUST1361</t>
  </si>
  <si>
    <t>Angela Wood</t>
  </si>
  <si>
    <t>CUST1362</t>
  </si>
  <si>
    <t>William Perkins</t>
  </si>
  <si>
    <t>CUST1363</t>
  </si>
  <si>
    <t>Andrea Peters</t>
  </si>
  <si>
    <t>CUST1364</t>
  </si>
  <si>
    <t>Tyler Harris</t>
  </si>
  <si>
    <t>CUST1365</t>
  </si>
  <si>
    <t>Tiffany Logan</t>
  </si>
  <si>
    <t>CUST1366</t>
  </si>
  <si>
    <t>Bradley Haney</t>
  </si>
  <si>
    <t>CUST1367</t>
  </si>
  <si>
    <t>Christopher Gonzalez</t>
  </si>
  <si>
    <t>CUST1368</t>
  </si>
  <si>
    <t>Joseph Henry</t>
  </si>
  <si>
    <t>CUST1369</t>
  </si>
  <si>
    <t>Christopher Sanchez</t>
  </si>
  <si>
    <t>CUST1370</t>
  </si>
  <si>
    <t>Douglas Hicks</t>
  </si>
  <si>
    <t>CUST1371</t>
  </si>
  <si>
    <t>Veronica Brown</t>
  </si>
  <si>
    <t>CUST1372</t>
  </si>
  <si>
    <t>William Lopez</t>
  </si>
  <si>
    <t>CUST1373</t>
  </si>
  <si>
    <t>Brenda Sanders</t>
  </si>
  <si>
    <t>CUST1374</t>
  </si>
  <si>
    <t>Gary Parker</t>
  </si>
  <si>
    <t>CUST1375</t>
  </si>
  <si>
    <t>James Thomas</t>
  </si>
  <si>
    <t>CUST1376</t>
  </si>
  <si>
    <t>Dennis Vincent</t>
  </si>
  <si>
    <t>CUST1377</t>
  </si>
  <si>
    <t>Robert Williams</t>
  </si>
  <si>
    <t>CUST1378</t>
  </si>
  <si>
    <t>Scott Rodriguez MD</t>
  </si>
  <si>
    <t>CUST1379</t>
  </si>
  <si>
    <t>Melissa Heath</t>
  </si>
  <si>
    <t>CUST1380</t>
  </si>
  <si>
    <t>Anthony Marshall</t>
  </si>
  <si>
    <t>CUST1381</t>
  </si>
  <si>
    <t>Connie White</t>
  </si>
  <si>
    <t>CUST1382</t>
  </si>
  <si>
    <t>Sarah Morse</t>
  </si>
  <si>
    <t>CUST1383</t>
  </si>
  <si>
    <t>Patrick Church</t>
  </si>
  <si>
    <t>CUST1384</t>
  </si>
  <si>
    <t>Diamond Murphy</t>
  </si>
  <si>
    <t>CUST1385</t>
  </si>
  <si>
    <t>Alison Pratt</t>
  </si>
  <si>
    <t>CUST1386</t>
  </si>
  <si>
    <t>Laura Hall</t>
  </si>
  <si>
    <t>CUST1387</t>
  </si>
  <si>
    <t>Victoria Vargas</t>
  </si>
  <si>
    <t>CUST1388</t>
  </si>
  <si>
    <t>Tammy Rodriguez</t>
  </si>
  <si>
    <t>CUST1389</t>
  </si>
  <si>
    <t>Donald Cohen</t>
  </si>
  <si>
    <t>CUST1390</t>
  </si>
  <si>
    <t>CUST1391</t>
  </si>
  <si>
    <t>Alan Moore</t>
  </si>
  <si>
    <t>CUST1392</t>
  </si>
  <si>
    <t>Deanna Monroe</t>
  </si>
  <si>
    <t>CUST1393</t>
  </si>
  <si>
    <t>Crystal Reed</t>
  </si>
  <si>
    <t>CUST1394</t>
  </si>
  <si>
    <t>Louis Casey</t>
  </si>
  <si>
    <t>CUST1395</t>
  </si>
  <si>
    <t>Lawrence Hill</t>
  </si>
  <si>
    <t>CUST1396</t>
  </si>
  <si>
    <t>Timothy Mcguire</t>
  </si>
  <si>
    <t>CUST1397</t>
  </si>
  <si>
    <t>William Morales</t>
  </si>
  <si>
    <t>CUST1398</t>
  </si>
  <si>
    <t>Kimberly Webb</t>
  </si>
  <si>
    <t>CUST1399</t>
  </si>
  <si>
    <t>John Fuentes</t>
  </si>
  <si>
    <t>CUST1400</t>
  </si>
  <si>
    <t>April Hardy</t>
  </si>
  <si>
    <t>CUST1401</t>
  </si>
  <si>
    <t>Leah Wang</t>
  </si>
  <si>
    <t>CUST1402</t>
  </si>
  <si>
    <t>Melanie Roberts</t>
  </si>
  <si>
    <t>CUST1403</t>
  </si>
  <si>
    <t>Lacey Chan</t>
  </si>
  <si>
    <t>CUST1404</t>
  </si>
  <si>
    <t>Luis Williams</t>
  </si>
  <si>
    <t>CUST1405</t>
  </si>
  <si>
    <t>Albert Hoffman</t>
  </si>
  <si>
    <t>CUST1406</t>
  </si>
  <si>
    <t>Jill Day</t>
  </si>
  <si>
    <t>CUST1407</t>
  </si>
  <si>
    <t>Margaret Pace</t>
  </si>
  <si>
    <t>CUST1408</t>
  </si>
  <si>
    <t>Anne Morton</t>
  </si>
  <si>
    <t>CUST1409</t>
  </si>
  <si>
    <t>Robert Baker</t>
  </si>
  <si>
    <t>CUST1410</t>
  </si>
  <si>
    <t>Adrienne Wright</t>
  </si>
  <si>
    <t>CUST1411</t>
  </si>
  <si>
    <t>Cody Stephenson</t>
  </si>
  <si>
    <t>CUST1412</t>
  </si>
  <si>
    <t>Cindy Foster</t>
  </si>
  <si>
    <t>CUST1413</t>
  </si>
  <si>
    <t>Terry Ramirez</t>
  </si>
  <si>
    <t>CUST1414</t>
  </si>
  <si>
    <t>Nichole Baker</t>
  </si>
  <si>
    <t>CUST1415</t>
  </si>
  <si>
    <t>Sharon Potts</t>
  </si>
  <si>
    <t>CUST1416</t>
  </si>
  <si>
    <t>Charles Nolan</t>
  </si>
  <si>
    <t>CUST1417</t>
  </si>
  <si>
    <t>Antonio Fry</t>
  </si>
  <si>
    <t>CUST1418</t>
  </si>
  <si>
    <t>Amanda Lyons</t>
  </si>
  <si>
    <t>CUST1419</t>
  </si>
  <si>
    <t>Amber Ramirez</t>
  </si>
  <si>
    <t>CUST1420</t>
  </si>
  <si>
    <t>Gilbert Thomas</t>
  </si>
  <si>
    <t>CUST1421</t>
  </si>
  <si>
    <t>Ashley Carter</t>
  </si>
  <si>
    <t>CUST1422</t>
  </si>
  <si>
    <t>Marvin Nelson</t>
  </si>
  <si>
    <t>CUST1423</t>
  </si>
  <si>
    <t>Teresa Brown</t>
  </si>
  <si>
    <t>CUST1424</t>
  </si>
  <si>
    <t>James Williamson</t>
  </si>
  <si>
    <t>CUST1425</t>
  </si>
  <si>
    <t>Patricia Sampson</t>
  </si>
  <si>
    <t>CUST1426</t>
  </si>
  <si>
    <t>Nathan Williams</t>
  </si>
  <si>
    <t>CUST1427</t>
  </si>
  <si>
    <t>Whitney Richardson</t>
  </si>
  <si>
    <t>CUST1428</t>
  </si>
  <si>
    <t>Vickie Houston</t>
  </si>
  <si>
    <t>CUST1429</t>
  </si>
  <si>
    <t>Justin Richardson</t>
  </si>
  <si>
    <t>CUST1430</t>
  </si>
  <si>
    <t>Steven Knight</t>
  </si>
  <si>
    <t>CUST1431</t>
  </si>
  <si>
    <t>Lee Navarro</t>
  </si>
  <si>
    <t>CUST1432</t>
  </si>
  <si>
    <t>Dennis Stewart</t>
  </si>
  <si>
    <t>CUST1433</t>
  </si>
  <si>
    <t>Sean Medina</t>
  </si>
  <si>
    <t>CUST1434</t>
  </si>
  <si>
    <t>Lisa Mathews</t>
  </si>
  <si>
    <t>CUST1435</t>
  </si>
  <si>
    <t>Justin Parker</t>
  </si>
  <si>
    <t>CUST1436</t>
  </si>
  <si>
    <t>Mark Anderson</t>
  </si>
  <si>
    <t>CUST1437</t>
  </si>
  <si>
    <t>Alan Alvarez</t>
  </si>
  <si>
    <t>CUST1438</t>
  </si>
  <si>
    <t>Michelle Hernandez</t>
  </si>
  <si>
    <t>CUST1439</t>
  </si>
  <si>
    <t>Timothy Wyatt</t>
  </si>
  <si>
    <t>CUST1440</t>
  </si>
  <si>
    <t>Krystal Arnold</t>
  </si>
  <si>
    <t>CUST1441</t>
  </si>
  <si>
    <t>Jeffrey Hayes</t>
  </si>
  <si>
    <t>CUST1442</t>
  </si>
  <si>
    <t>Jessica Long</t>
  </si>
  <si>
    <t>CUST1443</t>
  </si>
  <si>
    <t>Justin Norris</t>
  </si>
  <si>
    <t>CUST1444</t>
  </si>
  <si>
    <t>Kaitlyn Blanchard</t>
  </si>
  <si>
    <t>CUST1445</t>
  </si>
  <si>
    <t>Nicholas Golden</t>
  </si>
  <si>
    <t>CUST1446</t>
  </si>
  <si>
    <t>Derek Phelps</t>
  </si>
  <si>
    <t>CUST1447</t>
  </si>
  <si>
    <t>Cynthia Morales</t>
  </si>
  <si>
    <t>CUST1448</t>
  </si>
  <si>
    <t>Joseph Kim</t>
  </si>
  <si>
    <t>CUST1449</t>
  </si>
  <si>
    <t>Tyler Bush</t>
  </si>
  <si>
    <t>CUST1450</t>
  </si>
  <si>
    <t>Edwin Hall</t>
  </si>
  <si>
    <t>CUST1451</t>
  </si>
  <si>
    <t>Lisa Garcia</t>
  </si>
  <si>
    <t>CUST1452</t>
  </si>
  <si>
    <t>William Owen</t>
  </si>
  <si>
    <t>CUST1453</t>
  </si>
  <si>
    <t>Kevin Bryant</t>
  </si>
  <si>
    <t>CUST1454</t>
  </si>
  <si>
    <t>Mrs. Amy Mann</t>
  </si>
  <si>
    <t>CUST1455</t>
  </si>
  <si>
    <t>William Franco</t>
  </si>
  <si>
    <t>CUST1456</t>
  </si>
  <si>
    <t>Anna Thompson</t>
  </si>
  <si>
    <t>CUST1457</t>
  </si>
  <si>
    <t>Dawn Johnson</t>
  </si>
  <si>
    <t>CUST1458</t>
  </si>
  <si>
    <t>Diana Scott</t>
  </si>
  <si>
    <t>CUST1459</t>
  </si>
  <si>
    <t>Isabel Gomez</t>
  </si>
  <si>
    <t>CUST1460</t>
  </si>
  <si>
    <t>Beth Krueger</t>
  </si>
  <si>
    <t>CUST1461</t>
  </si>
  <si>
    <t>Audrey Moore</t>
  </si>
  <si>
    <t>CUST1462</t>
  </si>
  <si>
    <t>Shawn Wang</t>
  </si>
  <si>
    <t>CUST1463</t>
  </si>
  <si>
    <t>CUST1464</t>
  </si>
  <si>
    <t>Mr. Jason Roberts</t>
  </si>
  <si>
    <t>CUST1465</t>
  </si>
  <si>
    <t>Stephanie Garrett</t>
  </si>
  <si>
    <t>CUST1466</t>
  </si>
  <si>
    <t>Richard Weaver</t>
  </si>
  <si>
    <t>CUST1467</t>
  </si>
  <si>
    <t>Gregg Andrade</t>
  </si>
  <si>
    <t>CUST1468</t>
  </si>
  <si>
    <t>Lisa Hatfield</t>
  </si>
  <si>
    <t>CUST1469</t>
  </si>
  <si>
    <t>Adam Moran</t>
  </si>
  <si>
    <t>CUST1470</t>
  </si>
  <si>
    <t>Marisa Wu</t>
  </si>
  <si>
    <t>CUST1471</t>
  </si>
  <si>
    <t>April Fischer</t>
  </si>
  <si>
    <t>CUST1472</t>
  </si>
  <si>
    <t>Eric Phillips</t>
  </si>
  <si>
    <t>CUST1473</t>
  </si>
  <si>
    <t>Christopher Kelly</t>
  </si>
  <si>
    <t>CUST1474</t>
  </si>
  <si>
    <t>Victoria Johnson</t>
  </si>
  <si>
    <t>CUST1475</t>
  </si>
  <si>
    <t>Brandy Adams</t>
  </si>
  <si>
    <t>CUST1476</t>
  </si>
  <si>
    <t>Valerie Davis</t>
  </si>
  <si>
    <t>CUST1477</t>
  </si>
  <si>
    <t>Jacqueline Gray</t>
  </si>
  <si>
    <t>CUST1478</t>
  </si>
  <si>
    <t>Michael Cunningham</t>
  </si>
  <si>
    <t>CUST1479</t>
  </si>
  <si>
    <t>Jerome Grant</t>
  </si>
  <si>
    <t>CUST1480</t>
  </si>
  <si>
    <t>David Petersen</t>
  </si>
  <si>
    <t>CUST1481</t>
  </si>
  <si>
    <t>Matthew Ford</t>
  </si>
  <si>
    <t>CUST1482</t>
  </si>
  <si>
    <t>Janet Cabrera</t>
  </si>
  <si>
    <t>CUST1483</t>
  </si>
  <si>
    <t>Heather Lewis</t>
  </si>
  <si>
    <t>CUST1484</t>
  </si>
  <si>
    <t>Dustin Rhodes</t>
  </si>
  <si>
    <t>CUST1485</t>
  </si>
  <si>
    <t>Lori Giles</t>
  </si>
  <si>
    <t>CUST1486</t>
  </si>
  <si>
    <t>James Ortiz</t>
  </si>
  <si>
    <t>CUST1487</t>
  </si>
  <si>
    <t>Deborah Soto PhD</t>
  </si>
  <si>
    <t>CUST1488</t>
  </si>
  <si>
    <t>Michael Whitney</t>
  </si>
  <si>
    <t>CUST1489</t>
  </si>
  <si>
    <t>Sheri Nguyen</t>
  </si>
  <si>
    <t>CUST1490</t>
  </si>
  <si>
    <t>Jennifer Watson</t>
  </si>
  <si>
    <t>CUST1491</t>
  </si>
  <si>
    <t>Alexis Costa</t>
  </si>
  <si>
    <t>CUST1492</t>
  </si>
  <si>
    <t>Tina Reed</t>
  </si>
  <si>
    <t>CUST1493</t>
  </si>
  <si>
    <t>Christopher Taylor</t>
  </si>
  <si>
    <t>CUST1494</t>
  </si>
  <si>
    <t>Carl Carpenter</t>
  </si>
  <si>
    <t>CUST1495</t>
  </si>
  <si>
    <t>Christine Harrell</t>
  </si>
  <si>
    <t>CUST1496</t>
  </si>
  <si>
    <t>Christopher Bennett</t>
  </si>
  <si>
    <t>CUST1497</t>
  </si>
  <si>
    <t>Zachary Vance</t>
  </si>
  <si>
    <t>CUST1498</t>
  </si>
  <si>
    <t>Todd Bauer</t>
  </si>
  <si>
    <t>CUST1499</t>
  </si>
  <si>
    <t>Patricia Davies</t>
  </si>
  <si>
    <t>CUST1500</t>
  </si>
  <si>
    <t>Nancy Martin</t>
  </si>
  <si>
    <t>CUST1501</t>
  </si>
  <si>
    <t>Henry Acosta</t>
  </si>
  <si>
    <t>CUST1502</t>
  </si>
  <si>
    <t>Shawn Carter</t>
  </si>
  <si>
    <t>CUST1503</t>
  </si>
  <si>
    <t>Christian Villarreal</t>
  </si>
  <si>
    <t>CUST1504</t>
  </si>
  <si>
    <t>Kirk Lee</t>
  </si>
  <si>
    <t>CUST1505</t>
  </si>
  <si>
    <t>Barbara Bentley</t>
  </si>
  <si>
    <t>CUST1506</t>
  </si>
  <si>
    <t>Stephen Mitchell</t>
  </si>
  <si>
    <t>CUST1507</t>
  </si>
  <si>
    <t>Tara Martinez</t>
  </si>
  <si>
    <t>CUST1508</t>
  </si>
  <si>
    <t>Kelly Everett</t>
  </si>
  <si>
    <t>CUST1509</t>
  </si>
  <si>
    <t>Jeremy Grant</t>
  </si>
  <si>
    <t>CUST1510</t>
  </si>
  <si>
    <t>Barry Hernandez</t>
  </si>
  <si>
    <t>CUST1511</t>
  </si>
  <si>
    <t>Christopher Lopez</t>
  </si>
  <si>
    <t>CUST1512</t>
  </si>
  <si>
    <t>Deanna Mcfarland</t>
  </si>
  <si>
    <t>CUST1513</t>
  </si>
  <si>
    <t>Lauren Mcdaniel</t>
  </si>
  <si>
    <t>CUST1514</t>
  </si>
  <si>
    <t>Joseph Jackson</t>
  </si>
  <si>
    <t>CUST1515</t>
  </si>
  <si>
    <t>Charles Walker</t>
  </si>
  <si>
    <t>CUST1516</t>
  </si>
  <si>
    <t>Jennifer Mitchell</t>
  </si>
  <si>
    <t>CUST1517</t>
  </si>
  <si>
    <t>Briana Kennedy</t>
  </si>
  <si>
    <t>CUST1518</t>
  </si>
  <si>
    <t>Dwayne Wilkins</t>
  </si>
  <si>
    <t>CUST1519</t>
  </si>
  <si>
    <t>Tyler Fox</t>
  </si>
  <si>
    <t>CUST1520</t>
  </si>
  <si>
    <t>Daniel Parker</t>
  </si>
  <si>
    <t>CUST1521</t>
  </si>
  <si>
    <t>Noah Jordan</t>
  </si>
  <si>
    <t>CUST1522</t>
  </si>
  <si>
    <t>Denise Harrison</t>
  </si>
  <si>
    <t>CUST1523</t>
  </si>
  <si>
    <t>Christopher Fleming</t>
  </si>
  <si>
    <t>CUST1524</t>
  </si>
  <si>
    <t>Bailey Martinez</t>
  </si>
  <si>
    <t>CUST1525</t>
  </si>
  <si>
    <t>Dr. Luis Chavez</t>
  </si>
  <si>
    <t>CUST1526</t>
  </si>
  <si>
    <t>Christopher Alvarez</t>
  </si>
  <si>
    <t>CUST1527</t>
  </si>
  <si>
    <t>Matthew King</t>
  </si>
  <si>
    <t>CUST1528</t>
  </si>
  <si>
    <t>Dylan Barnett</t>
  </si>
  <si>
    <t>CUST1529</t>
  </si>
  <si>
    <t>Jacob Oneal</t>
  </si>
  <si>
    <t>CUST1530</t>
  </si>
  <si>
    <t>Emily Lane</t>
  </si>
  <si>
    <t>CUST1531</t>
  </si>
  <si>
    <t>Lynn Lewis</t>
  </si>
  <si>
    <t>CUST1532</t>
  </si>
  <si>
    <t>Richard Wright</t>
  </si>
  <si>
    <t>CUST1533</t>
  </si>
  <si>
    <t>Stacy Brown</t>
  </si>
  <si>
    <t>CUST1534</t>
  </si>
  <si>
    <t>Scott Gamble</t>
  </si>
  <si>
    <t>CUST1535</t>
  </si>
  <si>
    <t>Samantha Cook</t>
  </si>
  <si>
    <t>CUST1536</t>
  </si>
  <si>
    <t>Elizabeth Martinez</t>
  </si>
  <si>
    <t>CUST1537</t>
  </si>
  <si>
    <t>Jimmy Lara</t>
  </si>
  <si>
    <t>CUST1538</t>
  </si>
  <si>
    <t>Steven Greene</t>
  </si>
  <si>
    <t>CUST1539</t>
  </si>
  <si>
    <t>Kayla Murphy</t>
  </si>
  <si>
    <t>CUST1540</t>
  </si>
  <si>
    <t>Erin Wilson</t>
  </si>
  <si>
    <t>CUST1541</t>
  </si>
  <si>
    <t>Andrew Newman</t>
  </si>
  <si>
    <t>CUST1542</t>
  </si>
  <si>
    <t>Stephanie Marshall</t>
  </si>
  <si>
    <t>CUST1543</t>
  </si>
  <si>
    <t>Shane Schultz</t>
  </si>
  <si>
    <t>CUST1544</t>
  </si>
  <si>
    <t>Wayne Gomez</t>
  </si>
  <si>
    <t>CUST1545</t>
  </si>
  <si>
    <t>Christian Brown</t>
  </si>
  <si>
    <t>CUST1546</t>
  </si>
  <si>
    <t>Rebecca Smith</t>
  </si>
  <si>
    <t>CUST1547</t>
  </si>
  <si>
    <t>Julia Bailey</t>
  </si>
  <si>
    <t>CUST1548</t>
  </si>
  <si>
    <t>Thomas Shields</t>
  </si>
  <si>
    <t>CUST1549</t>
  </si>
  <si>
    <t>Megan Cantu</t>
  </si>
  <si>
    <t>CUST1550</t>
  </si>
  <si>
    <t>Tammy Li</t>
  </si>
  <si>
    <t>CUST1551</t>
  </si>
  <si>
    <t>Kayla Smith</t>
  </si>
  <si>
    <t>CUST1552</t>
  </si>
  <si>
    <t>Daniel Lee</t>
  </si>
  <si>
    <t>CUST1553</t>
  </si>
  <si>
    <t>Amy Bird</t>
  </si>
  <si>
    <t>CUST1554</t>
  </si>
  <si>
    <t>James Rangel</t>
  </si>
  <si>
    <t>CUST1555</t>
  </si>
  <si>
    <t>Terry Yang</t>
  </si>
  <si>
    <t>CUST1556</t>
  </si>
  <si>
    <t>Carolyn Ball</t>
  </si>
  <si>
    <t>CUST1557</t>
  </si>
  <si>
    <t>Stephen Stevens</t>
  </si>
  <si>
    <t>CUST1558</t>
  </si>
  <si>
    <t>Regina Perez</t>
  </si>
  <si>
    <t>CUST1559</t>
  </si>
  <si>
    <t>Mark Miller</t>
  </si>
  <si>
    <t>CUST1560</t>
  </si>
  <si>
    <t>Mary Lopez</t>
  </si>
  <si>
    <t>CUST1561</t>
  </si>
  <si>
    <t>Jason Pham</t>
  </si>
  <si>
    <t>CUST1562</t>
  </si>
  <si>
    <t>Kelly Wright</t>
  </si>
  <si>
    <t>CUST1563</t>
  </si>
  <si>
    <t>Timothy Palmer</t>
  </si>
  <si>
    <t>CUST1564</t>
  </si>
  <si>
    <t>Victoria Lambert</t>
  </si>
  <si>
    <t>CUST1565</t>
  </si>
  <si>
    <t>Juan Gonzalez</t>
  </si>
  <si>
    <t>CUST1566</t>
  </si>
  <si>
    <t>Mark Foster</t>
  </si>
  <si>
    <t>CUST1567</t>
  </si>
  <si>
    <t>Pamela Morris</t>
  </si>
  <si>
    <t>CUST1568</t>
  </si>
  <si>
    <t>Ronald Powell</t>
  </si>
  <si>
    <t>CUST1569</t>
  </si>
  <si>
    <t>Krystal Knight</t>
  </si>
  <si>
    <t>CUST1570</t>
  </si>
  <si>
    <t>Alejandro Buckley</t>
  </si>
  <si>
    <t>CUST1571</t>
  </si>
  <si>
    <t>Miss Sandra Gonzales DDS</t>
  </si>
  <si>
    <t>CUST1572</t>
  </si>
  <si>
    <t>Erin Johnson</t>
  </si>
  <si>
    <t>CUST1573</t>
  </si>
  <si>
    <t>Sara Mccarty</t>
  </si>
  <si>
    <t>CUST1574</t>
  </si>
  <si>
    <t>Andrew Lane</t>
  </si>
  <si>
    <t>CUST1575</t>
  </si>
  <si>
    <t>Mrs. Tara Diaz</t>
  </si>
  <si>
    <t>CUST1576</t>
  </si>
  <si>
    <t>Renee Tucker</t>
  </si>
  <si>
    <t>CUST1577</t>
  </si>
  <si>
    <t>Wayne Gilbert</t>
  </si>
  <si>
    <t>CUST1578</t>
  </si>
  <si>
    <t>David Bass</t>
  </si>
  <si>
    <t>CUST1579</t>
  </si>
  <si>
    <t>Angela Wall</t>
  </si>
  <si>
    <t>CUST1580</t>
  </si>
  <si>
    <t>Matthew Anderson</t>
  </si>
  <si>
    <t>CUST1581</t>
  </si>
  <si>
    <t>Amy Brewer</t>
  </si>
  <si>
    <t>CUST1582</t>
  </si>
  <si>
    <t>Sheila Jensen</t>
  </si>
  <si>
    <t>CUST1583</t>
  </si>
  <si>
    <t>Darrell Gomez</t>
  </si>
  <si>
    <t>CUST1584</t>
  </si>
  <si>
    <t>CUST1585</t>
  </si>
  <si>
    <t>Meagan Moore</t>
  </si>
  <si>
    <t>CUST1586</t>
  </si>
  <si>
    <t>Juan Mitchell</t>
  </si>
  <si>
    <t>CUST1587</t>
  </si>
  <si>
    <t>CUST1588</t>
  </si>
  <si>
    <t>Patrick Calhoun</t>
  </si>
  <si>
    <t>CUST1589</t>
  </si>
  <si>
    <t>Stacey Robbins</t>
  </si>
  <si>
    <t>CUST1590</t>
  </si>
  <si>
    <t>Jamie Coffey DDS</t>
  </si>
  <si>
    <t>CUST1591</t>
  </si>
  <si>
    <t>Carlos Grant</t>
  </si>
  <si>
    <t>CUST1592</t>
  </si>
  <si>
    <t>Melissa Jackson</t>
  </si>
  <si>
    <t>CUST1593</t>
  </si>
  <si>
    <t>Brenda Tucker</t>
  </si>
  <si>
    <t>CUST1594</t>
  </si>
  <si>
    <t>Brian Wolfe</t>
  </si>
  <si>
    <t>CUST1595</t>
  </si>
  <si>
    <t>Nancy Smith</t>
  </si>
  <si>
    <t>CUST1596</t>
  </si>
  <si>
    <t>Jason Dixon</t>
  </si>
  <si>
    <t>CUST1597</t>
  </si>
  <si>
    <t>Anthony Schneider</t>
  </si>
  <si>
    <t>CUST1598</t>
  </si>
  <si>
    <t>Jennifer Gregory</t>
  </si>
  <si>
    <t>CUST1599</t>
  </si>
  <si>
    <t>Seth Mccarthy Jr.</t>
  </si>
  <si>
    <t>CUST1600</t>
  </si>
  <si>
    <t>Christine Contreras</t>
  </si>
  <si>
    <t>CUST1601</t>
  </si>
  <si>
    <t>CUST1602</t>
  </si>
  <si>
    <t>Michelle Mccarty</t>
  </si>
  <si>
    <t>CUST1603</t>
  </si>
  <si>
    <t>Christine Gardner</t>
  </si>
  <si>
    <t>CUST1604</t>
  </si>
  <si>
    <t>Katelyn Brooks</t>
  </si>
  <si>
    <t>CUST1605</t>
  </si>
  <si>
    <t>Angela Mendoza</t>
  </si>
  <si>
    <t>CUST1606</t>
  </si>
  <si>
    <t>Sherry Phillips</t>
  </si>
  <si>
    <t>CUST1607</t>
  </si>
  <si>
    <t>Emily Webster</t>
  </si>
  <si>
    <t>CUST1608</t>
  </si>
  <si>
    <t>Julie Robinson</t>
  </si>
  <si>
    <t>CUST1609</t>
  </si>
  <si>
    <t>Walter Hubbard</t>
  </si>
  <si>
    <t>CUST1610</t>
  </si>
  <si>
    <t>Natasha Kennedy</t>
  </si>
  <si>
    <t>CUST1611</t>
  </si>
  <si>
    <t>Jennifer Ochoa</t>
  </si>
  <si>
    <t>CUST1612</t>
  </si>
  <si>
    <t>Brandy Patton</t>
  </si>
  <si>
    <t>CUST1613</t>
  </si>
  <si>
    <t>Brandon Martinez</t>
  </si>
  <si>
    <t>CUST1614</t>
  </si>
  <si>
    <t>Sara Terrell</t>
  </si>
  <si>
    <t>CUST1615</t>
  </si>
  <si>
    <t>Cody Rodgers</t>
  </si>
  <si>
    <t>CUST1616</t>
  </si>
  <si>
    <t>Sarah Walker</t>
  </si>
  <si>
    <t>CUST1617</t>
  </si>
  <si>
    <t>Martin Hammond</t>
  </si>
  <si>
    <t>CUST1618</t>
  </si>
  <si>
    <t>Cheryl Thompson</t>
  </si>
  <si>
    <t>CUST1619</t>
  </si>
  <si>
    <t>Marcus Rodriguez</t>
  </si>
  <si>
    <t>CUST1620</t>
  </si>
  <si>
    <t>Laurie Pierce</t>
  </si>
  <si>
    <t>CUST1621</t>
  </si>
  <si>
    <t>David Harrington</t>
  </si>
  <si>
    <t>CUST1622</t>
  </si>
  <si>
    <t>Katelyn Figueroa</t>
  </si>
  <si>
    <t>CUST1623</t>
  </si>
  <si>
    <t>Elizabeth Smith</t>
  </si>
  <si>
    <t>CUST1624</t>
  </si>
  <si>
    <t>Adrian Sullivan II</t>
  </si>
  <si>
    <t>CUST1625</t>
  </si>
  <si>
    <t>Michele Pena</t>
  </si>
  <si>
    <t>CUST1626</t>
  </si>
  <si>
    <t>Melissa Burton</t>
  </si>
  <si>
    <t>CUST1627</t>
  </si>
  <si>
    <t>Deborah Hall</t>
  </si>
  <si>
    <t>CUST1628</t>
  </si>
  <si>
    <t>Vickie Cohen</t>
  </si>
  <si>
    <t>CUST1629</t>
  </si>
  <si>
    <t>Jacob Roberts</t>
  </si>
  <si>
    <t>CUST1630</t>
  </si>
  <si>
    <t>Dominic Long</t>
  </si>
  <si>
    <t>CUST1631</t>
  </si>
  <si>
    <t>Albert Vaughn PhD</t>
  </si>
  <si>
    <t>CUST1632</t>
  </si>
  <si>
    <t>Derrick Parker</t>
  </si>
  <si>
    <t>CUST1633</t>
  </si>
  <si>
    <t>Valerie Galloway</t>
  </si>
  <si>
    <t>CUST1634</t>
  </si>
  <si>
    <t>Ashley Jennings</t>
  </si>
  <si>
    <t>CUST1635</t>
  </si>
  <si>
    <t>Hunter King</t>
  </si>
  <si>
    <t>CUST1636</t>
  </si>
  <si>
    <t>Mark Tran</t>
  </si>
  <si>
    <t>CUST1637</t>
  </si>
  <si>
    <t>Candace Mejia</t>
  </si>
  <si>
    <t>CUST1638</t>
  </si>
  <si>
    <t>Connor Ramirez</t>
  </si>
  <si>
    <t>CUST1639</t>
  </si>
  <si>
    <t>Jason Richard</t>
  </si>
  <si>
    <t>CUST1640</t>
  </si>
  <si>
    <t>Kevin Johnson</t>
  </si>
  <si>
    <t>CUST1641</t>
  </si>
  <si>
    <t>John Davis</t>
  </si>
  <si>
    <t>CUST1642</t>
  </si>
  <si>
    <t>Christina Wilson</t>
  </si>
  <si>
    <t>CUST1643</t>
  </si>
  <si>
    <t>Brooke Miller</t>
  </si>
  <si>
    <t>CUST1644</t>
  </si>
  <si>
    <t>Randy Hamilton</t>
  </si>
  <si>
    <t>CUST1645</t>
  </si>
  <si>
    <t>David Henry</t>
  </si>
  <si>
    <t>CUST1646</t>
  </si>
  <si>
    <t>Anthony Baker</t>
  </si>
  <si>
    <t>CUST1647</t>
  </si>
  <si>
    <t>Jesse Butler</t>
  </si>
  <si>
    <t>CUST1648</t>
  </si>
  <si>
    <t>Dr. Anthony Gates DDS</t>
  </si>
  <si>
    <t>CUST1649</t>
  </si>
  <si>
    <t>Christina Preston</t>
  </si>
  <si>
    <t>CUST1650</t>
  </si>
  <si>
    <t>Luke Roberts</t>
  </si>
  <si>
    <t>CUST1651</t>
  </si>
  <si>
    <t>Justin Shepherd</t>
  </si>
  <si>
    <t>CUST1652</t>
  </si>
  <si>
    <t>Harold Jackson</t>
  </si>
  <si>
    <t>CUST1653</t>
  </si>
  <si>
    <t>Mrs. Patricia Mann DDS</t>
  </si>
  <si>
    <t>CUST1654</t>
  </si>
  <si>
    <t>Alexander Green</t>
  </si>
  <si>
    <t>CUST1655</t>
  </si>
  <si>
    <t>Elizabeth Collins</t>
  </si>
  <si>
    <t>CUST1656</t>
  </si>
  <si>
    <t>David Kane</t>
  </si>
  <si>
    <t>CUST1657</t>
  </si>
  <si>
    <t>Steven Schmidt</t>
  </si>
  <si>
    <t>CUST1658</t>
  </si>
  <si>
    <t>Scott Lloyd</t>
  </si>
  <si>
    <t>CUST1659</t>
  </si>
  <si>
    <t>Nicholas Bradshaw</t>
  </si>
  <si>
    <t>CUST1660</t>
  </si>
  <si>
    <t>Lori Pena</t>
  </si>
  <si>
    <t>CUST1661</t>
  </si>
  <si>
    <t>Darius Clark</t>
  </si>
  <si>
    <t>CUST1662</t>
  </si>
  <si>
    <t>Molly Mathis</t>
  </si>
  <si>
    <t>CUST1663</t>
  </si>
  <si>
    <t>Kim Ramos</t>
  </si>
  <si>
    <t>CUST1664</t>
  </si>
  <si>
    <t>Jonathan Foster</t>
  </si>
  <si>
    <t>CUST1665</t>
  </si>
  <si>
    <t>Jason Hill</t>
  </si>
  <si>
    <t>CUST1666</t>
  </si>
  <si>
    <t>Derek Bowman</t>
  </si>
  <si>
    <t>CUST1667</t>
  </si>
  <si>
    <t>Michael Zamora</t>
  </si>
  <si>
    <t>CUST1668</t>
  </si>
  <si>
    <t>Kimberly Brown</t>
  </si>
  <si>
    <t>CUST1669</t>
  </si>
  <si>
    <t>CUST1670</t>
  </si>
  <si>
    <t>David Humphrey</t>
  </si>
  <si>
    <t>CUST1671</t>
  </si>
  <si>
    <t>Christine James</t>
  </si>
  <si>
    <t>CUST1672</t>
  </si>
  <si>
    <t>Kevin Rodriguez</t>
  </si>
  <si>
    <t>CUST1673</t>
  </si>
  <si>
    <t>William Bender</t>
  </si>
  <si>
    <t>CUST1674</t>
  </si>
  <si>
    <t>Ryan Riley</t>
  </si>
  <si>
    <t>CUST1675</t>
  </si>
  <si>
    <t>Hunter Chambers</t>
  </si>
  <si>
    <t>CUST1676</t>
  </si>
  <si>
    <t>Brittney Moore</t>
  </si>
  <si>
    <t>CUST1677</t>
  </si>
  <si>
    <t>Michael Watkins</t>
  </si>
  <si>
    <t>CUST1678</t>
  </si>
  <si>
    <t>Cory Blackburn</t>
  </si>
  <si>
    <t>CUST1679</t>
  </si>
  <si>
    <t>Andrea Miller</t>
  </si>
  <si>
    <t>CUST1680</t>
  </si>
  <si>
    <t>Corey Anderson</t>
  </si>
  <si>
    <t>CUST1681</t>
  </si>
  <si>
    <t>Dennis Williams</t>
  </si>
  <si>
    <t>CUST1682</t>
  </si>
  <si>
    <t>Ruben Green</t>
  </si>
  <si>
    <t>CUST1683</t>
  </si>
  <si>
    <t>Justin Pugh</t>
  </si>
  <si>
    <t>CUST1684</t>
  </si>
  <si>
    <t>Diane Thornton</t>
  </si>
  <si>
    <t>CUST1685</t>
  </si>
  <si>
    <t>Jesus Dodson</t>
  </si>
  <si>
    <t>CUST1686</t>
  </si>
  <si>
    <t>Jacqueline Fuller</t>
  </si>
  <si>
    <t>CUST1687</t>
  </si>
  <si>
    <t>Stephanie Chapman</t>
  </si>
  <si>
    <t>CUST1688</t>
  </si>
  <si>
    <t>April Morris</t>
  </si>
  <si>
    <t>CUST1689</t>
  </si>
  <si>
    <t>Samuel Brown</t>
  </si>
  <si>
    <t>CUST1690</t>
  </si>
  <si>
    <t>Heidi Walsh</t>
  </si>
  <si>
    <t>CUST1691</t>
  </si>
  <si>
    <t>Kristi Haynes</t>
  </si>
  <si>
    <t>CUST1692</t>
  </si>
  <si>
    <t>Jessica Mckenzie</t>
  </si>
  <si>
    <t>CUST1693</t>
  </si>
  <si>
    <t>Terry Robinson</t>
  </si>
  <si>
    <t>CUST1694</t>
  </si>
  <si>
    <t>Linda Gomez</t>
  </si>
  <si>
    <t>CUST1695</t>
  </si>
  <si>
    <t>Kathleen Herman</t>
  </si>
  <si>
    <t>CUST1696</t>
  </si>
  <si>
    <t>Alejandro Stokes</t>
  </si>
  <si>
    <t>CUST1697</t>
  </si>
  <si>
    <t>Luke Johnson</t>
  </si>
  <si>
    <t>CUST1698</t>
  </si>
  <si>
    <t>Brandon Mack</t>
  </si>
  <si>
    <t>CUST1699</t>
  </si>
  <si>
    <t>Brandy Hall</t>
  </si>
  <si>
    <t>CUST1700</t>
  </si>
  <si>
    <t>CUST1701</t>
  </si>
  <si>
    <t>Robert Johnson</t>
  </si>
  <si>
    <t>CUST1702</t>
  </si>
  <si>
    <t>Ashley Gaines</t>
  </si>
  <si>
    <t>CUST1703</t>
  </si>
  <si>
    <t>Kathy Hernandez</t>
  </si>
  <si>
    <t>CUST1704</t>
  </si>
  <si>
    <t>Michael Horn</t>
  </si>
  <si>
    <t>CUST1705</t>
  </si>
  <si>
    <t>Charles Boyd</t>
  </si>
  <si>
    <t>CUST1706</t>
  </si>
  <si>
    <t>Roger Brown</t>
  </si>
  <si>
    <t>CUST1707</t>
  </si>
  <si>
    <t>Marie Contreras</t>
  </si>
  <si>
    <t>CUST1708</t>
  </si>
  <si>
    <t>Jamie Drake</t>
  </si>
  <si>
    <t>CUST1709</t>
  </si>
  <si>
    <t>Jacob Wallace</t>
  </si>
  <si>
    <t>CUST1710</t>
  </si>
  <si>
    <t>Timothy Chen</t>
  </si>
  <si>
    <t>CUST1711</t>
  </si>
  <si>
    <t>Susan Montgomery</t>
  </si>
  <si>
    <t>CUST1712</t>
  </si>
  <si>
    <t>Brooke King</t>
  </si>
  <si>
    <t>CUST1713</t>
  </si>
  <si>
    <t>Michael Kelly</t>
  </si>
  <si>
    <t>CUST1714</t>
  </si>
  <si>
    <t>Kristine Short</t>
  </si>
  <si>
    <t>CUST1715</t>
  </si>
  <si>
    <t>Michael Cummings</t>
  </si>
  <si>
    <t>CUST1716</t>
  </si>
  <si>
    <t>Leah Stone</t>
  </si>
  <si>
    <t>CUST1717</t>
  </si>
  <si>
    <t>Daniel Fleming</t>
  </si>
  <si>
    <t>CUST1718</t>
  </si>
  <si>
    <t>Brittany Burton</t>
  </si>
  <si>
    <t>CUST1719</t>
  </si>
  <si>
    <t>Jonathan Ramirez</t>
  </si>
  <si>
    <t>CUST1720</t>
  </si>
  <si>
    <t>Jennifer Wright</t>
  </si>
  <si>
    <t>CUST1721</t>
  </si>
  <si>
    <t>Megan Herman</t>
  </si>
  <si>
    <t>CUST1722</t>
  </si>
  <si>
    <t>Christopher Mcdonald</t>
  </si>
  <si>
    <t>CUST1723</t>
  </si>
  <si>
    <t>Charlotte Ross</t>
  </si>
  <si>
    <t>CUST1724</t>
  </si>
  <si>
    <t>Daniel Rodriguez</t>
  </si>
  <si>
    <t>CUST1725</t>
  </si>
  <si>
    <t>Cynthia Davis</t>
  </si>
  <si>
    <t>CUST1726</t>
  </si>
  <si>
    <t>Sarah Fuller</t>
  </si>
  <si>
    <t>CUST1727</t>
  </si>
  <si>
    <t>Dana Leonard</t>
  </si>
  <si>
    <t>CUST1728</t>
  </si>
  <si>
    <t>Connie Lewis</t>
  </si>
  <si>
    <t>CUST1729</t>
  </si>
  <si>
    <t>Jason Smith</t>
  </si>
  <si>
    <t>CUST1730</t>
  </si>
  <si>
    <t>Christopher Hardin</t>
  </si>
  <si>
    <t>CUST1731</t>
  </si>
  <si>
    <t>Christopher King DDS</t>
  </si>
  <si>
    <t>CUST1732</t>
  </si>
  <si>
    <t>Dustin Hamilton</t>
  </si>
  <si>
    <t>CUST1733</t>
  </si>
  <si>
    <t>Alexandria Edwards</t>
  </si>
  <si>
    <t>CUST1734</t>
  </si>
  <si>
    <t>Felicia Gilbert</t>
  </si>
  <si>
    <t>CUST1735</t>
  </si>
  <si>
    <t>Hayley Reyes</t>
  </si>
  <si>
    <t>CUST1736</t>
  </si>
  <si>
    <t>Tina Knight</t>
  </si>
  <si>
    <t>CUST1737</t>
  </si>
  <si>
    <t>CUST1738</t>
  </si>
  <si>
    <t>Cheryl Howell</t>
  </si>
  <si>
    <t>CUST1739</t>
  </si>
  <si>
    <t>Alec Alvarez</t>
  </si>
  <si>
    <t>CUST1740</t>
  </si>
  <si>
    <t>Jeffery Campbell</t>
  </si>
  <si>
    <t>CUST1741</t>
  </si>
  <si>
    <t>Claire Adams</t>
  </si>
  <si>
    <t>CUST1742</t>
  </si>
  <si>
    <t>Cathy Stark</t>
  </si>
  <si>
    <t>CUST1743</t>
  </si>
  <si>
    <t>Rachel Russell</t>
  </si>
  <si>
    <t>CUST1744</t>
  </si>
  <si>
    <t>Kara Grant</t>
  </si>
  <si>
    <t>CUST1745</t>
  </si>
  <si>
    <t>Margaret Juarez</t>
  </si>
  <si>
    <t>CUST1746</t>
  </si>
  <si>
    <t>Natasha Johnson</t>
  </si>
  <si>
    <t>CUST1747</t>
  </si>
  <si>
    <t>Sara Castillo</t>
  </si>
  <si>
    <t>CUST1748</t>
  </si>
  <si>
    <t>Brian Morales</t>
  </si>
  <si>
    <t>CUST1749</t>
  </si>
  <si>
    <t>Margaret Johnson</t>
  </si>
  <si>
    <t>CUST1750</t>
  </si>
  <si>
    <t>Tyler Kelley</t>
  </si>
  <si>
    <t>CUST1751</t>
  </si>
  <si>
    <t>Michael Ford</t>
  </si>
  <si>
    <t>CUST1752</t>
  </si>
  <si>
    <t>Yvonne Dunn</t>
  </si>
  <si>
    <t>CUST1753</t>
  </si>
  <si>
    <t>Elizabeth White</t>
  </si>
  <si>
    <t>CUST1754</t>
  </si>
  <si>
    <t>Heather Ferguson</t>
  </si>
  <si>
    <t>CUST1755</t>
  </si>
  <si>
    <t>Alex Miller</t>
  </si>
  <si>
    <t>CUST1756</t>
  </si>
  <si>
    <t>Evan Mendoza</t>
  </si>
  <si>
    <t>CUST1757</t>
  </si>
  <si>
    <t>Randall Mendoza</t>
  </si>
  <si>
    <t>CUST1758</t>
  </si>
  <si>
    <t>Connie Welch</t>
  </si>
  <si>
    <t>CUST1759</t>
  </si>
  <si>
    <t>Joel Chan</t>
  </si>
  <si>
    <t>CUST1760</t>
  </si>
  <si>
    <t>Cindy White</t>
  </si>
  <si>
    <t>CUST1761</t>
  </si>
  <si>
    <t>Joshua Franklin</t>
  </si>
  <si>
    <t>CUST1762</t>
  </si>
  <si>
    <t>Billy Walker</t>
  </si>
  <si>
    <t>CUST1763</t>
  </si>
  <si>
    <t>Tony Mills</t>
  </si>
  <si>
    <t>CUST1764</t>
  </si>
  <si>
    <t>Cynthia Romero</t>
  </si>
  <si>
    <t>CUST1765</t>
  </si>
  <si>
    <t>Jennifer Robinson</t>
  </si>
  <si>
    <t>CUST1766</t>
  </si>
  <si>
    <t>Jennifer Bautista</t>
  </si>
  <si>
    <t>CUST1767</t>
  </si>
  <si>
    <t>Ronald Reyes</t>
  </si>
  <si>
    <t>CUST1768</t>
  </si>
  <si>
    <t>Donna Alvarez</t>
  </si>
  <si>
    <t>CUST1769</t>
  </si>
  <si>
    <t>Marisa Luna</t>
  </si>
  <si>
    <t>CUST1770</t>
  </si>
  <si>
    <t>Brandon Hill</t>
  </si>
  <si>
    <t>CUST1771</t>
  </si>
  <si>
    <t>Jonathan Olson</t>
  </si>
  <si>
    <t>CUST1772</t>
  </si>
  <si>
    <t>Stacy Mclaughlin</t>
  </si>
  <si>
    <t>CUST1773</t>
  </si>
  <si>
    <t>Joshua Richardson</t>
  </si>
  <si>
    <t>CUST1774</t>
  </si>
  <si>
    <t>Cheryl Gordon</t>
  </si>
  <si>
    <t>CUST1775</t>
  </si>
  <si>
    <t>Daniel Lane</t>
  </si>
  <si>
    <t>CUST1776</t>
  </si>
  <si>
    <t>Robert Underwood</t>
  </si>
  <si>
    <t>CUST1777</t>
  </si>
  <si>
    <t>Daniel Cline</t>
  </si>
  <si>
    <t>CUST1778</t>
  </si>
  <si>
    <t>Scott Russell</t>
  </si>
  <si>
    <t>CUST1779</t>
  </si>
  <si>
    <t>Stephen Morgan</t>
  </si>
  <si>
    <t>CUST1780</t>
  </si>
  <si>
    <t>Roberto Coleman</t>
  </si>
  <si>
    <t>CUST1781</t>
  </si>
  <si>
    <t>Jon Evans</t>
  </si>
  <si>
    <t>CUST1782</t>
  </si>
  <si>
    <t>Katrina Day</t>
  </si>
  <si>
    <t>CUST1783</t>
  </si>
  <si>
    <t>Benjamin Rodriguez</t>
  </si>
  <si>
    <t>CUST1784</t>
  </si>
  <si>
    <t>Amanda Alexander</t>
  </si>
  <si>
    <t>CUST1785</t>
  </si>
  <si>
    <t>Jessica Pierce</t>
  </si>
  <si>
    <t>CUST1786</t>
  </si>
  <si>
    <t>Patrick Barnes</t>
  </si>
  <si>
    <t>CUST1787</t>
  </si>
  <si>
    <t>Danielle Yates</t>
  </si>
  <si>
    <t>CUST1788</t>
  </si>
  <si>
    <t>Gina Davis</t>
  </si>
  <si>
    <t>CUST1789</t>
  </si>
  <si>
    <t>Christopher Norman</t>
  </si>
  <si>
    <t>CUST1790</t>
  </si>
  <si>
    <t>James Mason</t>
  </si>
  <si>
    <t>CUST1791</t>
  </si>
  <si>
    <t>Thomas Adkins</t>
  </si>
  <si>
    <t>CUST1792</t>
  </si>
  <si>
    <t>Ross Lopez</t>
  </si>
  <si>
    <t>CUST1793</t>
  </si>
  <si>
    <t>Kristin Reynolds MD</t>
  </si>
  <si>
    <t>CUST1794</t>
  </si>
  <si>
    <t>Julie Richardson</t>
  </si>
  <si>
    <t>CUST1795</t>
  </si>
  <si>
    <t>Amanda Ruiz</t>
  </si>
  <si>
    <t>CUST1796</t>
  </si>
  <si>
    <t>Amy Mitchell</t>
  </si>
  <si>
    <t>CUST1797</t>
  </si>
  <si>
    <t>Walter Martin</t>
  </si>
  <si>
    <t>CUST1798</t>
  </si>
  <si>
    <t>Martin Morgan</t>
  </si>
  <si>
    <t>CUST1799</t>
  </si>
  <si>
    <t>Michael Scott</t>
  </si>
  <si>
    <t>CUST1800</t>
  </si>
  <si>
    <t>Kimberly Zuniga</t>
  </si>
  <si>
    <t>CUST1801</t>
  </si>
  <si>
    <t>Matthew French</t>
  </si>
  <si>
    <t>CUST1802</t>
  </si>
  <si>
    <t>Andrew Howard</t>
  </si>
  <si>
    <t>CUST1803</t>
  </si>
  <si>
    <t>Justin Tran</t>
  </si>
  <si>
    <t>CUST1804</t>
  </si>
  <si>
    <t>Brooke Castro</t>
  </si>
  <si>
    <t>CUST1805</t>
  </si>
  <si>
    <t>Kimberly Medina</t>
  </si>
  <si>
    <t>CUST1806</t>
  </si>
  <si>
    <t>Adam Morton</t>
  </si>
  <si>
    <t>CUST1807</t>
  </si>
  <si>
    <t>Jesse Martin</t>
  </si>
  <si>
    <t>CUST1808</t>
  </si>
  <si>
    <t>Melanie Brown</t>
  </si>
  <si>
    <t>CUST1809</t>
  </si>
  <si>
    <t>Jorge Frank</t>
  </si>
  <si>
    <t>CUST1810</t>
  </si>
  <si>
    <t>Wendy Martin</t>
  </si>
  <si>
    <t>CUST1811</t>
  </si>
  <si>
    <t>Wendy Russell</t>
  </si>
  <si>
    <t>CUST1812</t>
  </si>
  <si>
    <t>Kayla Dominguez</t>
  </si>
  <si>
    <t>CUST1813</t>
  </si>
  <si>
    <t>Amy Gonzalez</t>
  </si>
  <si>
    <t>CUST1814</t>
  </si>
  <si>
    <t>Daniel Kelly</t>
  </si>
  <si>
    <t>CUST1815</t>
  </si>
  <si>
    <t>Edward Mcgee</t>
  </si>
  <si>
    <t>CUST1816</t>
  </si>
  <si>
    <t>Jacob Burnett</t>
  </si>
  <si>
    <t>CUST1817</t>
  </si>
  <si>
    <t>Sheri Diaz</t>
  </si>
  <si>
    <t>CUST1818</t>
  </si>
  <si>
    <t>Jamie Luna</t>
  </si>
  <si>
    <t>CUST1819</t>
  </si>
  <si>
    <t>Brian Rogers</t>
  </si>
  <si>
    <t>CUST1820</t>
  </si>
  <si>
    <t>Sara Graves</t>
  </si>
  <si>
    <t>CUST1821</t>
  </si>
  <si>
    <t>Linda Pierce</t>
  </si>
  <si>
    <t>CUST1822</t>
  </si>
  <si>
    <t>Aaron Rios</t>
  </si>
  <si>
    <t>CUST1823</t>
  </si>
  <si>
    <t>David Walker</t>
  </si>
  <si>
    <t>CUST1824</t>
  </si>
  <si>
    <t>Jonathan Ryan</t>
  </si>
  <si>
    <t>CUST1825</t>
  </si>
  <si>
    <t>Eric Lowery</t>
  </si>
  <si>
    <t>CUST1826</t>
  </si>
  <si>
    <t>Christina Adams</t>
  </si>
  <si>
    <t>CUST1827</t>
  </si>
  <si>
    <t>Andrea Bauer</t>
  </si>
  <si>
    <t>CUST1828</t>
  </si>
  <si>
    <t>Collin Johnson</t>
  </si>
  <si>
    <t>CUST1829</t>
  </si>
  <si>
    <t>Kevin Schroeder</t>
  </si>
  <si>
    <t>CUST1830</t>
  </si>
  <si>
    <t>Michelle Macdonald</t>
  </si>
  <si>
    <t>CUST1831</t>
  </si>
  <si>
    <t>Audrey Edwards</t>
  </si>
  <si>
    <t>CUST1832</t>
  </si>
  <si>
    <t>Nancy Atkins</t>
  </si>
  <si>
    <t>CUST1833</t>
  </si>
  <si>
    <t>Timothy Silva</t>
  </si>
  <si>
    <t>CUST1834</t>
  </si>
  <si>
    <t>William Stewart</t>
  </si>
  <si>
    <t>CUST1835</t>
  </si>
  <si>
    <t>Valerie Galvan</t>
  </si>
  <si>
    <t>CUST1836</t>
  </si>
  <si>
    <t>Michael Manning</t>
  </si>
  <si>
    <t>CUST1837</t>
  </si>
  <si>
    <t>Mr. Michael Ferguson</t>
  </si>
  <si>
    <t>CUST1838</t>
  </si>
  <si>
    <t>Leon Landry</t>
  </si>
  <si>
    <t>CUST1839</t>
  </si>
  <si>
    <t>Michelle Andersen</t>
  </si>
  <si>
    <t>CUST1840</t>
  </si>
  <si>
    <t>Beth Vincent</t>
  </si>
  <si>
    <t>CUST1841</t>
  </si>
  <si>
    <t>Brian Henry</t>
  </si>
  <si>
    <t>CUST1842</t>
  </si>
  <si>
    <t>Heidi Brown</t>
  </si>
  <si>
    <t>CUST1843</t>
  </si>
  <si>
    <t>Melissa Baker</t>
  </si>
  <si>
    <t>CUST1844</t>
  </si>
  <si>
    <t>Dalton Johnson</t>
  </si>
  <si>
    <t>CUST1845</t>
  </si>
  <si>
    <t>Nathan Scott</t>
  </si>
  <si>
    <t>CUST1846</t>
  </si>
  <si>
    <t>Kari Garrett</t>
  </si>
  <si>
    <t>CUST1847</t>
  </si>
  <si>
    <t>Jesse Branch</t>
  </si>
  <si>
    <t>CUST1848</t>
  </si>
  <si>
    <t>Jeremy Brown</t>
  </si>
  <si>
    <t>CUST1849</t>
  </si>
  <si>
    <t>Sarah Schneider</t>
  </si>
  <si>
    <t>CUST1850</t>
  </si>
  <si>
    <t>Victor Davis</t>
  </si>
  <si>
    <t>CUST1851</t>
  </si>
  <si>
    <t>Lori Byrd</t>
  </si>
  <si>
    <t>CUST1852</t>
  </si>
  <si>
    <t>Crystal Owens</t>
  </si>
  <si>
    <t>CUST1853</t>
  </si>
  <si>
    <t>Greg Kennedy</t>
  </si>
  <si>
    <t>CUST1854</t>
  </si>
  <si>
    <t>Cynthia Miller</t>
  </si>
  <si>
    <t>CUST1855</t>
  </si>
  <si>
    <t>Joe Roberts</t>
  </si>
  <si>
    <t>CUST1856</t>
  </si>
  <si>
    <t>Robert Green</t>
  </si>
  <si>
    <t>CUST1857</t>
  </si>
  <si>
    <t>Susan Warner</t>
  </si>
  <si>
    <t>CUST1858</t>
  </si>
  <si>
    <t>Justin Russell MD</t>
  </si>
  <si>
    <t>CUST1859</t>
  </si>
  <si>
    <t>Jason Rodgers</t>
  </si>
  <si>
    <t>CUST1860</t>
  </si>
  <si>
    <t>Jasmine Ayers</t>
  </si>
  <si>
    <t>CUST1861</t>
  </si>
  <si>
    <t>Samantha Bryan</t>
  </si>
  <si>
    <t>CUST1862</t>
  </si>
  <si>
    <t>Anthony Payne</t>
  </si>
  <si>
    <t>CUST1863</t>
  </si>
  <si>
    <t>Summer Oliver</t>
  </si>
  <si>
    <t>CUST1864</t>
  </si>
  <si>
    <t>Joel Nguyen</t>
  </si>
  <si>
    <t>CUST1865</t>
  </si>
  <si>
    <t>Seth Crawford</t>
  </si>
  <si>
    <t>CUST1866</t>
  </si>
  <si>
    <t>Kristen Bentley</t>
  </si>
  <si>
    <t>CUST1867</t>
  </si>
  <si>
    <t>Kenneth Mercer</t>
  </si>
  <si>
    <t>CUST1868</t>
  </si>
  <si>
    <t>Shawn Briggs</t>
  </si>
  <si>
    <t>CUST1869</t>
  </si>
  <si>
    <t>Gina Miller</t>
  </si>
  <si>
    <t>CUST1870</t>
  </si>
  <si>
    <t>Michael Reed</t>
  </si>
  <si>
    <t>CUST1871</t>
  </si>
  <si>
    <t>Julie George</t>
  </si>
  <si>
    <t>CUST1872</t>
  </si>
  <si>
    <t>Mary West</t>
  </si>
  <si>
    <t>CUST1873</t>
  </si>
  <si>
    <t>Cameron Turner</t>
  </si>
  <si>
    <t>CUST1874</t>
  </si>
  <si>
    <t>Stephanie Thomas</t>
  </si>
  <si>
    <t>CUST1875</t>
  </si>
  <si>
    <t>Michael Aguilar</t>
  </si>
  <si>
    <t>CUST1876</t>
  </si>
  <si>
    <t>Shawn Miller</t>
  </si>
  <si>
    <t>CUST1877</t>
  </si>
  <si>
    <t>Carolyn Alvarez</t>
  </si>
  <si>
    <t>CUST1878</t>
  </si>
  <si>
    <t>Jennifer Moore</t>
  </si>
  <si>
    <t>CUST1879</t>
  </si>
  <si>
    <t>Melissa Shaw</t>
  </si>
  <si>
    <t>CUST1880</t>
  </si>
  <si>
    <t>Kyle Murillo</t>
  </si>
  <si>
    <t>CUST1881</t>
  </si>
  <si>
    <t>Johnny Murphy</t>
  </si>
  <si>
    <t>CUST1882</t>
  </si>
  <si>
    <t>Theresa Allen</t>
  </si>
  <si>
    <t>CUST1883</t>
  </si>
  <si>
    <t>Brenda Poole</t>
  </si>
  <si>
    <t>CUST1884</t>
  </si>
  <si>
    <t>Brian Gomez</t>
  </si>
  <si>
    <t>CUST1885</t>
  </si>
  <si>
    <t>Yesenia Thomas</t>
  </si>
  <si>
    <t>CUST1886</t>
  </si>
  <si>
    <t>Anthony Snyder</t>
  </si>
  <si>
    <t>CUST1887</t>
  </si>
  <si>
    <t>Aaron Espinoza</t>
  </si>
  <si>
    <t>CUST1888</t>
  </si>
  <si>
    <t>John Garcia</t>
  </si>
  <si>
    <t>CUST1889</t>
  </si>
  <si>
    <t>Jared Lawson</t>
  </si>
  <si>
    <t>CUST1890</t>
  </si>
  <si>
    <t>Ryan Henry</t>
  </si>
  <si>
    <t>CUST1891</t>
  </si>
  <si>
    <t>Cathy Mccormick</t>
  </si>
  <si>
    <t>CUST1892</t>
  </si>
  <si>
    <t>CUST1893</t>
  </si>
  <si>
    <t>Joseph Taylor Jr.</t>
  </si>
  <si>
    <t>CUST1894</t>
  </si>
  <si>
    <t>Michelle Hutchinson</t>
  </si>
  <si>
    <t>CUST1895</t>
  </si>
  <si>
    <t>Michele Alexander</t>
  </si>
  <si>
    <t>CUST1896</t>
  </si>
  <si>
    <t>Meghan Meza</t>
  </si>
  <si>
    <t>CUST1897</t>
  </si>
  <si>
    <t>Joseph Young</t>
  </si>
  <si>
    <t>CUST1898</t>
  </si>
  <si>
    <t>Corey Stewart</t>
  </si>
  <si>
    <t>CUST1899</t>
  </si>
  <si>
    <t>Virginia Murphy</t>
  </si>
  <si>
    <t>CUST1900</t>
  </si>
  <si>
    <t>Eric Kramer</t>
  </si>
  <si>
    <t>CUST1901</t>
  </si>
  <si>
    <t>David Marsh</t>
  </si>
  <si>
    <t>CUST1902</t>
  </si>
  <si>
    <t>Brenda Mclaughlin</t>
  </si>
  <si>
    <t>CUST1903</t>
  </si>
  <si>
    <t>CUST1904</t>
  </si>
  <si>
    <t>Andrea Harrington</t>
  </si>
  <si>
    <t>CUST1905</t>
  </si>
  <si>
    <t>Sheila Anderson</t>
  </si>
  <si>
    <t>CUST1906</t>
  </si>
  <si>
    <t>Angela Richard</t>
  </si>
  <si>
    <t>CUST1907</t>
  </si>
  <si>
    <t>David Kidd</t>
  </si>
  <si>
    <t>CUST1908</t>
  </si>
  <si>
    <t>Mr. Jesse Woods Jr.</t>
  </si>
  <si>
    <t>CUST1909</t>
  </si>
  <si>
    <t>Emily Aguilar</t>
  </si>
  <si>
    <t>CUST1910</t>
  </si>
  <si>
    <t>Savannah Mcgrath</t>
  </si>
  <si>
    <t>CUST1911</t>
  </si>
  <si>
    <t>Lisa Kirk</t>
  </si>
  <si>
    <t>CUST1912</t>
  </si>
  <si>
    <t>Lisa Barrett</t>
  </si>
  <si>
    <t>CUST1913</t>
  </si>
  <si>
    <t>William Yu</t>
  </si>
  <si>
    <t>CUST1914</t>
  </si>
  <si>
    <t>Dustin Bell</t>
  </si>
  <si>
    <t>CUST1915</t>
  </si>
  <si>
    <t>Sharon Mayo</t>
  </si>
  <si>
    <t>CUST1916</t>
  </si>
  <si>
    <t>Blake Baker</t>
  </si>
  <si>
    <t>CUST1917</t>
  </si>
  <si>
    <t>Charles Martin</t>
  </si>
  <si>
    <t>CUST1918</t>
  </si>
  <si>
    <t>James Mosley</t>
  </si>
  <si>
    <t>CUST1919</t>
  </si>
  <si>
    <t>Eric Ramirez</t>
  </si>
  <si>
    <t>CUST1920</t>
  </si>
  <si>
    <t>Kristen Hubbard</t>
  </si>
  <si>
    <t>CUST1921</t>
  </si>
  <si>
    <t>Nancy Price</t>
  </si>
  <si>
    <t>CUST1922</t>
  </si>
  <si>
    <t>Christopher Burke</t>
  </si>
  <si>
    <t>CUST1923</t>
  </si>
  <si>
    <t>Norma Sherman</t>
  </si>
  <si>
    <t>CUST1924</t>
  </si>
  <si>
    <t>William White</t>
  </si>
  <si>
    <t>CUST1925</t>
  </si>
  <si>
    <t>Carl Hall</t>
  </si>
  <si>
    <t>CUST1926</t>
  </si>
  <si>
    <t>Michael Moore</t>
  </si>
  <si>
    <t>CUST1927</t>
  </si>
  <si>
    <t>Samuel Hodges</t>
  </si>
  <si>
    <t>CUST1928</t>
  </si>
  <si>
    <t>Andrea Carpenter</t>
  </si>
  <si>
    <t>CUST1929</t>
  </si>
  <si>
    <t>Lisa Johnston</t>
  </si>
  <si>
    <t>CUST1930</t>
  </si>
  <si>
    <t>Robert Cunningham</t>
  </si>
  <si>
    <t>CUST1931</t>
  </si>
  <si>
    <t>Mr. Thomas Harrington</t>
  </si>
  <si>
    <t>CUST1932</t>
  </si>
  <si>
    <t>Lori Robles</t>
  </si>
  <si>
    <t>CUST1933</t>
  </si>
  <si>
    <t>Don Frey</t>
  </si>
  <si>
    <t>CUST1934</t>
  </si>
  <si>
    <t>Paul Padilla</t>
  </si>
  <si>
    <t>CUST1935</t>
  </si>
  <si>
    <t>Jimmy Bauer</t>
  </si>
  <si>
    <t>CUST1936</t>
  </si>
  <si>
    <t>Donna Reynolds</t>
  </si>
  <si>
    <t>CUST1937</t>
  </si>
  <si>
    <t>Brandon Larsen</t>
  </si>
  <si>
    <t>CUST1938</t>
  </si>
  <si>
    <t>Teresa Cunningham</t>
  </si>
  <si>
    <t>CUST1939</t>
  </si>
  <si>
    <t>Natalie Klein</t>
  </si>
  <si>
    <t>CUST1940</t>
  </si>
  <si>
    <t>Taylor Horne</t>
  </si>
  <si>
    <t>CUST1941</t>
  </si>
  <si>
    <t>Jesse Smith</t>
  </si>
  <si>
    <t>CUST1942</t>
  </si>
  <si>
    <t>Cathy Carr</t>
  </si>
  <si>
    <t>CUST1943</t>
  </si>
  <si>
    <t>Dr. Patrick Hall</t>
  </si>
  <si>
    <t>CUST1944</t>
  </si>
  <si>
    <t>Adrienne Scott</t>
  </si>
  <si>
    <t>CUST1945</t>
  </si>
  <si>
    <t>Ashley Coleman</t>
  </si>
  <si>
    <t>CUST1946</t>
  </si>
  <si>
    <t>Joshua Sullivan</t>
  </si>
  <si>
    <t>CUST1947</t>
  </si>
  <si>
    <t>Candace Davis</t>
  </si>
  <si>
    <t>CUST1948</t>
  </si>
  <si>
    <t>Matthew Brown</t>
  </si>
  <si>
    <t>CUST1949</t>
  </si>
  <si>
    <t>Olivia Duke</t>
  </si>
  <si>
    <t>CUST1950</t>
  </si>
  <si>
    <t>Andrew Byrd</t>
  </si>
  <si>
    <t>CUST1951</t>
  </si>
  <si>
    <t>Brenda Vasquez</t>
  </si>
  <si>
    <t>CUST1952</t>
  </si>
  <si>
    <t>Justin Dean</t>
  </si>
  <si>
    <t>CUST1953</t>
  </si>
  <si>
    <t>Dr. Ryan Rodriguez</t>
  </si>
  <si>
    <t>CUST1954</t>
  </si>
  <si>
    <t>Anthony Fitzpatrick</t>
  </si>
  <si>
    <t>CUST1955</t>
  </si>
  <si>
    <t>Christopher Allen</t>
  </si>
  <si>
    <t>CUST1956</t>
  </si>
  <si>
    <t>Michelle Burnett</t>
  </si>
  <si>
    <t>CUST1957</t>
  </si>
  <si>
    <t>Maria Moore</t>
  </si>
  <si>
    <t>CUST1958</t>
  </si>
  <si>
    <t>Amanda Rowe</t>
  </si>
  <si>
    <t>CUST1959</t>
  </si>
  <si>
    <t>Jade Jefferson</t>
  </si>
  <si>
    <t>CUST1960</t>
  </si>
  <si>
    <t>Derrick Taylor</t>
  </si>
  <si>
    <t>CUST1961</t>
  </si>
  <si>
    <t>Ashley Brewer</t>
  </si>
  <si>
    <t>CUST1962</t>
  </si>
  <si>
    <t>Allison Miller</t>
  </si>
  <si>
    <t>CUST1963</t>
  </si>
  <si>
    <t>Carolyn Lane DVM</t>
  </si>
  <si>
    <t>CUST1964</t>
  </si>
  <si>
    <t>Austin Carlson</t>
  </si>
  <si>
    <t>CUST1965</t>
  </si>
  <si>
    <t>Matthew Lawrence</t>
  </si>
  <si>
    <t>CUST1966</t>
  </si>
  <si>
    <t>Casey Reeves</t>
  </si>
  <si>
    <t>CUST1967</t>
  </si>
  <si>
    <t>Eddie Saunders</t>
  </si>
  <si>
    <t>CUST1968</t>
  </si>
  <si>
    <t>Madeline Harding</t>
  </si>
  <si>
    <t>CUST1969</t>
  </si>
  <si>
    <t>Ernest Adams</t>
  </si>
  <si>
    <t>CUST1970</t>
  </si>
  <si>
    <t>Anna Jones</t>
  </si>
  <si>
    <t>CUST1971</t>
  </si>
  <si>
    <t>David May</t>
  </si>
  <si>
    <t>CUST1972</t>
  </si>
  <si>
    <t>Robert Watson</t>
  </si>
  <si>
    <t>CUST1973</t>
  </si>
  <si>
    <t>Allen Riley Jr.</t>
  </si>
  <si>
    <t>CUST1974</t>
  </si>
  <si>
    <t>Cheryl Harris</t>
  </si>
  <si>
    <t>CUST1975</t>
  </si>
  <si>
    <t>Jason Crawford</t>
  </si>
  <si>
    <t>CUST1976</t>
  </si>
  <si>
    <t>Jason Griffith</t>
  </si>
  <si>
    <t>CUST1977</t>
  </si>
  <si>
    <t>Anthony Grant</t>
  </si>
  <si>
    <t>CUST1978</t>
  </si>
  <si>
    <t>William Garcia</t>
  </si>
  <si>
    <t>CUST1979</t>
  </si>
  <si>
    <t>Mark Lopez</t>
  </si>
  <si>
    <t>CUST1980</t>
  </si>
  <si>
    <t>Christopher Day</t>
  </si>
  <si>
    <t>CUST1981</t>
  </si>
  <si>
    <t>Andrew Butler</t>
  </si>
  <si>
    <t>CUST1982</t>
  </si>
  <si>
    <t>Kurt Barnett</t>
  </si>
  <si>
    <t>CUST1983</t>
  </si>
  <si>
    <t>Denise Brooks</t>
  </si>
  <si>
    <t>CUST1984</t>
  </si>
  <si>
    <t>Ricardo Sullivan</t>
  </si>
  <si>
    <t>CUST1985</t>
  </si>
  <si>
    <t>Matthew Barton</t>
  </si>
  <si>
    <t>CUST1986</t>
  </si>
  <si>
    <t>Nicholas Roberts</t>
  </si>
  <si>
    <t>CUST1987</t>
  </si>
  <si>
    <t>Jessica Webb</t>
  </si>
  <si>
    <t>CUST1988</t>
  </si>
  <si>
    <t>Drew Spencer</t>
  </si>
  <si>
    <t>CUST1989</t>
  </si>
  <si>
    <t>Jerome Kelly</t>
  </si>
  <si>
    <t>CUST1990</t>
  </si>
  <si>
    <t>Daniel Andrews</t>
  </si>
  <si>
    <t>CUST1991</t>
  </si>
  <si>
    <t>Darrell Perkins</t>
  </si>
  <si>
    <t>CUST1992</t>
  </si>
  <si>
    <t>Yolanda Olson</t>
  </si>
  <si>
    <t>CUST1993</t>
  </si>
  <si>
    <t>Jonathan Jordan</t>
  </si>
  <si>
    <t>CUST1994</t>
  </si>
  <si>
    <t>Peter Gonzalez</t>
  </si>
  <si>
    <t>CUST1995</t>
  </si>
  <si>
    <t>Samantha Delgado</t>
  </si>
  <si>
    <t>CUST1996</t>
  </si>
  <si>
    <t>Mrs. Tracy Robinson</t>
  </si>
  <si>
    <t>CUST1997</t>
  </si>
  <si>
    <t>Mark Fields</t>
  </si>
  <si>
    <t>CUST1998</t>
  </si>
  <si>
    <t>Terri Gibson</t>
  </si>
  <si>
    <t>CUST1999</t>
  </si>
  <si>
    <t>Joseph Garcia II</t>
  </si>
  <si>
    <t>CUST2000</t>
  </si>
  <si>
    <t>Gail Kane</t>
  </si>
  <si>
    <t>TotalCustomers</t>
  </si>
  <si>
    <t>Active</t>
  </si>
  <si>
    <t>Churned</t>
  </si>
  <si>
    <t>Status</t>
  </si>
  <si>
    <t>Total</t>
  </si>
  <si>
    <t>ChurnedCustomers</t>
  </si>
  <si>
    <t>ChurnRate</t>
  </si>
  <si>
    <t>Month</t>
  </si>
  <si>
    <t>Row Labels</t>
  </si>
  <si>
    <t>Apr-2024</t>
  </si>
  <si>
    <t>Apr-2025</t>
  </si>
  <si>
    <t>Apr-2026</t>
  </si>
  <si>
    <t>Aug-2023</t>
  </si>
  <si>
    <t>Aug-2024</t>
  </si>
  <si>
    <t>Aug-2025</t>
  </si>
  <si>
    <t>Dec-2023</t>
  </si>
  <si>
    <t>Dec-2024</t>
  </si>
  <si>
    <t>Dec-2025</t>
  </si>
  <si>
    <t>Feb-2024</t>
  </si>
  <si>
    <t>Feb-2025</t>
  </si>
  <si>
    <t>Feb-2026</t>
  </si>
  <si>
    <t>Jan-2024</t>
  </si>
  <si>
    <t>Jan-2025</t>
  </si>
  <si>
    <t>Jan-2026</t>
  </si>
  <si>
    <t>Jul-2024</t>
  </si>
  <si>
    <t>Jul-2025</t>
  </si>
  <si>
    <t>Jun-2024</t>
  </si>
  <si>
    <t>Jun-2025</t>
  </si>
  <si>
    <t>Mar-2024</t>
  </si>
  <si>
    <t>Mar-2025</t>
  </si>
  <si>
    <t>Mar-2026</t>
  </si>
  <si>
    <t>May-2024</t>
  </si>
  <si>
    <t>May-2025</t>
  </si>
  <si>
    <t>Nov-2023</t>
  </si>
  <si>
    <t>Nov-2024</t>
  </si>
  <si>
    <t>Nov-2025</t>
  </si>
  <si>
    <t>Oct-2023</t>
  </si>
  <si>
    <t>Oct-2024</t>
  </si>
  <si>
    <t>Oct-2025</t>
  </si>
  <si>
    <t>Sep-2023</t>
  </si>
  <si>
    <t>Sep-2024</t>
  </si>
  <si>
    <t>Sep-2025</t>
  </si>
  <si>
    <t>Grand Total</t>
  </si>
  <si>
    <t>Sum of IsChurned</t>
  </si>
  <si>
    <t>Total Customers</t>
  </si>
  <si>
    <t>% Churned</t>
  </si>
  <si>
    <t>Avg Feedback</t>
  </si>
  <si>
    <t>Avg Days Since Login</t>
  </si>
  <si>
    <t>DaysSinceLastLogin</t>
  </si>
  <si>
    <t>AgeGroup</t>
  </si>
  <si>
    <t>CustomerSubscriptions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</si>
</sst>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72"/>
      <color theme="0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9" fillId="34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Churned vs Active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Pie!$F$2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1E-7545-A75E-7E6E312D1E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1E-7545-A75E-7E6E312D1E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Pie!$E$3:$E$4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Pie!$F$3:$F$4</c:f>
              <c:numCache>
                <c:formatCode>General</c:formatCode>
                <c:ptCount val="2"/>
                <c:pt idx="0">
                  <c:v>1210</c:v>
                </c:pt>
                <c:pt idx="1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E-7545-A75E-7E6E312D1E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Subscription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BarData!$D$1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BarData!$A$2:$A$4</c:f>
              <c:strCache>
                <c:ptCount val="3"/>
                <c:pt idx="0">
                  <c:v>Yearly</c:v>
                </c:pt>
                <c:pt idx="1">
                  <c:v>Quarterly</c:v>
                </c:pt>
                <c:pt idx="2">
                  <c:v>Monthly</c:v>
                </c:pt>
              </c:strCache>
            </c:strRef>
          </c:cat>
          <c:val>
            <c:numRef>
              <c:f>BarData!$D$2:$D$4</c:f>
              <c:numCache>
                <c:formatCode>General</c:formatCode>
                <c:ptCount val="3"/>
                <c:pt idx="0">
                  <c:v>32.474229999999999</c:v>
                </c:pt>
                <c:pt idx="1">
                  <c:v>34.29542</c:v>
                </c:pt>
                <c:pt idx="2">
                  <c:v>45.161290000000001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2-D142-BFB5-814D9E871F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9373056"/>
        <c:axId val="1509362304"/>
      </c:barChart>
      <c:catAx>
        <c:axId val="15093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62304"/>
        <c:crosses val="autoZero"/>
        <c:auto val="1"/>
        <c:lblAlgn val="ctr"/>
        <c:lblOffset val="100"/>
        <c:noMultiLvlLbl val="0"/>
      </c:catAx>
      <c:valAx>
        <c:axId val="150936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7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[CustomerSubscriptions.xlsx]LineChart!PivotTable1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Churn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LineChart!$B$3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LineChart!$A$4:$A$37</c:f>
              <c:strCache>
                <c:ptCount val="33"/>
                <c:pt idx="0">
                  <c:v>Apr-2024</c:v>
                </c:pt>
                <c:pt idx="1">
                  <c:v>Apr-2025</c:v>
                </c:pt>
                <c:pt idx="2">
                  <c:v>Apr-2026</c:v>
                </c:pt>
                <c:pt idx="3">
                  <c:v>Aug-2023</c:v>
                </c:pt>
                <c:pt idx="4">
                  <c:v>Aug-2024</c:v>
                </c:pt>
                <c:pt idx="5">
                  <c:v>Aug-2025</c:v>
                </c:pt>
                <c:pt idx="6">
                  <c:v>Dec-2023</c:v>
                </c:pt>
                <c:pt idx="7">
                  <c:v>Dec-2024</c:v>
                </c:pt>
                <c:pt idx="8">
                  <c:v>Dec-2025</c:v>
                </c:pt>
                <c:pt idx="9">
                  <c:v>Feb-2024</c:v>
                </c:pt>
                <c:pt idx="10">
                  <c:v>Feb-2025</c:v>
                </c:pt>
                <c:pt idx="11">
                  <c:v>Feb-2026</c:v>
                </c:pt>
                <c:pt idx="12">
                  <c:v>Jan-2024</c:v>
                </c:pt>
                <c:pt idx="13">
                  <c:v>Jan-2025</c:v>
                </c:pt>
                <c:pt idx="14">
                  <c:v>Jan-2026</c:v>
                </c:pt>
                <c:pt idx="15">
                  <c:v>Jul-2024</c:v>
                </c:pt>
                <c:pt idx="16">
                  <c:v>Jul-2025</c:v>
                </c:pt>
                <c:pt idx="17">
                  <c:v>Jun-2024</c:v>
                </c:pt>
                <c:pt idx="18">
                  <c:v>Jun-2025</c:v>
                </c:pt>
                <c:pt idx="19">
                  <c:v>Mar-2024</c:v>
                </c:pt>
                <c:pt idx="20">
                  <c:v>Mar-2025</c:v>
                </c:pt>
                <c:pt idx="21">
                  <c:v>Mar-2026</c:v>
                </c:pt>
                <c:pt idx="22">
                  <c:v>May-2024</c:v>
                </c:pt>
                <c:pt idx="23">
                  <c:v>May-2025</c:v>
                </c:pt>
                <c:pt idx="24">
                  <c:v>Nov-2023</c:v>
                </c:pt>
                <c:pt idx="25">
                  <c:v>Nov-2024</c:v>
                </c:pt>
                <c:pt idx="26">
                  <c:v>Nov-2025</c:v>
                </c:pt>
                <c:pt idx="27">
                  <c:v>Oct-2023</c:v>
                </c:pt>
                <c:pt idx="28">
                  <c:v>Oct-2024</c:v>
                </c:pt>
                <c:pt idx="29">
                  <c:v>Oct-2025</c:v>
                </c:pt>
                <c:pt idx="30">
                  <c:v>Sep-2023</c:v>
                </c:pt>
                <c:pt idx="31">
                  <c:v>Sep-2024</c:v>
                </c:pt>
                <c:pt idx="32">
                  <c:v>Sep-2025</c:v>
                </c:pt>
              </c:strCache>
            </c:strRef>
          </c:cat>
          <c:val>
            <c:numRef>
              <c:f>LineChart!$B$4:$B$37</c:f>
              <c:numCache>
                <c:formatCode>General</c:formatCode>
                <c:ptCount val="33"/>
                <c:pt idx="0">
                  <c:v>20</c:v>
                </c:pt>
                <c:pt idx="1">
                  <c:v>28</c:v>
                </c:pt>
                <c:pt idx="2">
                  <c:v>5</c:v>
                </c:pt>
                <c:pt idx="3">
                  <c:v>20</c:v>
                </c:pt>
                <c:pt idx="4">
                  <c:v>27</c:v>
                </c:pt>
                <c:pt idx="5">
                  <c:v>25</c:v>
                </c:pt>
                <c:pt idx="6">
                  <c:v>20</c:v>
                </c:pt>
                <c:pt idx="7">
                  <c:v>28</c:v>
                </c:pt>
                <c:pt idx="8">
                  <c:v>24</c:v>
                </c:pt>
                <c:pt idx="9">
                  <c:v>19</c:v>
                </c:pt>
                <c:pt idx="10">
                  <c:v>27</c:v>
                </c:pt>
                <c:pt idx="11">
                  <c:v>36</c:v>
                </c:pt>
                <c:pt idx="12">
                  <c:v>17</c:v>
                </c:pt>
                <c:pt idx="13">
                  <c:v>27</c:v>
                </c:pt>
                <c:pt idx="14">
                  <c:v>21</c:v>
                </c:pt>
                <c:pt idx="15">
                  <c:v>24</c:v>
                </c:pt>
                <c:pt idx="16">
                  <c:v>26</c:v>
                </c:pt>
                <c:pt idx="17">
                  <c:v>20</c:v>
                </c:pt>
                <c:pt idx="18">
                  <c:v>19</c:v>
                </c:pt>
                <c:pt idx="19">
                  <c:v>19</c:v>
                </c:pt>
                <c:pt idx="20">
                  <c:v>21</c:v>
                </c:pt>
                <c:pt idx="21">
                  <c:v>37</c:v>
                </c:pt>
                <c:pt idx="22">
                  <c:v>27</c:v>
                </c:pt>
                <c:pt idx="23">
                  <c:v>26</c:v>
                </c:pt>
                <c:pt idx="24">
                  <c:v>22</c:v>
                </c:pt>
                <c:pt idx="25">
                  <c:v>22</c:v>
                </c:pt>
                <c:pt idx="26">
                  <c:v>27</c:v>
                </c:pt>
                <c:pt idx="27">
                  <c:v>27</c:v>
                </c:pt>
                <c:pt idx="28">
                  <c:v>25</c:v>
                </c:pt>
                <c:pt idx="29">
                  <c:v>29</c:v>
                </c:pt>
                <c:pt idx="30">
                  <c:v>32</c:v>
                </c:pt>
                <c:pt idx="31">
                  <c:v>22</c:v>
                </c:pt>
                <c:pt idx="3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6-0B42-9069-58B7AE65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290624"/>
        <c:axId val="1499293312"/>
      </c:lineChart>
      <c:catAx>
        <c:axId val="14992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93312"/>
        <c:crosses val="autoZero"/>
        <c:auto val="1"/>
        <c:lblAlgn val="ctr"/>
        <c:lblOffset val="100"/>
        <c:noMultiLvlLbl val="0"/>
      </c:catAx>
      <c:valAx>
        <c:axId val="14992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FeedbackScore vs TotalSessions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CustomerSubscriptions!$I$1</c:f>
              <c:strCache>
                <c:ptCount val="1"/>
                <c:pt idx="0">
                  <c:v>FeedbackScore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CustomerSubscriptions!$H$2:$H$2001</c:f>
              <c:numCache>
                <c:formatCode>General</c:formatCode>
                <c:ptCount val="2000"/>
                <c:pt idx="0">
                  <c:v>41</c:v>
                </c:pt>
                <c:pt idx="1">
                  <c:v>50</c:v>
                </c:pt>
                <c:pt idx="2">
                  <c:v>55</c:v>
                </c:pt>
                <c:pt idx="3">
                  <c:v>10</c:v>
                </c:pt>
                <c:pt idx="4">
                  <c:v>63</c:v>
                </c:pt>
                <c:pt idx="5">
                  <c:v>22</c:v>
                </c:pt>
                <c:pt idx="6">
                  <c:v>18</c:v>
                </c:pt>
                <c:pt idx="7">
                  <c:v>15</c:v>
                </c:pt>
                <c:pt idx="8">
                  <c:v>38</c:v>
                </c:pt>
                <c:pt idx="9">
                  <c:v>31</c:v>
                </c:pt>
                <c:pt idx="10">
                  <c:v>62</c:v>
                </c:pt>
                <c:pt idx="11">
                  <c:v>0</c:v>
                </c:pt>
                <c:pt idx="12">
                  <c:v>42</c:v>
                </c:pt>
                <c:pt idx="13">
                  <c:v>49</c:v>
                </c:pt>
                <c:pt idx="14">
                  <c:v>73</c:v>
                </c:pt>
                <c:pt idx="15">
                  <c:v>39</c:v>
                </c:pt>
                <c:pt idx="16">
                  <c:v>3</c:v>
                </c:pt>
                <c:pt idx="17">
                  <c:v>52</c:v>
                </c:pt>
                <c:pt idx="18">
                  <c:v>31</c:v>
                </c:pt>
                <c:pt idx="19">
                  <c:v>12</c:v>
                </c:pt>
                <c:pt idx="20">
                  <c:v>63</c:v>
                </c:pt>
                <c:pt idx="21">
                  <c:v>9</c:v>
                </c:pt>
                <c:pt idx="22">
                  <c:v>77</c:v>
                </c:pt>
                <c:pt idx="23">
                  <c:v>47</c:v>
                </c:pt>
                <c:pt idx="24">
                  <c:v>47</c:v>
                </c:pt>
                <c:pt idx="25">
                  <c:v>10</c:v>
                </c:pt>
                <c:pt idx="26">
                  <c:v>71</c:v>
                </c:pt>
                <c:pt idx="27">
                  <c:v>26</c:v>
                </c:pt>
                <c:pt idx="28">
                  <c:v>42</c:v>
                </c:pt>
                <c:pt idx="29">
                  <c:v>26</c:v>
                </c:pt>
                <c:pt idx="30">
                  <c:v>62</c:v>
                </c:pt>
                <c:pt idx="31">
                  <c:v>37</c:v>
                </c:pt>
                <c:pt idx="32">
                  <c:v>27</c:v>
                </c:pt>
                <c:pt idx="33">
                  <c:v>68</c:v>
                </c:pt>
                <c:pt idx="34">
                  <c:v>26</c:v>
                </c:pt>
                <c:pt idx="35">
                  <c:v>38</c:v>
                </c:pt>
                <c:pt idx="36">
                  <c:v>6</c:v>
                </c:pt>
                <c:pt idx="37">
                  <c:v>43</c:v>
                </c:pt>
                <c:pt idx="38">
                  <c:v>79</c:v>
                </c:pt>
                <c:pt idx="39">
                  <c:v>31</c:v>
                </c:pt>
                <c:pt idx="40">
                  <c:v>71</c:v>
                </c:pt>
                <c:pt idx="41">
                  <c:v>71</c:v>
                </c:pt>
                <c:pt idx="42">
                  <c:v>15</c:v>
                </c:pt>
                <c:pt idx="43">
                  <c:v>33</c:v>
                </c:pt>
                <c:pt idx="44">
                  <c:v>45</c:v>
                </c:pt>
                <c:pt idx="45">
                  <c:v>5</c:v>
                </c:pt>
                <c:pt idx="46">
                  <c:v>66</c:v>
                </c:pt>
                <c:pt idx="47">
                  <c:v>1</c:v>
                </c:pt>
                <c:pt idx="48">
                  <c:v>47</c:v>
                </c:pt>
                <c:pt idx="49">
                  <c:v>18</c:v>
                </c:pt>
                <c:pt idx="50">
                  <c:v>68</c:v>
                </c:pt>
                <c:pt idx="51">
                  <c:v>0</c:v>
                </c:pt>
                <c:pt idx="52">
                  <c:v>16</c:v>
                </c:pt>
                <c:pt idx="53">
                  <c:v>30</c:v>
                </c:pt>
                <c:pt idx="54">
                  <c:v>44</c:v>
                </c:pt>
                <c:pt idx="55">
                  <c:v>6</c:v>
                </c:pt>
                <c:pt idx="56">
                  <c:v>18</c:v>
                </c:pt>
                <c:pt idx="57">
                  <c:v>24</c:v>
                </c:pt>
                <c:pt idx="58">
                  <c:v>22</c:v>
                </c:pt>
                <c:pt idx="59">
                  <c:v>71</c:v>
                </c:pt>
                <c:pt idx="60">
                  <c:v>25</c:v>
                </c:pt>
                <c:pt idx="61">
                  <c:v>66</c:v>
                </c:pt>
                <c:pt idx="62">
                  <c:v>57</c:v>
                </c:pt>
                <c:pt idx="63">
                  <c:v>77</c:v>
                </c:pt>
                <c:pt idx="64">
                  <c:v>50</c:v>
                </c:pt>
                <c:pt idx="65">
                  <c:v>38</c:v>
                </c:pt>
                <c:pt idx="66">
                  <c:v>79</c:v>
                </c:pt>
                <c:pt idx="67">
                  <c:v>80</c:v>
                </c:pt>
                <c:pt idx="68">
                  <c:v>58</c:v>
                </c:pt>
                <c:pt idx="69">
                  <c:v>2</c:v>
                </c:pt>
                <c:pt idx="70">
                  <c:v>73</c:v>
                </c:pt>
                <c:pt idx="71">
                  <c:v>6</c:v>
                </c:pt>
                <c:pt idx="72">
                  <c:v>27</c:v>
                </c:pt>
                <c:pt idx="73">
                  <c:v>36</c:v>
                </c:pt>
                <c:pt idx="74">
                  <c:v>76</c:v>
                </c:pt>
                <c:pt idx="75">
                  <c:v>34</c:v>
                </c:pt>
                <c:pt idx="76">
                  <c:v>20</c:v>
                </c:pt>
                <c:pt idx="77">
                  <c:v>43</c:v>
                </c:pt>
                <c:pt idx="78">
                  <c:v>7</c:v>
                </c:pt>
                <c:pt idx="79">
                  <c:v>55</c:v>
                </c:pt>
                <c:pt idx="80">
                  <c:v>72</c:v>
                </c:pt>
                <c:pt idx="81">
                  <c:v>35</c:v>
                </c:pt>
                <c:pt idx="82">
                  <c:v>65</c:v>
                </c:pt>
                <c:pt idx="83">
                  <c:v>70</c:v>
                </c:pt>
                <c:pt idx="84">
                  <c:v>43</c:v>
                </c:pt>
                <c:pt idx="85">
                  <c:v>6</c:v>
                </c:pt>
                <c:pt idx="86">
                  <c:v>11</c:v>
                </c:pt>
                <c:pt idx="87">
                  <c:v>54</c:v>
                </c:pt>
                <c:pt idx="88">
                  <c:v>9</c:v>
                </c:pt>
                <c:pt idx="89">
                  <c:v>60</c:v>
                </c:pt>
                <c:pt idx="90">
                  <c:v>47</c:v>
                </c:pt>
                <c:pt idx="91">
                  <c:v>28</c:v>
                </c:pt>
                <c:pt idx="92">
                  <c:v>35</c:v>
                </c:pt>
                <c:pt idx="93">
                  <c:v>26</c:v>
                </c:pt>
                <c:pt idx="94">
                  <c:v>55</c:v>
                </c:pt>
                <c:pt idx="95">
                  <c:v>27</c:v>
                </c:pt>
                <c:pt idx="96">
                  <c:v>18</c:v>
                </c:pt>
                <c:pt idx="97">
                  <c:v>53</c:v>
                </c:pt>
                <c:pt idx="98">
                  <c:v>72</c:v>
                </c:pt>
                <c:pt idx="99">
                  <c:v>46</c:v>
                </c:pt>
                <c:pt idx="100">
                  <c:v>30</c:v>
                </c:pt>
                <c:pt idx="101">
                  <c:v>43</c:v>
                </c:pt>
                <c:pt idx="102">
                  <c:v>50</c:v>
                </c:pt>
                <c:pt idx="103">
                  <c:v>15</c:v>
                </c:pt>
                <c:pt idx="104">
                  <c:v>24</c:v>
                </c:pt>
                <c:pt idx="105">
                  <c:v>52</c:v>
                </c:pt>
                <c:pt idx="106">
                  <c:v>77</c:v>
                </c:pt>
                <c:pt idx="107">
                  <c:v>45</c:v>
                </c:pt>
                <c:pt idx="108">
                  <c:v>75</c:v>
                </c:pt>
                <c:pt idx="109">
                  <c:v>6</c:v>
                </c:pt>
                <c:pt idx="110">
                  <c:v>0</c:v>
                </c:pt>
                <c:pt idx="111">
                  <c:v>67</c:v>
                </c:pt>
                <c:pt idx="112">
                  <c:v>26</c:v>
                </c:pt>
                <c:pt idx="113">
                  <c:v>3</c:v>
                </c:pt>
                <c:pt idx="114">
                  <c:v>10</c:v>
                </c:pt>
                <c:pt idx="115">
                  <c:v>65</c:v>
                </c:pt>
                <c:pt idx="116">
                  <c:v>78</c:v>
                </c:pt>
                <c:pt idx="117">
                  <c:v>31</c:v>
                </c:pt>
                <c:pt idx="118">
                  <c:v>25</c:v>
                </c:pt>
                <c:pt idx="119">
                  <c:v>57</c:v>
                </c:pt>
                <c:pt idx="120">
                  <c:v>49</c:v>
                </c:pt>
                <c:pt idx="121">
                  <c:v>74</c:v>
                </c:pt>
                <c:pt idx="122">
                  <c:v>16</c:v>
                </c:pt>
                <c:pt idx="123">
                  <c:v>6</c:v>
                </c:pt>
                <c:pt idx="124">
                  <c:v>37</c:v>
                </c:pt>
                <c:pt idx="125">
                  <c:v>39</c:v>
                </c:pt>
                <c:pt idx="126">
                  <c:v>52</c:v>
                </c:pt>
                <c:pt idx="127">
                  <c:v>72</c:v>
                </c:pt>
                <c:pt idx="128">
                  <c:v>11</c:v>
                </c:pt>
                <c:pt idx="129">
                  <c:v>2</c:v>
                </c:pt>
                <c:pt idx="130">
                  <c:v>48</c:v>
                </c:pt>
                <c:pt idx="131">
                  <c:v>10</c:v>
                </c:pt>
                <c:pt idx="132">
                  <c:v>55</c:v>
                </c:pt>
                <c:pt idx="133">
                  <c:v>67</c:v>
                </c:pt>
                <c:pt idx="134">
                  <c:v>2</c:v>
                </c:pt>
                <c:pt idx="135">
                  <c:v>1</c:v>
                </c:pt>
                <c:pt idx="136">
                  <c:v>24</c:v>
                </c:pt>
                <c:pt idx="137">
                  <c:v>57</c:v>
                </c:pt>
                <c:pt idx="138">
                  <c:v>8</c:v>
                </c:pt>
                <c:pt idx="139">
                  <c:v>3</c:v>
                </c:pt>
                <c:pt idx="140">
                  <c:v>69</c:v>
                </c:pt>
                <c:pt idx="141">
                  <c:v>41</c:v>
                </c:pt>
                <c:pt idx="142">
                  <c:v>24</c:v>
                </c:pt>
                <c:pt idx="143">
                  <c:v>35</c:v>
                </c:pt>
                <c:pt idx="144">
                  <c:v>27</c:v>
                </c:pt>
                <c:pt idx="145">
                  <c:v>45</c:v>
                </c:pt>
                <c:pt idx="146">
                  <c:v>48</c:v>
                </c:pt>
                <c:pt idx="147">
                  <c:v>9</c:v>
                </c:pt>
                <c:pt idx="148">
                  <c:v>80</c:v>
                </c:pt>
                <c:pt idx="149">
                  <c:v>14</c:v>
                </c:pt>
                <c:pt idx="150">
                  <c:v>72</c:v>
                </c:pt>
                <c:pt idx="151">
                  <c:v>67</c:v>
                </c:pt>
                <c:pt idx="152">
                  <c:v>14</c:v>
                </c:pt>
                <c:pt idx="153">
                  <c:v>1</c:v>
                </c:pt>
                <c:pt idx="154">
                  <c:v>52</c:v>
                </c:pt>
                <c:pt idx="155">
                  <c:v>32</c:v>
                </c:pt>
                <c:pt idx="156">
                  <c:v>40</c:v>
                </c:pt>
                <c:pt idx="157">
                  <c:v>6</c:v>
                </c:pt>
                <c:pt idx="158">
                  <c:v>29</c:v>
                </c:pt>
                <c:pt idx="159">
                  <c:v>31</c:v>
                </c:pt>
                <c:pt idx="160">
                  <c:v>47</c:v>
                </c:pt>
                <c:pt idx="161">
                  <c:v>70</c:v>
                </c:pt>
                <c:pt idx="162">
                  <c:v>38</c:v>
                </c:pt>
                <c:pt idx="163">
                  <c:v>14</c:v>
                </c:pt>
                <c:pt idx="164">
                  <c:v>13</c:v>
                </c:pt>
                <c:pt idx="165">
                  <c:v>41</c:v>
                </c:pt>
                <c:pt idx="166">
                  <c:v>28</c:v>
                </c:pt>
                <c:pt idx="167">
                  <c:v>80</c:v>
                </c:pt>
                <c:pt idx="168">
                  <c:v>2</c:v>
                </c:pt>
                <c:pt idx="169">
                  <c:v>65</c:v>
                </c:pt>
                <c:pt idx="170">
                  <c:v>53</c:v>
                </c:pt>
                <c:pt idx="171">
                  <c:v>40</c:v>
                </c:pt>
                <c:pt idx="172">
                  <c:v>49</c:v>
                </c:pt>
                <c:pt idx="173">
                  <c:v>78</c:v>
                </c:pt>
                <c:pt idx="174">
                  <c:v>29</c:v>
                </c:pt>
                <c:pt idx="175">
                  <c:v>70</c:v>
                </c:pt>
                <c:pt idx="176">
                  <c:v>10</c:v>
                </c:pt>
                <c:pt idx="177">
                  <c:v>62</c:v>
                </c:pt>
                <c:pt idx="178">
                  <c:v>51</c:v>
                </c:pt>
                <c:pt idx="179">
                  <c:v>56</c:v>
                </c:pt>
                <c:pt idx="180">
                  <c:v>37</c:v>
                </c:pt>
                <c:pt idx="181">
                  <c:v>24</c:v>
                </c:pt>
                <c:pt idx="182">
                  <c:v>9</c:v>
                </c:pt>
                <c:pt idx="183">
                  <c:v>25</c:v>
                </c:pt>
                <c:pt idx="184">
                  <c:v>4</c:v>
                </c:pt>
                <c:pt idx="185">
                  <c:v>73</c:v>
                </c:pt>
                <c:pt idx="186">
                  <c:v>25</c:v>
                </c:pt>
                <c:pt idx="187">
                  <c:v>74</c:v>
                </c:pt>
                <c:pt idx="188">
                  <c:v>74</c:v>
                </c:pt>
                <c:pt idx="189">
                  <c:v>7</c:v>
                </c:pt>
                <c:pt idx="190">
                  <c:v>14</c:v>
                </c:pt>
                <c:pt idx="191">
                  <c:v>31</c:v>
                </c:pt>
                <c:pt idx="192">
                  <c:v>6</c:v>
                </c:pt>
                <c:pt idx="193">
                  <c:v>1</c:v>
                </c:pt>
                <c:pt idx="194">
                  <c:v>73</c:v>
                </c:pt>
                <c:pt idx="195">
                  <c:v>61</c:v>
                </c:pt>
                <c:pt idx="196">
                  <c:v>8</c:v>
                </c:pt>
                <c:pt idx="197">
                  <c:v>2</c:v>
                </c:pt>
                <c:pt idx="198">
                  <c:v>20</c:v>
                </c:pt>
                <c:pt idx="199">
                  <c:v>78</c:v>
                </c:pt>
                <c:pt idx="200">
                  <c:v>2</c:v>
                </c:pt>
                <c:pt idx="201">
                  <c:v>8</c:v>
                </c:pt>
                <c:pt idx="202">
                  <c:v>75</c:v>
                </c:pt>
                <c:pt idx="203">
                  <c:v>6</c:v>
                </c:pt>
                <c:pt idx="204">
                  <c:v>61</c:v>
                </c:pt>
                <c:pt idx="205">
                  <c:v>80</c:v>
                </c:pt>
                <c:pt idx="206">
                  <c:v>37</c:v>
                </c:pt>
                <c:pt idx="207">
                  <c:v>27</c:v>
                </c:pt>
                <c:pt idx="208">
                  <c:v>42</c:v>
                </c:pt>
                <c:pt idx="209">
                  <c:v>72</c:v>
                </c:pt>
                <c:pt idx="210">
                  <c:v>69</c:v>
                </c:pt>
                <c:pt idx="211">
                  <c:v>71</c:v>
                </c:pt>
                <c:pt idx="212">
                  <c:v>5</c:v>
                </c:pt>
                <c:pt idx="213">
                  <c:v>57</c:v>
                </c:pt>
                <c:pt idx="214">
                  <c:v>24</c:v>
                </c:pt>
                <c:pt idx="215">
                  <c:v>28</c:v>
                </c:pt>
                <c:pt idx="216">
                  <c:v>57</c:v>
                </c:pt>
                <c:pt idx="217">
                  <c:v>73</c:v>
                </c:pt>
                <c:pt idx="218">
                  <c:v>58</c:v>
                </c:pt>
                <c:pt idx="219">
                  <c:v>35</c:v>
                </c:pt>
                <c:pt idx="220">
                  <c:v>66</c:v>
                </c:pt>
                <c:pt idx="221">
                  <c:v>7</c:v>
                </c:pt>
                <c:pt idx="222">
                  <c:v>57</c:v>
                </c:pt>
                <c:pt idx="223">
                  <c:v>65</c:v>
                </c:pt>
                <c:pt idx="224">
                  <c:v>1</c:v>
                </c:pt>
                <c:pt idx="225">
                  <c:v>15</c:v>
                </c:pt>
                <c:pt idx="226">
                  <c:v>48</c:v>
                </c:pt>
                <c:pt idx="227">
                  <c:v>37</c:v>
                </c:pt>
                <c:pt idx="228">
                  <c:v>48</c:v>
                </c:pt>
                <c:pt idx="229">
                  <c:v>45</c:v>
                </c:pt>
                <c:pt idx="230">
                  <c:v>2</c:v>
                </c:pt>
                <c:pt idx="231">
                  <c:v>68</c:v>
                </c:pt>
                <c:pt idx="232">
                  <c:v>32</c:v>
                </c:pt>
                <c:pt idx="233">
                  <c:v>25</c:v>
                </c:pt>
                <c:pt idx="234">
                  <c:v>48</c:v>
                </c:pt>
                <c:pt idx="235">
                  <c:v>34</c:v>
                </c:pt>
                <c:pt idx="236">
                  <c:v>15</c:v>
                </c:pt>
                <c:pt idx="237">
                  <c:v>18</c:v>
                </c:pt>
                <c:pt idx="238">
                  <c:v>11</c:v>
                </c:pt>
                <c:pt idx="239">
                  <c:v>14</c:v>
                </c:pt>
                <c:pt idx="240">
                  <c:v>4</c:v>
                </c:pt>
                <c:pt idx="241">
                  <c:v>28</c:v>
                </c:pt>
                <c:pt idx="242">
                  <c:v>25</c:v>
                </c:pt>
                <c:pt idx="243">
                  <c:v>56</c:v>
                </c:pt>
                <c:pt idx="244">
                  <c:v>44</c:v>
                </c:pt>
                <c:pt idx="245">
                  <c:v>48</c:v>
                </c:pt>
                <c:pt idx="246">
                  <c:v>28</c:v>
                </c:pt>
                <c:pt idx="247">
                  <c:v>9</c:v>
                </c:pt>
                <c:pt idx="248">
                  <c:v>1</c:v>
                </c:pt>
                <c:pt idx="249">
                  <c:v>72</c:v>
                </c:pt>
                <c:pt idx="250">
                  <c:v>36</c:v>
                </c:pt>
                <c:pt idx="251">
                  <c:v>2</c:v>
                </c:pt>
                <c:pt idx="252">
                  <c:v>38</c:v>
                </c:pt>
                <c:pt idx="253">
                  <c:v>78</c:v>
                </c:pt>
                <c:pt idx="254">
                  <c:v>65</c:v>
                </c:pt>
                <c:pt idx="255">
                  <c:v>44</c:v>
                </c:pt>
                <c:pt idx="256">
                  <c:v>44</c:v>
                </c:pt>
                <c:pt idx="257">
                  <c:v>19</c:v>
                </c:pt>
                <c:pt idx="258">
                  <c:v>32</c:v>
                </c:pt>
                <c:pt idx="259">
                  <c:v>38</c:v>
                </c:pt>
                <c:pt idx="260">
                  <c:v>79</c:v>
                </c:pt>
                <c:pt idx="261">
                  <c:v>64</c:v>
                </c:pt>
                <c:pt idx="262">
                  <c:v>31</c:v>
                </c:pt>
                <c:pt idx="263">
                  <c:v>54</c:v>
                </c:pt>
                <c:pt idx="264">
                  <c:v>62</c:v>
                </c:pt>
                <c:pt idx="265">
                  <c:v>5</c:v>
                </c:pt>
                <c:pt idx="266">
                  <c:v>44</c:v>
                </c:pt>
                <c:pt idx="267">
                  <c:v>10</c:v>
                </c:pt>
                <c:pt idx="268">
                  <c:v>33</c:v>
                </c:pt>
                <c:pt idx="269">
                  <c:v>77</c:v>
                </c:pt>
                <c:pt idx="270">
                  <c:v>26</c:v>
                </c:pt>
                <c:pt idx="271">
                  <c:v>34</c:v>
                </c:pt>
                <c:pt idx="272">
                  <c:v>27</c:v>
                </c:pt>
                <c:pt idx="273">
                  <c:v>8</c:v>
                </c:pt>
                <c:pt idx="274">
                  <c:v>48</c:v>
                </c:pt>
                <c:pt idx="275">
                  <c:v>22</c:v>
                </c:pt>
                <c:pt idx="276">
                  <c:v>79</c:v>
                </c:pt>
                <c:pt idx="277">
                  <c:v>63</c:v>
                </c:pt>
                <c:pt idx="278">
                  <c:v>58</c:v>
                </c:pt>
                <c:pt idx="279">
                  <c:v>76</c:v>
                </c:pt>
                <c:pt idx="280">
                  <c:v>61</c:v>
                </c:pt>
                <c:pt idx="281">
                  <c:v>55</c:v>
                </c:pt>
                <c:pt idx="282">
                  <c:v>31</c:v>
                </c:pt>
                <c:pt idx="283">
                  <c:v>63</c:v>
                </c:pt>
                <c:pt idx="284">
                  <c:v>14</c:v>
                </c:pt>
                <c:pt idx="285">
                  <c:v>66</c:v>
                </c:pt>
                <c:pt idx="286">
                  <c:v>57</c:v>
                </c:pt>
                <c:pt idx="287">
                  <c:v>26</c:v>
                </c:pt>
                <c:pt idx="288">
                  <c:v>21</c:v>
                </c:pt>
                <c:pt idx="289">
                  <c:v>44</c:v>
                </c:pt>
                <c:pt idx="290">
                  <c:v>74</c:v>
                </c:pt>
                <c:pt idx="291">
                  <c:v>71</c:v>
                </c:pt>
                <c:pt idx="292">
                  <c:v>68</c:v>
                </c:pt>
                <c:pt idx="293">
                  <c:v>75</c:v>
                </c:pt>
                <c:pt idx="294">
                  <c:v>56</c:v>
                </c:pt>
                <c:pt idx="295">
                  <c:v>8</c:v>
                </c:pt>
                <c:pt idx="296">
                  <c:v>18</c:v>
                </c:pt>
                <c:pt idx="297">
                  <c:v>33</c:v>
                </c:pt>
                <c:pt idx="298">
                  <c:v>33</c:v>
                </c:pt>
                <c:pt idx="299">
                  <c:v>41</c:v>
                </c:pt>
                <c:pt idx="300">
                  <c:v>72</c:v>
                </c:pt>
                <c:pt idx="301">
                  <c:v>16</c:v>
                </c:pt>
                <c:pt idx="302">
                  <c:v>16</c:v>
                </c:pt>
                <c:pt idx="303">
                  <c:v>8</c:v>
                </c:pt>
                <c:pt idx="304">
                  <c:v>47</c:v>
                </c:pt>
                <c:pt idx="305">
                  <c:v>55</c:v>
                </c:pt>
                <c:pt idx="306">
                  <c:v>9</c:v>
                </c:pt>
                <c:pt idx="307">
                  <c:v>21</c:v>
                </c:pt>
                <c:pt idx="308">
                  <c:v>74</c:v>
                </c:pt>
                <c:pt idx="309">
                  <c:v>9</c:v>
                </c:pt>
                <c:pt idx="310">
                  <c:v>77</c:v>
                </c:pt>
                <c:pt idx="311">
                  <c:v>16</c:v>
                </c:pt>
                <c:pt idx="312">
                  <c:v>62</c:v>
                </c:pt>
                <c:pt idx="313">
                  <c:v>65</c:v>
                </c:pt>
                <c:pt idx="314">
                  <c:v>62</c:v>
                </c:pt>
                <c:pt idx="315">
                  <c:v>16</c:v>
                </c:pt>
                <c:pt idx="316">
                  <c:v>17</c:v>
                </c:pt>
                <c:pt idx="317">
                  <c:v>11</c:v>
                </c:pt>
                <c:pt idx="318">
                  <c:v>0</c:v>
                </c:pt>
                <c:pt idx="319">
                  <c:v>28</c:v>
                </c:pt>
                <c:pt idx="320">
                  <c:v>28</c:v>
                </c:pt>
                <c:pt idx="321">
                  <c:v>4</c:v>
                </c:pt>
                <c:pt idx="322">
                  <c:v>18</c:v>
                </c:pt>
                <c:pt idx="323">
                  <c:v>78</c:v>
                </c:pt>
                <c:pt idx="324">
                  <c:v>10</c:v>
                </c:pt>
                <c:pt idx="325">
                  <c:v>55</c:v>
                </c:pt>
                <c:pt idx="326">
                  <c:v>22</c:v>
                </c:pt>
                <c:pt idx="327">
                  <c:v>47</c:v>
                </c:pt>
                <c:pt idx="328">
                  <c:v>16</c:v>
                </c:pt>
                <c:pt idx="329">
                  <c:v>71</c:v>
                </c:pt>
                <c:pt idx="330">
                  <c:v>50</c:v>
                </c:pt>
                <c:pt idx="331">
                  <c:v>79</c:v>
                </c:pt>
                <c:pt idx="332">
                  <c:v>32</c:v>
                </c:pt>
                <c:pt idx="333">
                  <c:v>9</c:v>
                </c:pt>
                <c:pt idx="334">
                  <c:v>57</c:v>
                </c:pt>
                <c:pt idx="335">
                  <c:v>77</c:v>
                </c:pt>
                <c:pt idx="336">
                  <c:v>61</c:v>
                </c:pt>
                <c:pt idx="337">
                  <c:v>52</c:v>
                </c:pt>
                <c:pt idx="338">
                  <c:v>38</c:v>
                </c:pt>
                <c:pt idx="339">
                  <c:v>69</c:v>
                </c:pt>
                <c:pt idx="340">
                  <c:v>49</c:v>
                </c:pt>
                <c:pt idx="341">
                  <c:v>71</c:v>
                </c:pt>
                <c:pt idx="342">
                  <c:v>38</c:v>
                </c:pt>
                <c:pt idx="343">
                  <c:v>14</c:v>
                </c:pt>
                <c:pt idx="344">
                  <c:v>13</c:v>
                </c:pt>
                <c:pt idx="345">
                  <c:v>16</c:v>
                </c:pt>
                <c:pt idx="346">
                  <c:v>33</c:v>
                </c:pt>
                <c:pt idx="347">
                  <c:v>5</c:v>
                </c:pt>
                <c:pt idx="348">
                  <c:v>33</c:v>
                </c:pt>
                <c:pt idx="349">
                  <c:v>50</c:v>
                </c:pt>
                <c:pt idx="350">
                  <c:v>71</c:v>
                </c:pt>
                <c:pt idx="351">
                  <c:v>2</c:v>
                </c:pt>
                <c:pt idx="352">
                  <c:v>46</c:v>
                </c:pt>
                <c:pt idx="353">
                  <c:v>55</c:v>
                </c:pt>
                <c:pt idx="354">
                  <c:v>56</c:v>
                </c:pt>
                <c:pt idx="355">
                  <c:v>36</c:v>
                </c:pt>
                <c:pt idx="356">
                  <c:v>53</c:v>
                </c:pt>
                <c:pt idx="357">
                  <c:v>63</c:v>
                </c:pt>
                <c:pt idx="358">
                  <c:v>15</c:v>
                </c:pt>
                <c:pt idx="359">
                  <c:v>60</c:v>
                </c:pt>
                <c:pt idx="360">
                  <c:v>32</c:v>
                </c:pt>
                <c:pt idx="361">
                  <c:v>36</c:v>
                </c:pt>
                <c:pt idx="362">
                  <c:v>39</c:v>
                </c:pt>
                <c:pt idx="363">
                  <c:v>37</c:v>
                </c:pt>
                <c:pt idx="364">
                  <c:v>40</c:v>
                </c:pt>
                <c:pt idx="365">
                  <c:v>45</c:v>
                </c:pt>
                <c:pt idx="366">
                  <c:v>4</c:v>
                </c:pt>
                <c:pt idx="367">
                  <c:v>8</c:v>
                </c:pt>
                <c:pt idx="368">
                  <c:v>56</c:v>
                </c:pt>
                <c:pt idx="369">
                  <c:v>71</c:v>
                </c:pt>
                <c:pt idx="370">
                  <c:v>13</c:v>
                </c:pt>
                <c:pt idx="371">
                  <c:v>49</c:v>
                </c:pt>
                <c:pt idx="372">
                  <c:v>60</c:v>
                </c:pt>
                <c:pt idx="373">
                  <c:v>3</c:v>
                </c:pt>
                <c:pt idx="374">
                  <c:v>53</c:v>
                </c:pt>
                <c:pt idx="375">
                  <c:v>64</c:v>
                </c:pt>
                <c:pt idx="376">
                  <c:v>5</c:v>
                </c:pt>
                <c:pt idx="377">
                  <c:v>39</c:v>
                </c:pt>
                <c:pt idx="378">
                  <c:v>57</c:v>
                </c:pt>
                <c:pt idx="379">
                  <c:v>0</c:v>
                </c:pt>
                <c:pt idx="380">
                  <c:v>9</c:v>
                </c:pt>
                <c:pt idx="381">
                  <c:v>60</c:v>
                </c:pt>
                <c:pt idx="382">
                  <c:v>16</c:v>
                </c:pt>
                <c:pt idx="383">
                  <c:v>61</c:v>
                </c:pt>
                <c:pt idx="384">
                  <c:v>73</c:v>
                </c:pt>
                <c:pt idx="385">
                  <c:v>10</c:v>
                </c:pt>
                <c:pt idx="386">
                  <c:v>52</c:v>
                </c:pt>
                <c:pt idx="387">
                  <c:v>71</c:v>
                </c:pt>
                <c:pt idx="388">
                  <c:v>30</c:v>
                </c:pt>
                <c:pt idx="389">
                  <c:v>17</c:v>
                </c:pt>
                <c:pt idx="390">
                  <c:v>77</c:v>
                </c:pt>
                <c:pt idx="391">
                  <c:v>62</c:v>
                </c:pt>
                <c:pt idx="392">
                  <c:v>32</c:v>
                </c:pt>
                <c:pt idx="393">
                  <c:v>14</c:v>
                </c:pt>
                <c:pt idx="394">
                  <c:v>1</c:v>
                </c:pt>
                <c:pt idx="395">
                  <c:v>71</c:v>
                </c:pt>
                <c:pt idx="396">
                  <c:v>31</c:v>
                </c:pt>
                <c:pt idx="397">
                  <c:v>42</c:v>
                </c:pt>
                <c:pt idx="398">
                  <c:v>34</c:v>
                </c:pt>
                <c:pt idx="399">
                  <c:v>32</c:v>
                </c:pt>
                <c:pt idx="400">
                  <c:v>63</c:v>
                </c:pt>
                <c:pt idx="401">
                  <c:v>76</c:v>
                </c:pt>
                <c:pt idx="402">
                  <c:v>71</c:v>
                </c:pt>
                <c:pt idx="403">
                  <c:v>16</c:v>
                </c:pt>
                <c:pt idx="404">
                  <c:v>80</c:v>
                </c:pt>
                <c:pt idx="405">
                  <c:v>56</c:v>
                </c:pt>
                <c:pt idx="406">
                  <c:v>59</c:v>
                </c:pt>
                <c:pt idx="407">
                  <c:v>18</c:v>
                </c:pt>
                <c:pt idx="408">
                  <c:v>30</c:v>
                </c:pt>
                <c:pt idx="409">
                  <c:v>22</c:v>
                </c:pt>
                <c:pt idx="410">
                  <c:v>29</c:v>
                </c:pt>
                <c:pt idx="411">
                  <c:v>54</c:v>
                </c:pt>
                <c:pt idx="412">
                  <c:v>71</c:v>
                </c:pt>
                <c:pt idx="413">
                  <c:v>78</c:v>
                </c:pt>
                <c:pt idx="414">
                  <c:v>26</c:v>
                </c:pt>
                <c:pt idx="415">
                  <c:v>9</c:v>
                </c:pt>
                <c:pt idx="416">
                  <c:v>63</c:v>
                </c:pt>
                <c:pt idx="417">
                  <c:v>55</c:v>
                </c:pt>
                <c:pt idx="418">
                  <c:v>7</c:v>
                </c:pt>
                <c:pt idx="419">
                  <c:v>68</c:v>
                </c:pt>
                <c:pt idx="420">
                  <c:v>46</c:v>
                </c:pt>
                <c:pt idx="421">
                  <c:v>49</c:v>
                </c:pt>
                <c:pt idx="422">
                  <c:v>15</c:v>
                </c:pt>
                <c:pt idx="423">
                  <c:v>0</c:v>
                </c:pt>
                <c:pt idx="424">
                  <c:v>10</c:v>
                </c:pt>
                <c:pt idx="425">
                  <c:v>32</c:v>
                </c:pt>
                <c:pt idx="426">
                  <c:v>69</c:v>
                </c:pt>
                <c:pt idx="427">
                  <c:v>56</c:v>
                </c:pt>
                <c:pt idx="428">
                  <c:v>18</c:v>
                </c:pt>
                <c:pt idx="429">
                  <c:v>18</c:v>
                </c:pt>
                <c:pt idx="430">
                  <c:v>69</c:v>
                </c:pt>
                <c:pt idx="431">
                  <c:v>73</c:v>
                </c:pt>
                <c:pt idx="432">
                  <c:v>39</c:v>
                </c:pt>
                <c:pt idx="433">
                  <c:v>40</c:v>
                </c:pt>
                <c:pt idx="434">
                  <c:v>41</c:v>
                </c:pt>
                <c:pt idx="435">
                  <c:v>19</c:v>
                </c:pt>
                <c:pt idx="436">
                  <c:v>39</c:v>
                </c:pt>
                <c:pt idx="437">
                  <c:v>23</c:v>
                </c:pt>
                <c:pt idx="438">
                  <c:v>24</c:v>
                </c:pt>
                <c:pt idx="439">
                  <c:v>17</c:v>
                </c:pt>
                <c:pt idx="440">
                  <c:v>14</c:v>
                </c:pt>
                <c:pt idx="441">
                  <c:v>41</c:v>
                </c:pt>
                <c:pt idx="442">
                  <c:v>13</c:v>
                </c:pt>
                <c:pt idx="443">
                  <c:v>34</c:v>
                </c:pt>
                <c:pt idx="444">
                  <c:v>38</c:v>
                </c:pt>
                <c:pt idx="445">
                  <c:v>5</c:v>
                </c:pt>
                <c:pt idx="446">
                  <c:v>18</c:v>
                </c:pt>
                <c:pt idx="447">
                  <c:v>27</c:v>
                </c:pt>
                <c:pt idx="448">
                  <c:v>43</c:v>
                </c:pt>
                <c:pt idx="449">
                  <c:v>3</c:v>
                </c:pt>
                <c:pt idx="450">
                  <c:v>3</c:v>
                </c:pt>
                <c:pt idx="451">
                  <c:v>46</c:v>
                </c:pt>
                <c:pt idx="452">
                  <c:v>33</c:v>
                </c:pt>
                <c:pt idx="453">
                  <c:v>76</c:v>
                </c:pt>
                <c:pt idx="454">
                  <c:v>44</c:v>
                </c:pt>
                <c:pt idx="455">
                  <c:v>35</c:v>
                </c:pt>
                <c:pt idx="456">
                  <c:v>1</c:v>
                </c:pt>
                <c:pt idx="457">
                  <c:v>51</c:v>
                </c:pt>
                <c:pt idx="458">
                  <c:v>3</c:v>
                </c:pt>
                <c:pt idx="459">
                  <c:v>19</c:v>
                </c:pt>
                <c:pt idx="460">
                  <c:v>65</c:v>
                </c:pt>
                <c:pt idx="461">
                  <c:v>79</c:v>
                </c:pt>
                <c:pt idx="462">
                  <c:v>42</c:v>
                </c:pt>
                <c:pt idx="463">
                  <c:v>68</c:v>
                </c:pt>
                <c:pt idx="464">
                  <c:v>4</c:v>
                </c:pt>
                <c:pt idx="465">
                  <c:v>51</c:v>
                </c:pt>
                <c:pt idx="466">
                  <c:v>61</c:v>
                </c:pt>
                <c:pt idx="467">
                  <c:v>39</c:v>
                </c:pt>
                <c:pt idx="468">
                  <c:v>38</c:v>
                </c:pt>
                <c:pt idx="469">
                  <c:v>73</c:v>
                </c:pt>
                <c:pt idx="470">
                  <c:v>67</c:v>
                </c:pt>
                <c:pt idx="471">
                  <c:v>7</c:v>
                </c:pt>
                <c:pt idx="472">
                  <c:v>62</c:v>
                </c:pt>
                <c:pt idx="473">
                  <c:v>50</c:v>
                </c:pt>
                <c:pt idx="474">
                  <c:v>42</c:v>
                </c:pt>
                <c:pt idx="475">
                  <c:v>12</c:v>
                </c:pt>
                <c:pt idx="476">
                  <c:v>1</c:v>
                </c:pt>
                <c:pt idx="477">
                  <c:v>30</c:v>
                </c:pt>
                <c:pt idx="478">
                  <c:v>17</c:v>
                </c:pt>
                <c:pt idx="479">
                  <c:v>35</c:v>
                </c:pt>
                <c:pt idx="480">
                  <c:v>35</c:v>
                </c:pt>
                <c:pt idx="481">
                  <c:v>65</c:v>
                </c:pt>
                <c:pt idx="482">
                  <c:v>6</c:v>
                </c:pt>
                <c:pt idx="483">
                  <c:v>0</c:v>
                </c:pt>
                <c:pt idx="484">
                  <c:v>27</c:v>
                </c:pt>
                <c:pt idx="485">
                  <c:v>25</c:v>
                </c:pt>
                <c:pt idx="486">
                  <c:v>75</c:v>
                </c:pt>
                <c:pt idx="487">
                  <c:v>62</c:v>
                </c:pt>
                <c:pt idx="488">
                  <c:v>17</c:v>
                </c:pt>
                <c:pt idx="489">
                  <c:v>7</c:v>
                </c:pt>
                <c:pt idx="490">
                  <c:v>11</c:v>
                </c:pt>
                <c:pt idx="491">
                  <c:v>65</c:v>
                </c:pt>
                <c:pt idx="492">
                  <c:v>7</c:v>
                </c:pt>
                <c:pt idx="493">
                  <c:v>9</c:v>
                </c:pt>
                <c:pt idx="494">
                  <c:v>20</c:v>
                </c:pt>
                <c:pt idx="495">
                  <c:v>50</c:v>
                </c:pt>
                <c:pt idx="496">
                  <c:v>32</c:v>
                </c:pt>
                <c:pt idx="497">
                  <c:v>5</c:v>
                </c:pt>
                <c:pt idx="498">
                  <c:v>25</c:v>
                </c:pt>
                <c:pt idx="499">
                  <c:v>31</c:v>
                </c:pt>
                <c:pt idx="500">
                  <c:v>45</c:v>
                </c:pt>
                <c:pt idx="501">
                  <c:v>13</c:v>
                </c:pt>
                <c:pt idx="502">
                  <c:v>53</c:v>
                </c:pt>
                <c:pt idx="503">
                  <c:v>28</c:v>
                </c:pt>
                <c:pt idx="504">
                  <c:v>23</c:v>
                </c:pt>
                <c:pt idx="505">
                  <c:v>32</c:v>
                </c:pt>
                <c:pt idx="506">
                  <c:v>42</c:v>
                </c:pt>
                <c:pt idx="507">
                  <c:v>6</c:v>
                </c:pt>
                <c:pt idx="508">
                  <c:v>75</c:v>
                </c:pt>
                <c:pt idx="509">
                  <c:v>29</c:v>
                </c:pt>
                <c:pt idx="510">
                  <c:v>78</c:v>
                </c:pt>
                <c:pt idx="511">
                  <c:v>13</c:v>
                </c:pt>
                <c:pt idx="512">
                  <c:v>41</c:v>
                </c:pt>
                <c:pt idx="513">
                  <c:v>62</c:v>
                </c:pt>
                <c:pt idx="514">
                  <c:v>58</c:v>
                </c:pt>
                <c:pt idx="515">
                  <c:v>68</c:v>
                </c:pt>
                <c:pt idx="516">
                  <c:v>39</c:v>
                </c:pt>
                <c:pt idx="517">
                  <c:v>33</c:v>
                </c:pt>
                <c:pt idx="518">
                  <c:v>41</c:v>
                </c:pt>
                <c:pt idx="519">
                  <c:v>78</c:v>
                </c:pt>
                <c:pt idx="520">
                  <c:v>39</c:v>
                </c:pt>
                <c:pt idx="521">
                  <c:v>70</c:v>
                </c:pt>
                <c:pt idx="522">
                  <c:v>39</c:v>
                </c:pt>
                <c:pt idx="523">
                  <c:v>39</c:v>
                </c:pt>
                <c:pt idx="524">
                  <c:v>24</c:v>
                </c:pt>
                <c:pt idx="525">
                  <c:v>58</c:v>
                </c:pt>
                <c:pt idx="526">
                  <c:v>77</c:v>
                </c:pt>
                <c:pt idx="527">
                  <c:v>76</c:v>
                </c:pt>
                <c:pt idx="528">
                  <c:v>78</c:v>
                </c:pt>
                <c:pt idx="529">
                  <c:v>73</c:v>
                </c:pt>
                <c:pt idx="530">
                  <c:v>58</c:v>
                </c:pt>
                <c:pt idx="531">
                  <c:v>8</c:v>
                </c:pt>
                <c:pt idx="532">
                  <c:v>5</c:v>
                </c:pt>
                <c:pt idx="533">
                  <c:v>56</c:v>
                </c:pt>
                <c:pt idx="534">
                  <c:v>48</c:v>
                </c:pt>
                <c:pt idx="535">
                  <c:v>75</c:v>
                </c:pt>
                <c:pt idx="536">
                  <c:v>76</c:v>
                </c:pt>
                <c:pt idx="537">
                  <c:v>80</c:v>
                </c:pt>
                <c:pt idx="538">
                  <c:v>30</c:v>
                </c:pt>
                <c:pt idx="539">
                  <c:v>69</c:v>
                </c:pt>
                <c:pt idx="540">
                  <c:v>34</c:v>
                </c:pt>
                <c:pt idx="541">
                  <c:v>11</c:v>
                </c:pt>
                <c:pt idx="542">
                  <c:v>68</c:v>
                </c:pt>
                <c:pt idx="543">
                  <c:v>22</c:v>
                </c:pt>
                <c:pt idx="544">
                  <c:v>70</c:v>
                </c:pt>
                <c:pt idx="545">
                  <c:v>80</c:v>
                </c:pt>
                <c:pt idx="546">
                  <c:v>29</c:v>
                </c:pt>
                <c:pt idx="547">
                  <c:v>68</c:v>
                </c:pt>
                <c:pt idx="548">
                  <c:v>33</c:v>
                </c:pt>
                <c:pt idx="549">
                  <c:v>73</c:v>
                </c:pt>
                <c:pt idx="550">
                  <c:v>77</c:v>
                </c:pt>
                <c:pt idx="551">
                  <c:v>45</c:v>
                </c:pt>
                <c:pt idx="552">
                  <c:v>4</c:v>
                </c:pt>
                <c:pt idx="553">
                  <c:v>57</c:v>
                </c:pt>
                <c:pt idx="554">
                  <c:v>12</c:v>
                </c:pt>
                <c:pt idx="555">
                  <c:v>49</c:v>
                </c:pt>
                <c:pt idx="556">
                  <c:v>70</c:v>
                </c:pt>
                <c:pt idx="557">
                  <c:v>12</c:v>
                </c:pt>
                <c:pt idx="558">
                  <c:v>55</c:v>
                </c:pt>
                <c:pt idx="559">
                  <c:v>37</c:v>
                </c:pt>
                <c:pt idx="560">
                  <c:v>34</c:v>
                </c:pt>
                <c:pt idx="561">
                  <c:v>14</c:v>
                </c:pt>
                <c:pt idx="562">
                  <c:v>49</c:v>
                </c:pt>
                <c:pt idx="563">
                  <c:v>70</c:v>
                </c:pt>
                <c:pt idx="564">
                  <c:v>61</c:v>
                </c:pt>
                <c:pt idx="565">
                  <c:v>3</c:v>
                </c:pt>
                <c:pt idx="566">
                  <c:v>8</c:v>
                </c:pt>
                <c:pt idx="567">
                  <c:v>14</c:v>
                </c:pt>
                <c:pt idx="568">
                  <c:v>14</c:v>
                </c:pt>
                <c:pt idx="569">
                  <c:v>74</c:v>
                </c:pt>
                <c:pt idx="570">
                  <c:v>72</c:v>
                </c:pt>
                <c:pt idx="571">
                  <c:v>71</c:v>
                </c:pt>
                <c:pt idx="572">
                  <c:v>56</c:v>
                </c:pt>
                <c:pt idx="573">
                  <c:v>28</c:v>
                </c:pt>
                <c:pt idx="574">
                  <c:v>35</c:v>
                </c:pt>
                <c:pt idx="575">
                  <c:v>47</c:v>
                </c:pt>
                <c:pt idx="576">
                  <c:v>15</c:v>
                </c:pt>
                <c:pt idx="577">
                  <c:v>8</c:v>
                </c:pt>
                <c:pt idx="578">
                  <c:v>67</c:v>
                </c:pt>
                <c:pt idx="579">
                  <c:v>35</c:v>
                </c:pt>
                <c:pt idx="580">
                  <c:v>26</c:v>
                </c:pt>
                <c:pt idx="581">
                  <c:v>6</c:v>
                </c:pt>
                <c:pt idx="582">
                  <c:v>25</c:v>
                </c:pt>
                <c:pt idx="583">
                  <c:v>2</c:v>
                </c:pt>
                <c:pt idx="584">
                  <c:v>50</c:v>
                </c:pt>
                <c:pt idx="585">
                  <c:v>48</c:v>
                </c:pt>
                <c:pt idx="586">
                  <c:v>17</c:v>
                </c:pt>
                <c:pt idx="587">
                  <c:v>56</c:v>
                </c:pt>
                <c:pt idx="588">
                  <c:v>53</c:v>
                </c:pt>
                <c:pt idx="589">
                  <c:v>26</c:v>
                </c:pt>
                <c:pt idx="590">
                  <c:v>65</c:v>
                </c:pt>
                <c:pt idx="591">
                  <c:v>62</c:v>
                </c:pt>
                <c:pt idx="592">
                  <c:v>48</c:v>
                </c:pt>
                <c:pt idx="593">
                  <c:v>27</c:v>
                </c:pt>
                <c:pt idx="594">
                  <c:v>68</c:v>
                </c:pt>
                <c:pt idx="595">
                  <c:v>36</c:v>
                </c:pt>
                <c:pt idx="596">
                  <c:v>76</c:v>
                </c:pt>
                <c:pt idx="597">
                  <c:v>59</c:v>
                </c:pt>
                <c:pt idx="598">
                  <c:v>47</c:v>
                </c:pt>
                <c:pt idx="599">
                  <c:v>11</c:v>
                </c:pt>
                <c:pt idx="600">
                  <c:v>72</c:v>
                </c:pt>
                <c:pt idx="601">
                  <c:v>8</c:v>
                </c:pt>
                <c:pt idx="602">
                  <c:v>34</c:v>
                </c:pt>
                <c:pt idx="603">
                  <c:v>36</c:v>
                </c:pt>
                <c:pt idx="604">
                  <c:v>33</c:v>
                </c:pt>
                <c:pt idx="605">
                  <c:v>79</c:v>
                </c:pt>
                <c:pt idx="606">
                  <c:v>50</c:v>
                </c:pt>
                <c:pt idx="607">
                  <c:v>76</c:v>
                </c:pt>
                <c:pt idx="608">
                  <c:v>22</c:v>
                </c:pt>
                <c:pt idx="609">
                  <c:v>51</c:v>
                </c:pt>
                <c:pt idx="610">
                  <c:v>46</c:v>
                </c:pt>
                <c:pt idx="611">
                  <c:v>5</c:v>
                </c:pt>
                <c:pt idx="612">
                  <c:v>32</c:v>
                </c:pt>
                <c:pt idx="613">
                  <c:v>2</c:v>
                </c:pt>
                <c:pt idx="614">
                  <c:v>69</c:v>
                </c:pt>
                <c:pt idx="615">
                  <c:v>15</c:v>
                </c:pt>
                <c:pt idx="616">
                  <c:v>29</c:v>
                </c:pt>
                <c:pt idx="617">
                  <c:v>15</c:v>
                </c:pt>
                <c:pt idx="618">
                  <c:v>25</c:v>
                </c:pt>
                <c:pt idx="619">
                  <c:v>78</c:v>
                </c:pt>
                <c:pt idx="620">
                  <c:v>52</c:v>
                </c:pt>
                <c:pt idx="621">
                  <c:v>15</c:v>
                </c:pt>
                <c:pt idx="622">
                  <c:v>31</c:v>
                </c:pt>
                <c:pt idx="623">
                  <c:v>53</c:v>
                </c:pt>
                <c:pt idx="624">
                  <c:v>65</c:v>
                </c:pt>
                <c:pt idx="625">
                  <c:v>42</c:v>
                </c:pt>
                <c:pt idx="626">
                  <c:v>28</c:v>
                </c:pt>
                <c:pt idx="627">
                  <c:v>77</c:v>
                </c:pt>
                <c:pt idx="628">
                  <c:v>46</c:v>
                </c:pt>
                <c:pt idx="629">
                  <c:v>6</c:v>
                </c:pt>
                <c:pt idx="630">
                  <c:v>75</c:v>
                </c:pt>
                <c:pt idx="631">
                  <c:v>21</c:v>
                </c:pt>
                <c:pt idx="632">
                  <c:v>71</c:v>
                </c:pt>
                <c:pt idx="633">
                  <c:v>37</c:v>
                </c:pt>
                <c:pt idx="634">
                  <c:v>46</c:v>
                </c:pt>
                <c:pt idx="635">
                  <c:v>60</c:v>
                </c:pt>
                <c:pt idx="636">
                  <c:v>33</c:v>
                </c:pt>
                <c:pt idx="637">
                  <c:v>42</c:v>
                </c:pt>
                <c:pt idx="638">
                  <c:v>6</c:v>
                </c:pt>
                <c:pt idx="639">
                  <c:v>29</c:v>
                </c:pt>
                <c:pt idx="640">
                  <c:v>7</c:v>
                </c:pt>
                <c:pt idx="641">
                  <c:v>11</c:v>
                </c:pt>
                <c:pt idx="642">
                  <c:v>43</c:v>
                </c:pt>
                <c:pt idx="643">
                  <c:v>40</c:v>
                </c:pt>
                <c:pt idx="644">
                  <c:v>55</c:v>
                </c:pt>
                <c:pt idx="645">
                  <c:v>63</c:v>
                </c:pt>
                <c:pt idx="646">
                  <c:v>32</c:v>
                </c:pt>
                <c:pt idx="647">
                  <c:v>21</c:v>
                </c:pt>
                <c:pt idx="648">
                  <c:v>29</c:v>
                </c:pt>
                <c:pt idx="649">
                  <c:v>80</c:v>
                </c:pt>
                <c:pt idx="650">
                  <c:v>12</c:v>
                </c:pt>
                <c:pt idx="651">
                  <c:v>36</c:v>
                </c:pt>
                <c:pt idx="652">
                  <c:v>20</c:v>
                </c:pt>
                <c:pt idx="653">
                  <c:v>12</c:v>
                </c:pt>
                <c:pt idx="654">
                  <c:v>75</c:v>
                </c:pt>
                <c:pt idx="655">
                  <c:v>19</c:v>
                </c:pt>
                <c:pt idx="656">
                  <c:v>59</c:v>
                </c:pt>
                <c:pt idx="657">
                  <c:v>28</c:v>
                </c:pt>
                <c:pt idx="658">
                  <c:v>29</c:v>
                </c:pt>
                <c:pt idx="659">
                  <c:v>49</c:v>
                </c:pt>
                <c:pt idx="660">
                  <c:v>65</c:v>
                </c:pt>
                <c:pt idx="661">
                  <c:v>53</c:v>
                </c:pt>
                <c:pt idx="662">
                  <c:v>44</c:v>
                </c:pt>
                <c:pt idx="663">
                  <c:v>79</c:v>
                </c:pt>
                <c:pt idx="664">
                  <c:v>13</c:v>
                </c:pt>
                <c:pt idx="665">
                  <c:v>1</c:v>
                </c:pt>
                <c:pt idx="666">
                  <c:v>67</c:v>
                </c:pt>
                <c:pt idx="667">
                  <c:v>50</c:v>
                </c:pt>
                <c:pt idx="668">
                  <c:v>6</c:v>
                </c:pt>
                <c:pt idx="669">
                  <c:v>35</c:v>
                </c:pt>
                <c:pt idx="670">
                  <c:v>1</c:v>
                </c:pt>
                <c:pt idx="671">
                  <c:v>17</c:v>
                </c:pt>
                <c:pt idx="672">
                  <c:v>68</c:v>
                </c:pt>
                <c:pt idx="673">
                  <c:v>73</c:v>
                </c:pt>
                <c:pt idx="674">
                  <c:v>67</c:v>
                </c:pt>
                <c:pt idx="675">
                  <c:v>59</c:v>
                </c:pt>
                <c:pt idx="676">
                  <c:v>3</c:v>
                </c:pt>
                <c:pt idx="677">
                  <c:v>6</c:v>
                </c:pt>
                <c:pt idx="678">
                  <c:v>80</c:v>
                </c:pt>
                <c:pt idx="679">
                  <c:v>18</c:v>
                </c:pt>
                <c:pt idx="680">
                  <c:v>23</c:v>
                </c:pt>
                <c:pt idx="681">
                  <c:v>65</c:v>
                </c:pt>
                <c:pt idx="682">
                  <c:v>14</c:v>
                </c:pt>
                <c:pt idx="683">
                  <c:v>17</c:v>
                </c:pt>
                <c:pt idx="684">
                  <c:v>27</c:v>
                </c:pt>
                <c:pt idx="685">
                  <c:v>30</c:v>
                </c:pt>
                <c:pt idx="686">
                  <c:v>14</c:v>
                </c:pt>
                <c:pt idx="687">
                  <c:v>57</c:v>
                </c:pt>
                <c:pt idx="688">
                  <c:v>27</c:v>
                </c:pt>
                <c:pt idx="689">
                  <c:v>69</c:v>
                </c:pt>
                <c:pt idx="690">
                  <c:v>26</c:v>
                </c:pt>
                <c:pt idx="691">
                  <c:v>12</c:v>
                </c:pt>
                <c:pt idx="692">
                  <c:v>12</c:v>
                </c:pt>
                <c:pt idx="693">
                  <c:v>69</c:v>
                </c:pt>
                <c:pt idx="694">
                  <c:v>27</c:v>
                </c:pt>
                <c:pt idx="695">
                  <c:v>37</c:v>
                </c:pt>
                <c:pt idx="696">
                  <c:v>30</c:v>
                </c:pt>
                <c:pt idx="697">
                  <c:v>29</c:v>
                </c:pt>
                <c:pt idx="698">
                  <c:v>60</c:v>
                </c:pt>
                <c:pt idx="699">
                  <c:v>9</c:v>
                </c:pt>
                <c:pt idx="700">
                  <c:v>45</c:v>
                </c:pt>
                <c:pt idx="701">
                  <c:v>74</c:v>
                </c:pt>
                <c:pt idx="702">
                  <c:v>80</c:v>
                </c:pt>
                <c:pt idx="703">
                  <c:v>21</c:v>
                </c:pt>
                <c:pt idx="704">
                  <c:v>77</c:v>
                </c:pt>
                <c:pt idx="705">
                  <c:v>32</c:v>
                </c:pt>
                <c:pt idx="706">
                  <c:v>74</c:v>
                </c:pt>
                <c:pt idx="707">
                  <c:v>15</c:v>
                </c:pt>
                <c:pt idx="708">
                  <c:v>59</c:v>
                </c:pt>
                <c:pt idx="709">
                  <c:v>28</c:v>
                </c:pt>
                <c:pt idx="710">
                  <c:v>15</c:v>
                </c:pt>
                <c:pt idx="711">
                  <c:v>61</c:v>
                </c:pt>
                <c:pt idx="712">
                  <c:v>27</c:v>
                </c:pt>
                <c:pt idx="713">
                  <c:v>60</c:v>
                </c:pt>
                <c:pt idx="714">
                  <c:v>14</c:v>
                </c:pt>
                <c:pt idx="715">
                  <c:v>11</c:v>
                </c:pt>
                <c:pt idx="716">
                  <c:v>53</c:v>
                </c:pt>
                <c:pt idx="717">
                  <c:v>45</c:v>
                </c:pt>
                <c:pt idx="718">
                  <c:v>26</c:v>
                </c:pt>
                <c:pt idx="719">
                  <c:v>24</c:v>
                </c:pt>
                <c:pt idx="720">
                  <c:v>36</c:v>
                </c:pt>
                <c:pt idx="721">
                  <c:v>12</c:v>
                </c:pt>
                <c:pt idx="722">
                  <c:v>22</c:v>
                </c:pt>
                <c:pt idx="723">
                  <c:v>50</c:v>
                </c:pt>
                <c:pt idx="724">
                  <c:v>37</c:v>
                </c:pt>
                <c:pt idx="725">
                  <c:v>45</c:v>
                </c:pt>
                <c:pt idx="726">
                  <c:v>55</c:v>
                </c:pt>
                <c:pt idx="727">
                  <c:v>51</c:v>
                </c:pt>
                <c:pt idx="728">
                  <c:v>65</c:v>
                </c:pt>
                <c:pt idx="729">
                  <c:v>55</c:v>
                </c:pt>
                <c:pt idx="730">
                  <c:v>72</c:v>
                </c:pt>
                <c:pt idx="731">
                  <c:v>78</c:v>
                </c:pt>
                <c:pt idx="732">
                  <c:v>80</c:v>
                </c:pt>
                <c:pt idx="733">
                  <c:v>62</c:v>
                </c:pt>
                <c:pt idx="734">
                  <c:v>58</c:v>
                </c:pt>
                <c:pt idx="735">
                  <c:v>13</c:v>
                </c:pt>
                <c:pt idx="736">
                  <c:v>74</c:v>
                </c:pt>
                <c:pt idx="737">
                  <c:v>18</c:v>
                </c:pt>
                <c:pt idx="738">
                  <c:v>43</c:v>
                </c:pt>
                <c:pt idx="739">
                  <c:v>4</c:v>
                </c:pt>
                <c:pt idx="740">
                  <c:v>48</c:v>
                </c:pt>
                <c:pt idx="741">
                  <c:v>28</c:v>
                </c:pt>
                <c:pt idx="742">
                  <c:v>25</c:v>
                </c:pt>
                <c:pt idx="743">
                  <c:v>9</c:v>
                </c:pt>
                <c:pt idx="744">
                  <c:v>50</c:v>
                </c:pt>
                <c:pt idx="745">
                  <c:v>67</c:v>
                </c:pt>
                <c:pt idx="746">
                  <c:v>2</c:v>
                </c:pt>
                <c:pt idx="747">
                  <c:v>25</c:v>
                </c:pt>
                <c:pt idx="748">
                  <c:v>39</c:v>
                </c:pt>
                <c:pt idx="749">
                  <c:v>13</c:v>
                </c:pt>
                <c:pt idx="750">
                  <c:v>62</c:v>
                </c:pt>
                <c:pt idx="751">
                  <c:v>51</c:v>
                </c:pt>
                <c:pt idx="752">
                  <c:v>51</c:v>
                </c:pt>
                <c:pt idx="753">
                  <c:v>31</c:v>
                </c:pt>
                <c:pt idx="754">
                  <c:v>66</c:v>
                </c:pt>
                <c:pt idx="755">
                  <c:v>17</c:v>
                </c:pt>
                <c:pt idx="756">
                  <c:v>33</c:v>
                </c:pt>
                <c:pt idx="757">
                  <c:v>28</c:v>
                </c:pt>
                <c:pt idx="758">
                  <c:v>47</c:v>
                </c:pt>
                <c:pt idx="759">
                  <c:v>40</c:v>
                </c:pt>
                <c:pt idx="760">
                  <c:v>25</c:v>
                </c:pt>
                <c:pt idx="761">
                  <c:v>17</c:v>
                </c:pt>
                <c:pt idx="762">
                  <c:v>29</c:v>
                </c:pt>
                <c:pt idx="763">
                  <c:v>5</c:v>
                </c:pt>
                <c:pt idx="764">
                  <c:v>68</c:v>
                </c:pt>
                <c:pt idx="765">
                  <c:v>72</c:v>
                </c:pt>
                <c:pt idx="766">
                  <c:v>45</c:v>
                </c:pt>
                <c:pt idx="767">
                  <c:v>20</c:v>
                </c:pt>
                <c:pt idx="768">
                  <c:v>25</c:v>
                </c:pt>
                <c:pt idx="769">
                  <c:v>6</c:v>
                </c:pt>
                <c:pt idx="770">
                  <c:v>13</c:v>
                </c:pt>
                <c:pt idx="771">
                  <c:v>9</c:v>
                </c:pt>
                <c:pt idx="772">
                  <c:v>44</c:v>
                </c:pt>
                <c:pt idx="773">
                  <c:v>68</c:v>
                </c:pt>
                <c:pt idx="774">
                  <c:v>65</c:v>
                </c:pt>
                <c:pt idx="775">
                  <c:v>21</c:v>
                </c:pt>
                <c:pt idx="776">
                  <c:v>59</c:v>
                </c:pt>
                <c:pt idx="777">
                  <c:v>58</c:v>
                </c:pt>
                <c:pt idx="778">
                  <c:v>53</c:v>
                </c:pt>
                <c:pt idx="779">
                  <c:v>31</c:v>
                </c:pt>
                <c:pt idx="780">
                  <c:v>26</c:v>
                </c:pt>
                <c:pt idx="781">
                  <c:v>49</c:v>
                </c:pt>
                <c:pt idx="782">
                  <c:v>30</c:v>
                </c:pt>
                <c:pt idx="783">
                  <c:v>57</c:v>
                </c:pt>
                <c:pt idx="784">
                  <c:v>37</c:v>
                </c:pt>
                <c:pt idx="785">
                  <c:v>56</c:v>
                </c:pt>
                <c:pt idx="786">
                  <c:v>41</c:v>
                </c:pt>
                <c:pt idx="787">
                  <c:v>6</c:v>
                </c:pt>
                <c:pt idx="788">
                  <c:v>47</c:v>
                </c:pt>
                <c:pt idx="789">
                  <c:v>30</c:v>
                </c:pt>
                <c:pt idx="790">
                  <c:v>33</c:v>
                </c:pt>
                <c:pt idx="791">
                  <c:v>50</c:v>
                </c:pt>
                <c:pt idx="792">
                  <c:v>6</c:v>
                </c:pt>
                <c:pt idx="793">
                  <c:v>71</c:v>
                </c:pt>
                <c:pt idx="794">
                  <c:v>35</c:v>
                </c:pt>
                <c:pt idx="795">
                  <c:v>79</c:v>
                </c:pt>
                <c:pt idx="796">
                  <c:v>49</c:v>
                </c:pt>
                <c:pt idx="797">
                  <c:v>69</c:v>
                </c:pt>
                <c:pt idx="798">
                  <c:v>11</c:v>
                </c:pt>
                <c:pt idx="799">
                  <c:v>40</c:v>
                </c:pt>
                <c:pt idx="800">
                  <c:v>23</c:v>
                </c:pt>
                <c:pt idx="801">
                  <c:v>55</c:v>
                </c:pt>
                <c:pt idx="802">
                  <c:v>33</c:v>
                </c:pt>
                <c:pt idx="803">
                  <c:v>33</c:v>
                </c:pt>
                <c:pt idx="804">
                  <c:v>77</c:v>
                </c:pt>
                <c:pt idx="805">
                  <c:v>23</c:v>
                </c:pt>
                <c:pt idx="806">
                  <c:v>70</c:v>
                </c:pt>
                <c:pt idx="807">
                  <c:v>12</c:v>
                </c:pt>
                <c:pt idx="808">
                  <c:v>47</c:v>
                </c:pt>
                <c:pt idx="809">
                  <c:v>79</c:v>
                </c:pt>
                <c:pt idx="810">
                  <c:v>54</c:v>
                </c:pt>
                <c:pt idx="811">
                  <c:v>66</c:v>
                </c:pt>
                <c:pt idx="812">
                  <c:v>28</c:v>
                </c:pt>
                <c:pt idx="813">
                  <c:v>39</c:v>
                </c:pt>
                <c:pt idx="814">
                  <c:v>67</c:v>
                </c:pt>
                <c:pt idx="815">
                  <c:v>12</c:v>
                </c:pt>
                <c:pt idx="816">
                  <c:v>28</c:v>
                </c:pt>
                <c:pt idx="817">
                  <c:v>46</c:v>
                </c:pt>
                <c:pt idx="818">
                  <c:v>71</c:v>
                </c:pt>
                <c:pt idx="819">
                  <c:v>66</c:v>
                </c:pt>
                <c:pt idx="820">
                  <c:v>46</c:v>
                </c:pt>
                <c:pt idx="821">
                  <c:v>66</c:v>
                </c:pt>
                <c:pt idx="822">
                  <c:v>32</c:v>
                </c:pt>
                <c:pt idx="823">
                  <c:v>19</c:v>
                </c:pt>
                <c:pt idx="824">
                  <c:v>77</c:v>
                </c:pt>
                <c:pt idx="825">
                  <c:v>79</c:v>
                </c:pt>
                <c:pt idx="826">
                  <c:v>14</c:v>
                </c:pt>
                <c:pt idx="827">
                  <c:v>71</c:v>
                </c:pt>
                <c:pt idx="828">
                  <c:v>73</c:v>
                </c:pt>
                <c:pt idx="829">
                  <c:v>10</c:v>
                </c:pt>
                <c:pt idx="830">
                  <c:v>71</c:v>
                </c:pt>
                <c:pt idx="831">
                  <c:v>37</c:v>
                </c:pt>
                <c:pt idx="832">
                  <c:v>50</c:v>
                </c:pt>
                <c:pt idx="833">
                  <c:v>69</c:v>
                </c:pt>
                <c:pt idx="834">
                  <c:v>26</c:v>
                </c:pt>
                <c:pt idx="835">
                  <c:v>13</c:v>
                </c:pt>
                <c:pt idx="836">
                  <c:v>32</c:v>
                </c:pt>
                <c:pt idx="837">
                  <c:v>31</c:v>
                </c:pt>
                <c:pt idx="838">
                  <c:v>41</c:v>
                </c:pt>
                <c:pt idx="839">
                  <c:v>35</c:v>
                </c:pt>
                <c:pt idx="840">
                  <c:v>5</c:v>
                </c:pt>
                <c:pt idx="841">
                  <c:v>35</c:v>
                </c:pt>
                <c:pt idx="842">
                  <c:v>59</c:v>
                </c:pt>
                <c:pt idx="843">
                  <c:v>64</c:v>
                </c:pt>
                <c:pt idx="844">
                  <c:v>57</c:v>
                </c:pt>
                <c:pt idx="845">
                  <c:v>52</c:v>
                </c:pt>
                <c:pt idx="846">
                  <c:v>1</c:v>
                </c:pt>
                <c:pt idx="847">
                  <c:v>4</c:v>
                </c:pt>
                <c:pt idx="848">
                  <c:v>55</c:v>
                </c:pt>
                <c:pt idx="849">
                  <c:v>36</c:v>
                </c:pt>
                <c:pt idx="850">
                  <c:v>13</c:v>
                </c:pt>
                <c:pt idx="851">
                  <c:v>55</c:v>
                </c:pt>
                <c:pt idx="852">
                  <c:v>53</c:v>
                </c:pt>
                <c:pt idx="853">
                  <c:v>37</c:v>
                </c:pt>
                <c:pt idx="854">
                  <c:v>3</c:v>
                </c:pt>
                <c:pt idx="855">
                  <c:v>14</c:v>
                </c:pt>
                <c:pt idx="856">
                  <c:v>28</c:v>
                </c:pt>
                <c:pt idx="857">
                  <c:v>35</c:v>
                </c:pt>
                <c:pt idx="858">
                  <c:v>9</c:v>
                </c:pt>
                <c:pt idx="859">
                  <c:v>36</c:v>
                </c:pt>
                <c:pt idx="860">
                  <c:v>34</c:v>
                </c:pt>
                <c:pt idx="861">
                  <c:v>21</c:v>
                </c:pt>
                <c:pt idx="862">
                  <c:v>24</c:v>
                </c:pt>
                <c:pt idx="863">
                  <c:v>7</c:v>
                </c:pt>
                <c:pt idx="864">
                  <c:v>7</c:v>
                </c:pt>
                <c:pt idx="865">
                  <c:v>79</c:v>
                </c:pt>
                <c:pt idx="866">
                  <c:v>21</c:v>
                </c:pt>
                <c:pt idx="867">
                  <c:v>56</c:v>
                </c:pt>
                <c:pt idx="868">
                  <c:v>44</c:v>
                </c:pt>
                <c:pt idx="869">
                  <c:v>77</c:v>
                </c:pt>
                <c:pt idx="870">
                  <c:v>4</c:v>
                </c:pt>
                <c:pt idx="871">
                  <c:v>49</c:v>
                </c:pt>
                <c:pt idx="872">
                  <c:v>17</c:v>
                </c:pt>
                <c:pt idx="873">
                  <c:v>43</c:v>
                </c:pt>
                <c:pt idx="874">
                  <c:v>72</c:v>
                </c:pt>
                <c:pt idx="875">
                  <c:v>14</c:v>
                </c:pt>
                <c:pt idx="876">
                  <c:v>77</c:v>
                </c:pt>
                <c:pt idx="877">
                  <c:v>31</c:v>
                </c:pt>
                <c:pt idx="878">
                  <c:v>51</c:v>
                </c:pt>
                <c:pt idx="879">
                  <c:v>9</c:v>
                </c:pt>
                <c:pt idx="880">
                  <c:v>70</c:v>
                </c:pt>
                <c:pt idx="881">
                  <c:v>36</c:v>
                </c:pt>
                <c:pt idx="882">
                  <c:v>61</c:v>
                </c:pt>
                <c:pt idx="883">
                  <c:v>1</c:v>
                </c:pt>
                <c:pt idx="884">
                  <c:v>35</c:v>
                </c:pt>
                <c:pt idx="885">
                  <c:v>31</c:v>
                </c:pt>
                <c:pt idx="886">
                  <c:v>37</c:v>
                </c:pt>
                <c:pt idx="887">
                  <c:v>52</c:v>
                </c:pt>
                <c:pt idx="888">
                  <c:v>17</c:v>
                </c:pt>
                <c:pt idx="889">
                  <c:v>18</c:v>
                </c:pt>
                <c:pt idx="890">
                  <c:v>39</c:v>
                </c:pt>
                <c:pt idx="891">
                  <c:v>19</c:v>
                </c:pt>
                <c:pt idx="892">
                  <c:v>13</c:v>
                </c:pt>
                <c:pt idx="893">
                  <c:v>62</c:v>
                </c:pt>
                <c:pt idx="894">
                  <c:v>45</c:v>
                </c:pt>
                <c:pt idx="895">
                  <c:v>25</c:v>
                </c:pt>
                <c:pt idx="896">
                  <c:v>30</c:v>
                </c:pt>
                <c:pt idx="897">
                  <c:v>28</c:v>
                </c:pt>
                <c:pt idx="898">
                  <c:v>39</c:v>
                </c:pt>
                <c:pt idx="899">
                  <c:v>0</c:v>
                </c:pt>
                <c:pt idx="900">
                  <c:v>61</c:v>
                </c:pt>
                <c:pt idx="901">
                  <c:v>74</c:v>
                </c:pt>
                <c:pt idx="902">
                  <c:v>57</c:v>
                </c:pt>
                <c:pt idx="903">
                  <c:v>37</c:v>
                </c:pt>
                <c:pt idx="904">
                  <c:v>18</c:v>
                </c:pt>
                <c:pt idx="905">
                  <c:v>23</c:v>
                </c:pt>
                <c:pt idx="906">
                  <c:v>55</c:v>
                </c:pt>
                <c:pt idx="907">
                  <c:v>15</c:v>
                </c:pt>
                <c:pt idx="908">
                  <c:v>19</c:v>
                </c:pt>
                <c:pt idx="909">
                  <c:v>37</c:v>
                </c:pt>
                <c:pt idx="910">
                  <c:v>15</c:v>
                </c:pt>
                <c:pt idx="911">
                  <c:v>32</c:v>
                </c:pt>
                <c:pt idx="912">
                  <c:v>15</c:v>
                </c:pt>
                <c:pt idx="913">
                  <c:v>4</c:v>
                </c:pt>
                <c:pt idx="914">
                  <c:v>43</c:v>
                </c:pt>
                <c:pt idx="915">
                  <c:v>34</c:v>
                </c:pt>
                <c:pt idx="916">
                  <c:v>27</c:v>
                </c:pt>
                <c:pt idx="917">
                  <c:v>41</c:v>
                </c:pt>
                <c:pt idx="918">
                  <c:v>52</c:v>
                </c:pt>
                <c:pt idx="919">
                  <c:v>23</c:v>
                </c:pt>
                <c:pt idx="920">
                  <c:v>43</c:v>
                </c:pt>
                <c:pt idx="921">
                  <c:v>69</c:v>
                </c:pt>
                <c:pt idx="922">
                  <c:v>50</c:v>
                </c:pt>
                <c:pt idx="923">
                  <c:v>17</c:v>
                </c:pt>
                <c:pt idx="924">
                  <c:v>72</c:v>
                </c:pt>
                <c:pt idx="925">
                  <c:v>64</c:v>
                </c:pt>
                <c:pt idx="926">
                  <c:v>11</c:v>
                </c:pt>
                <c:pt idx="927">
                  <c:v>38</c:v>
                </c:pt>
                <c:pt idx="928">
                  <c:v>53</c:v>
                </c:pt>
                <c:pt idx="929">
                  <c:v>51</c:v>
                </c:pt>
                <c:pt idx="930">
                  <c:v>50</c:v>
                </c:pt>
                <c:pt idx="931">
                  <c:v>39</c:v>
                </c:pt>
                <c:pt idx="932">
                  <c:v>1</c:v>
                </c:pt>
                <c:pt idx="933">
                  <c:v>28</c:v>
                </c:pt>
                <c:pt idx="934">
                  <c:v>1</c:v>
                </c:pt>
                <c:pt idx="935">
                  <c:v>46</c:v>
                </c:pt>
                <c:pt idx="936">
                  <c:v>2</c:v>
                </c:pt>
                <c:pt idx="937">
                  <c:v>39</c:v>
                </c:pt>
                <c:pt idx="938">
                  <c:v>51</c:v>
                </c:pt>
                <c:pt idx="939">
                  <c:v>6</c:v>
                </c:pt>
                <c:pt idx="940">
                  <c:v>46</c:v>
                </c:pt>
                <c:pt idx="941">
                  <c:v>29</c:v>
                </c:pt>
                <c:pt idx="942">
                  <c:v>42</c:v>
                </c:pt>
                <c:pt idx="943">
                  <c:v>79</c:v>
                </c:pt>
                <c:pt idx="944">
                  <c:v>51</c:v>
                </c:pt>
                <c:pt idx="945">
                  <c:v>21</c:v>
                </c:pt>
                <c:pt idx="946">
                  <c:v>28</c:v>
                </c:pt>
                <c:pt idx="947">
                  <c:v>2</c:v>
                </c:pt>
                <c:pt idx="948">
                  <c:v>27</c:v>
                </c:pt>
                <c:pt idx="949">
                  <c:v>6</c:v>
                </c:pt>
                <c:pt idx="950">
                  <c:v>23</c:v>
                </c:pt>
                <c:pt idx="951">
                  <c:v>60</c:v>
                </c:pt>
                <c:pt idx="952">
                  <c:v>59</c:v>
                </c:pt>
                <c:pt idx="953">
                  <c:v>43</c:v>
                </c:pt>
                <c:pt idx="954">
                  <c:v>25</c:v>
                </c:pt>
                <c:pt idx="955">
                  <c:v>70</c:v>
                </c:pt>
                <c:pt idx="956">
                  <c:v>9</c:v>
                </c:pt>
                <c:pt idx="957">
                  <c:v>31</c:v>
                </c:pt>
                <c:pt idx="958">
                  <c:v>57</c:v>
                </c:pt>
                <c:pt idx="959">
                  <c:v>60</c:v>
                </c:pt>
                <c:pt idx="960">
                  <c:v>7</c:v>
                </c:pt>
                <c:pt idx="961">
                  <c:v>43</c:v>
                </c:pt>
                <c:pt idx="962">
                  <c:v>43</c:v>
                </c:pt>
                <c:pt idx="963">
                  <c:v>37</c:v>
                </c:pt>
                <c:pt idx="964">
                  <c:v>77</c:v>
                </c:pt>
                <c:pt idx="965">
                  <c:v>43</c:v>
                </c:pt>
                <c:pt idx="966">
                  <c:v>57</c:v>
                </c:pt>
                <c:pt idx="967">
                  <c:v>43</c:v>
                </c:pt>
                <c:pt idx="968">
                  <c:v>39</c:v>
                </c:pt>
                <c:pt idx="969">
                  <c:v>60</c:v>
                </c:pt>
                <c:pt idx="970">
                  <c:v>58</c:v>
                </c:pt>
                <c:pt idx="971">
                  <c:v>2</c:v>
                </c:pt>
                <c:pt idx="972">
                  <c:v>36</c:v>
                </c:pt>
                <c:pt idx="973">
                  <c:v>43</c:v>
                </c:pt>
                <c:pt idx="974">
                  <c:v>25</c:v>
                </c:pt>
                <c:pt idx="975">
                  <c:v>39</c:v>
                </c:pt>
                <c:pt idx="976">
                  <c:v>19</c:v>
                </c:pt>
                <c:pt idx="977">
                  <c:v>0</c:v>
                </c:pt>
                <c:pt idx="978">
                  <c:v>74</c:v>
                </c:pt>
                <c:pt idx="979">
                  <c:v>51</c:v>
                </c:pt>
                <c:pt idx="980">
                  <c:v>1</c:v>
                </c:pt>
                <c:pt idx="981">
                  <c:v>7</c:v>
                </c:pt>
                <c:pt idx="982">
                  <c:v>1</c:v>
                </c:pt>
                <c:pt idx="983">
                  <c:v>69</c:v>
                </c:pt>
                <c:pt idx="984">
                  <c:v>39</c:v>
                </c:pt>
                <c:pt idx="985">
                  <c:v>42</c:v>
                </c:pt>
                <c:pt idx="986">
                  <c:v>35</c:v>
                </c:pt>
                <c:pt idx="987">
                  <c:v>8</c:v>
                </c:pt>
                <c:pt idx="988">
                  <c:v>22</c:v>
                </c:pt>
                <c:pt idx="989">
                  <c:v>10</c:v>
                </c:pt>
                <c:pt idx="990">
                  <c:v>30</c:v>
                </c:pt>
                <c:pt idx="991">
                  <c:v>77</c:v>
                </c:pt>
                <c:pt idx="992">
                  <c:v>70</c:v>
                </c:pt>
                <c:pt idx="993">
                  <c:v>38</c:v>
                </c:pt>
                <c:pt idx="994">
                  <c:v>67</c:v>
                </c:pt>
                <c:pt idx="995">
                  <c:v>62</c:v>
                </c:pt>
                <c:pt idx="996">
                  <c:v>13</c:v>
                </c:pt>
                <c:pt idx="997">
                  <c:v>42</c:v>
                </c:pt>
                <c:pt idx="998">
                  <c:v>4</c:v>
                </c:pt>
                <c:pt idx="999">
                  <c:v>48</c:v>
                </c:pt>
                <c:pt idx="1000">
                  <c:v>70</c:v>
                </c:pt>
                <c:pt idx="1001">
                  <c:v>66</c:v>
                </c:pt>
                <c:pt idx="1002">
                  <c:v>40</c:v>
                </c:pt>
                <c:pt idx="1003">
                  <c:v>47</c:v>
                </c:pt>
                <c:pt idx="1004">
                  <c:v>73</c:v>
                </c:pt>
                <c:pt idx="1005">
                  <c:v>76</c:v>
                </c:pt>
                <c:pt idx="1006">
                  <c:v>49</c:v>
                </c:pt>
                <c:pt idx="1007">
                  <c:v>65</c:v>
                </c:pt>
                <c:pt idx="1008">
                  <c:v>80</c:v>
                </c:pt>
                <c:pt idx="1009">
                  <c:v>54</c:v>
                </c:pt>
                <c:pt idx="1010">
                  <c:v>32</c:v>
                </c:pt>
                <c:pt idx="1011">
                  <c:v>44</c:v>
                </c:pt>
                <c:pt idx="1012">
                  <c:v>4</c:v>
                </c:pt>
                <c:pt idx="1013">
                  <c:v>64</c:v>
                </c:pt>
                <c:pt idx="1014">
                  <c:v>65</c:v>
                </c:pt>
                <c:pt idx="1015">
                  <c:v>57</c:v>
                </c:pt>
                <c:pt idx="1016">
                  <c:v>54</c:v>
                </c:pt>
                <c:pt idx="1017">
                  <c:v>70</c:v>
                </c:pt>
                <c:pt idx="1018">
                  <c:v>20</c:v>
                </c:pt>
                <c:pt idx="1019">
                  <c:v>51</c:v>
                </c:pt>
                <c:pt idx="1020">
                  <c:v>47</c:v>
                </c:pt>
                <c:pt idx="1021">
                  <c:v>43</c:v>
                </c:pt>
                <c:pt idx="1022">
                  <c:v>72</c:v>
                </c:pt>
                <c:pt idx="1023">
                  <c:v>60</c:v>
                </c:pt>
                <c:pt idx="1024">
                  <c:v>51</c:v>
                </c:pt>
                <c:pt idx="1025">
                  <c:v>60</c:v>
                </c:pt>
                <c:pt idx="1026">
                  <c:v>2</c:v>
                </c:pt>
                <c:pt idx="1027">
                  <c:v>16</c:v>
                </c:pt>
                <c:pt idx="1028">
                  <c:v>14</c:v>
                </c:pt>
                <c:pt idx="1029">
                  <c:v>17</c:v>
                </c:pt>
                <c:pt idx="1030">
                  <c:v>33</c:v>
                </c:pt>
                <c:pt idx="1031">
                  <c:v>36</c:v>
                </c:pt>
                <c:pt idx="1032">
                  <c:v>70</c:v>
                </c:pt>
                <c:pt idx="1033">
                  <c:v>58</c:v>
                </c:pt>
                <c:pt idx="1034">
                  <c:v>66</c:v>
                </c:pt>
                <c:pt idx="1035">
                  <c:v>78</c:v>
                </c:pt>
                <c:pt idx="1036">
                  <c:v>17</c:v>
                </c:pt>
                <c:pt idx="1037">
                  <c:v>74</c:v>
                </c:pt>
                <c:pt idx="1038">
                  <c:v>39</c:v>
                </c:pt>
                <c:pt idx="1039">
                  <c:v>31</c:v>
                </c:pt>
                <c:pt idx="1040">
                  <c:v>61</c:v>
                </c:pt>
                <c:pt idx="1041">
                  <c:v>74</c:v>
                </c:pt>
                <c:pt idx="1042">
                  <c:v>7</c:v>
                </c:pt>
                <c:pt idx="1043">
                  <c:v>7</c:v>
                </c:pt>
                <c:pt idx="1044">
                  <c:v>11</c:v>
                </c:pt>
                <c:pt idx="1045">
                  <c:v>30</c:v>
                </c:pt>
                <c:pt idx="1046">
                  <c:v>2</c:v>
                </c:pt>
                <c:pt idx="1047">
                  <c:v>40</c:v>
                </c:pt>
                <c:pt idx="1048">
                  <c:v>22</c:v>
                </c:pt>
                <c:pt idx="1049">
                  <c:v>76</c:v>
                </c:pt>
                <c:pt idx="1050">
                  <c:v>60</c:v>
                </c:pt>
                <c:pt idx="1051">
                  <c:v>12</c:v>
                </c:pt>
                <c:pt idx="1052">
                  <c:v>73</c:v>
                </c:pt>
                <c:pt idx="1053">
                  <c:v>75</c:v>
                </c:pt>
                <c:pt idx="1054">
                  <c:v>72</c:v>
                </c:pt>
                <c:pt idx="1055">
                  <c:v>68</c:v>
                </c:pt>
                <c:pt idx="1056">
                  <c:v>61</c:v>
                </c:pt>
                <c:pt idx="1057">
                  <c:v>24</c:v>
                </c:pt>
                <c:pt idx="1058">
                  <c:v>32</c:v>
                </c:pt>
                <c:pt idx="1059">
                  <c:v>2</c:v>
                </c:pt>
                <c:pt idx="1060">
                  <c:v>2</c:v>
                </c:pt>
                <c:pt idx="1061">
                  <c:v>37</c:v>
                </c:pt>
                <c:pt idx="1062">
                  <c:v>28</c:v>
                </c:pt>
                <c:pt idx="1063">
                  <c:v>49</c:v>
                </c:pt>
                <c:pt idx="1064">
                  <c:v>43</c:v>
                </c:pt>
                <c:pt idx="1065">
                  <c:v>67</c:v>
                </c:pt>
                <c:pt idx="1066">
                  <c:v>18</c:v>
                </c:pt>
                <c:pt idx="1067">
                  <c:v>35</c:v>
                </c:pt>
                <c:pt idx="1068">
                  <c:v>50</c:v>
                </c:pt>
                <c:pt idx="1069">
                  <c:v>53</c:v>
                </c:pt>
                <c:pt idx="1070">
                  <c:v>33</c:v>
                </c:pt>
                <c:pt idx="1071">
                  <c:v>75</c:v>
                </c:pt>
                <c:pt idx="1072">
                  <c:v>42</c:v>
                </c:pt>
                <c:pt idx="1073">
                  <c:v>12</c:v>
                </c:pt>
                <c:pt idx="1074">
                  <c:v>33</c:v>
                </c:pt>
                <c:pt idx="1075">
                  <c:v>35</c:v>
                </c:pt>
                <c:pt idx="1076">
                  <c:v>68</c:v>
                </c:pt>
                <c:pt idx="1077">
                  <c:v>8</c:v>
                </c:pt>
                <c:pt idx="1078">
                  <c:v>8</c:v>
                </c:pt>
                <c:pt idx="1079">
                  <c:v>25</c:v>
                </c:pt>
                <c:pt idx="1080">
                  <c:v>61</c:v>
                </c:pt>
                <c:pt idx="1081">
                  <c:v>59</c:v>
                </c:pt>
                <c:pt idx="1082">
                  <c:v>65</c:v>
                </c:pt>
                <c:pt idx="1083">
                  <c:v>15</c:v>
                </c:pt>
                <c:pt idx="1084">
                  <c:v>72</c:v>
                </c:pt>
                <c:pt idx="1085">
                  <c:v>14</c:v>
                </c:pt>
                <c:pt idx="1086">
                  <c:v>72</c:v>
                </c:pt>
                <c:pt idx="1087">
                  <c:v>70</c:v>
                </c:pt>
                <c:pt idx="1088">
                  <c:v>50</c:v>
                </c:pt>
                <c:pt idx="1089">
                  <c:v>26</c:v>
                </c:pt>
                <c:pt idx="1090">
                  <c:v>71</c:v>
                </c:pt>
                <c:pt idx="1091">
                  <c:v>14</c:v>
                </c:pt>
                <c:pt idx="1092">
                  <c:v>65</c:v>
                </c:pt>
                <c:pt idx="1093">
                  <c:v>43</c:v>
                </c:pt>
                <c:pt idx="1094">
                  <c:v>4</c:v>
                </c:pt>
                <c:pt idx="1095">
                  <c:v>75</c:v>
                </c:pt>
                <c:pt idx="1096">
                  <c:v>77</c:v>
                </c:pt>
                <c:pt idx="1097">
                  <c:v>38</c:v>
                </c:pt>
                <c:pt idx="1098">
                  <c:v>79</c:v>
                </c:pt>
                <c:pt idx="1099">
                  <c:v>42</c:v>
                </c:pt>
                <c:pt idx="1100">
                  <c:v>6</c:v>
                </c:pt>
                <c:pt idx="1101">
                  <c:v>49</c:v>
                </c:pt>
                <c:pt idx="1102">
                  <c:v>66</c:v>
                </c:pt>
                <c:pt idx="1103">
                  <c:v>46</c:v>
                </c:pt>
                <c:pt idx="1104">
                  <c:v>65</c:v>
                </c:pt>
                <c:pt idx="1105">
                  <c:v>12</c:v>
                </c:pt>
                <c:pt idx="1106">
                  <c:v>34</c:v>
                </c:pt>
                <c:pt idx="1107">
                  <c:v>67</c:v>
                </c:pt>
                <c:pt idx="1108">
                  <c:v>15</c:v>
                </c:pt>
                <c:pt idx="1109">
                  <c:v>69</c:v>
                </c:pt>
                <c:pt idx="1110">
                  <c:v>66</c:v>
                </c:pt>
                <c:pt idx="1111">
                  <c:v>26</c:v>
                </c:pt>
                <c:pt idx="1112">
                  <c:v>54</c:v>
                </c:pt>
                <c:pt idx="1113">
                  <c:v>56</c:v>
                </c:pt>
                <c:pt idx="1114">
                  <c:v>30</c:v>
                </c:pt>
                <c:pt idx="1115">
                  <c:v>15</c:v>
                </c:pt>
                <c:pt idx="1116">
                  <c:v>2</c:v>
                </c:pt>
                <c:pt idx="1117">
                  <c:v>21</c:v>
                </c:pt>
                <c:pt idx="1118">
                  <c:v>39</c:v>
                </c:pt>
                <c:pt idx="1119">
                  <c:v>36</c:v>
                </c:pt>
                <c:pt idx="1120">
                  <c:v>7</c:v>
                </c:pt>
                <c:pt idx="1121">
                  <c:v>39</c:v>
                </c:pt>
                <c:pt idx="1122">
                  <c:v>79</c:v>
                </c:pt>
                <c:pt idx="1123">
                  <c:v>1</c:v>
                </c:pt>
                <c:pt idx="1124">
                  <c:v>52</c:v>
                </c:pt>
                <c:pt idx="1125">
                  <c:v>51</c:v>
                </c:pt>
                <c:pt idx="1126">
                  <c:v>0</c:v>
                </c:pt>
                <c:pt idx="1127">
                  <c:v>40</c:v>
                </c:pt>
                <c:pt idx="1128">
                  <c:v>76</c:v>
                </c:pt>
                <c:pt idx="1129">
                  <c:v>77</c:v>
                </c:pt>
                <c:pt idx="1130">
                  <c:v>15</c:v>
                </c:pt>
                <c:pt idx="1131">
                  <c:v>25</c:v>
                </c:pt>
                <c:pt idx="1132">
                  <c:v>57</c:v>
                </c:pt>
                <c:pt idx="1133">
                  <c:v>76</c:v>
                </c:pt>
                <c:pt idx="1134">
                  <c:v>71</c:v>
                </c:pt>
                <c:pt idx="1135">
                  <c:v>71</c:v>
                </c:pt>
                <c:pt idx="1136">
                  <c:v>53</c:v>
                </c:pt>
                <c:pt idx="1137">
                  <c:v>10</c:v>
                </c:pt>
                <c:pt idx="1138">
                  <c:v>5</c:v>
                </c:pt>
                <c:pt idx="1139">
                  <c:v>56</c:v>
                </c:pt>
                <c:pt idx="1140">
                  <c:v>30</c:v>
                </c:pt>
                <c:pt idx="1141">
                  <c:v>58</c:v>
                </c:pt>
                <c:pt idx="1142">
                  <c:v>23</c:v>
                </c:pt>
                <c:pt idx="1143">
                  <c:v>41</c:v>
                </c:pt>
                <c:pt idx="1144">
                  <c:v>26</c:v>
                </c:pt>
                <c:pt idx="1145">
                  <c:v>15</c:v>
                </c:pt>
                <c:pt idx="1146">
                  <c:v>73</c:v>
                </c:pt>
                <c:pt idx="1147">
                  <c:v>62</c:v>
                </c:pt>
                <c:pt idx="1148">
                  <c:v>27</c:v>
                </c:pt>
                <c:pt idx="1149">
                  <c:v>58</c:v>
                </c:pt>
                <c:pt idx="1150">
                  <c:v>76</c:v>
                </c:pt>
                <c:pt idx="1151">
                  <c:v>29</c:v>
                </c:pt>
                <c:pt idx="1152">
                  <c:v>51</c:v>
                </c:pt>
                <c:pt idx="1153">
                  <c:v>7</c:v>
                </c:pt>
                <c:pt idx="1154">
                  <c:v>12</c:v>
                </c:pt>
                <c:pt idx="1155">
                  <c:v>72</c:v>
                </c:pt>
                <c:pt idx="1156">
                  <c:v>66</c:v>
                </c:pt>
                <c:pt idx="1157">
                  <c:v>62</c:v>
                </c:pt>
                <c:pt idx="1158">
                  <c:v>22</c:v>
                </c:pt>
                <c:pt idx="1159">
                  <c:v>77</c:v>
                </c:pt>
                <c:pt idx="1160">
                  <c:v>49</c:v>
                </c:pt>
                <c:pt idx="1161">
                  <c:v>51</c:v>
                </c:pt>
                <c:pt idx="1162">
                  <c:v>21</c:v>
                </c:pt>
                <c:pt idx="1163">
                  <c:v>75</c:v>
                </c:pt>
                <c:pt idx="1164">
                  <c:v>60</c:v>
                </c:pt>
                <c:pt idx="1165">
                  <c:v>74</c:v>
                </c:pt>
                <c:pt idx="1166">
                  <c:v>47</c:v>
                </c:pt>
                <c:pt idx="1167">
                  <c:v>58</c:v>
                </c:pt>
                <c:pt idx="1168">
                  <c:v>16</c:v>
                </c:pt>
                <c:pt idx="1169">
                  <c:v>63</c:v>
                </c:pt>
                <c:pt idx="1170">
                  <c:v>19</c:v>
                </c:pt>
                <c:pt idx="1171">
                  <c:v>36</c:v>
                </c:pt>
                <c:pt idx="1172">
                  <c:v>5</c:v>
                </c:pt>
                <c:pt idx="1173">
                  <c:v>6</c:v>
                </c:pt>
                <c:pt idx="1174">
                  <c:v>15</c:v>
                </c:pt>
                <c:pt idx="1175">
                  <c:v>50</c:v>
                </c:pt>
                <c:pt idx="1176">
                  <c:v>28</c:v>
                </c:pt>
                <c:pt idx="1177">
                  <c:v>61</c:v>
                </c:pt>
                <c:pt idx="1178">
                  <c:v>27</c:v>
                </c:pt>
                <c:pt idx="1179">
                  <c:v>15</c:v>
                </c:pt>
                <c:pt idx="1180">
                  <c:v>27</c:v>
                </c:pt>
                <c:pt idx="1181">
                  <c:v>20</c:v>
                </c:pt>
                <c:pt idx="1182">
                  <c:v>20</c:v>
                </c:pt>
                <c:pt idx="1183">
                  <c:v>24</c:v>
                </c:pt>
                <c:pt idx="1184">
                  <c:v>26</c:v>
                </c:pt>
                <c:pt idx="1185">
                  <c:v>64</c:v>
                </c:pt>
                <c:pt idx="1186">
                  <c:v>42</c:v>
                </c:pt>
                <c:pt idx="1187">
                  <c:v>11</c:v>
                </c:pt>
                <c:pt idx="1188">
                  <c:v>62</c:v>
                </c:pt>
                <c:pt idx="1189">
                  <c:v>78</c:v>
                </c:pt>
                <c:pt idx="1190">
                  <c:v>68</c:v>
                </c:pt>
                <c:pt idx="1191">
                  <c:v>74</c:v>
                </c:pt>
                <c:pt idx="1192">
                  <c:v>35</c:v>
                </c:pt>
                <c:pt idx="1193">
                  <c:v>17</c:v>
                </c:pt>
                <c:pt idx="1194">
                  <c:v>43</c:v>
                </c:pt>
                <c:pt idx="1195">
                  <c:v>15</c:v>
                </c:pt>
                <c:pt idx="1196">
                  <c:v>69</c:v>
                </c:pt>
                <c:pt idx="1197">
                  <c:v>13</c:v>
                </c:pt>
                <c:pt idx="1198">
                  <c:v>76</c:v>
                </c:pt>
                <c:pt idx="1199">
                  <c:v>3</c:v>
                </c:pt>
                <c:pt idx="1200">
                  <c:v>68</c:v>
                </c:pt>
                <c:pt idx="1201">
                  <c:v>40</c:v>
                </c:pt>
                <c:pt idx="1202">
                  <c:v>52</c:v>
                </c:pt>
                <c:pt idx="1203">
                  <c:v>22</c:v>
                </c:pt>
                <c:pt idx="1204">
                  <c:v>26</c:v>
                </c:pt>
                <c:pt idx="1205">
                  <c:v>64</c:v>
                </c:pt>
                <c:pt idx="1206">
                  <c:v>52</c:v>
                </c:pt>
                <c:pt idx="1207">
                  <c:v>76</c:v>
                </c:pt>
                <c:pt idx="1208">
                  <c:v>50</c:v>
                </c:pt>
                <c:pt idx="1209">
                  <c:v>10</c:v>
                </c:pt>
                <c:pt idx="1210">
                  <c:v>37</c:v>
                </c:pt>
                <c:pt idx="1211">
                  <c:v>47</c:v>
                </c:pt>
                <c:pt idx="1212">
                  <c:v>44</c:v>
                </c:pt>
                <c:pt idx="1213">
                  <c:v>76</c:v>
                </c:pt>
                <c:pt idx="1214">
                  <c:v>3</c:v>
                </c:pt>
                <c:pt idx="1215">
                  <c:v>39</c:v>
                </c:pt>
                <c:pt idx="1216">
                  <c:v>37</c:v>
                </c:pt>
                <c:pt idx="1217">
                  <c:v>74</c:v>
                </c:pt>
                <c:pt idx="1218">
                  <c:v>30</c:v>
                </c:pt>
                <c:pt idx="1219">
                  <c:v>71</c:v>
                </c:pt>
                <c:pt idx="1220">
                  <c:v>38</c:v>
                </c:pt>
                <c:pt idx="1221">
                  <c:v>15</c:v>
                </c:pt>
                <c:pt idx="1222">
                  <c:v>46</c:v>
                </c:pt>
                <c:pt idx="1223">
                  <c:v>22</c:v>
                </c:pt>
                <c:pt idx="1224">
                  <c:v>38</c:v>
                </c:pt>
                <c:pt idx="1225">
                  <c:v>9</c:v>
                </c:pt>
                <c:pt idx="1226">
                  <c:v>39</c:v>
                </c:pt>
                <c:pt idx="1227">
                  <c:v>55</c:v>
                </c:pt>
                <c:pt idx="1228">
                  <c:v>35</c:v>
                </c:pt>
                <c:pt idx="1229">
                  <c:v>49</c:v>
                </c:pt>
                <c:pt idx="1230">
                  <c:v>38</c:v>
                </c:pt>
                <c:pt idx="1231">
                  <c:v>65</c:v>
                </c:pt>
                <c:pt idx="1232">
                  <c:v>56</c:v>
                </c:pt>
                <c:pt idx="1233">
                  <c:v>26</c:v>
                </c:pt>
                <c:pt idx="1234">
                  <c:v>72</c:v>
                </c:pt>
                <c:pt idx="1235">
                  <c:v>11</c:v>
                </c:pt>
                <c:pt idx="1236">
                  <c:v>12</c:v>
                </c:pt>
                <c:pt idx="1237">
                  <c:v>73</c:v>
                </c:pt>
                <c:pt idx="1238">
                  <c:v>46</c:v>
                </c:pt>
                <c:pt idx="1239">
                  <c:v>64</c:v>
                </c:pt>
                <c:pt idx="1240">
                  <c:v>3</c:v>
                </c:pt>
                <c:pt idx="1241">
                  <c:v>63</c:v>
                </c:pt>
                <c:pt idx="1242">
                  <c:v>50</c:v>
                </c:pt>
                <c:pt idx="1243">
                  <c:v>2</c:v>
                </c:pt>
                <c:pt idx="1244">
                  <c:v>76</c:v>
                </c:pt>
                <c:pt idx="1245">
                  <c:v>49</c:v>
                </c:pt>
                <c:pt idx="1246">
                  <c:v>65</c:v>
                </c:pt>
                <c:pt idx="1247">
                  <c:v>54</c:v>
                </c:pt>
                <c:pt idx="1248">
                  <c:v>13</c:v>
                </c:pt>
                <c:pt idx="1249">
                  <c:v>66</c:v>
                </c:pt>
                <c:pt idx="1250">
                  <c:v>54</c:v>
                </c:pt>
                <c:pt idx="1251">
                  <c:v>24</c:v>
                </c:pt>
                <c:pt idx="1252">
                  <c:v>54</c:v>
                </c:pt>
                <c:pt idx="1253">
                  <c:v>43</c:v>
                </c:pt>
                <c:pt idx="1254">
                  <c:v>19</c:v>
                </c:pt>
                <c:pt idx="1255">
                  <c:v>59</c:v>
                </c:pt>
                <c:pt idx="1256">
                  <c:v>7</c:v>
                </c:pt>
                <c:pt idx="1257">
                  <c:v>77</c:v>
                </c:pt>
                <c:pt idx="1258">
                  <c:v>43</c:v>
                </c:pt>
                <c:pt idx="1259">
                  <c:v>33</c:v>
                </c:pt>
                <c:pt idx="1260">
                  <c:v>27</c:v>
                </c:pt>
                <c:pt idx="1261">
                  <c:v>29</c:v>
                </c:pt>
                <c:pt idx="1262">
                  <c:v>50</c:v>
                </c:pt>
                <c:pt idx="1263">
                  <c:v>24</c:v>
                </c:pt>
                <c:pt idx="1264">
                  <c:v>32</c:v>
                </c:pt>
                <c:pt idx="1265">
                  <c:v>53</c:v>
                </c:pt>
                <c:pt idx="1266">
                  <c:v>68</c:v>
                </c:pt>
                <c:pt idx="1267">
                  <c:v>28</c:v>
                </c:pt>
                <c:pt idx="1268">
                  <c:v>34</c:v>
                </c:pt>
                <c:pt idx="1269">
                  <c:v>18</c:v>
                </c:pt>
                <c:pt idx="1270">
                  <c:v>36</c:v>
                </c:pt>
                <c:pt idx="1271">
                  <c:v>47</c:v>
                </c:pt>
                <c:pt idx="1272">
                  <c:v>37</c:v>
                </c:pt>
                <c:pt idx="1273">
                  <c:v>76</c:v>
                </c:pt>
                <c:pt idx="1274">
                  <c:v>73</c:v>
                </c:pt>
                <c:pt idx="1275">
                  <c:v>2</c:v>
                </c:pt>
                <c:pt idx="1276">
                  <c:v>60</c:v>
                </c:pt>
                <c:pt idx="1277">
                  <c:v>46</c:v>
                </c:pt>
                <c:pt idx="1278">
                  <c:v>29</c:v>
                </c:pt>
                <c:pt idx="1279">
                  <c:v>50</c:v>
                </c:pt>
                <c:pt idx="1280">
                  <c:v>53</c:v>
                </c:pt>
                <c:pt idx="1281">
                  <c:v>45</c:v>
                </c:pt>
                <c:pt idx="1282">
                  <c:v>42</c:v>
                </c:pt>
                <c:pt idx="1283">
                  <c:v>31</c:v>
                </c:pt>
                <c:pt idx="1284">
                  <c:v>71</c:v>
                </c:pt>
                <c:pt idx="1285">
                  <c:v>16</c:v>
                </c:pt>
                <c:pt idx="1286">
                  <c:v>22</c:v>
                </c:pt>
                <c:pt idx="1287">
                  <c:v>58</c:v>
                </c:pt>
                <c:pt idx="1288">
                  <c:v>49</c:v>
                </c:pt>
                <c:pt idx="1289">
                  <c:v>80</c:v>
                </c:pt>
                <c:pt idx="1290">
                  <c:v>58</c:v>
                </c:pt>
                <c:pt idx="1291">
                  <c:v>35</c:v>
                </c:pt>
                <c:pt idx="1292">
                  <c:v>0</c:v>
                </c:pt>
                <c:pt idx="1293">
                  <c:v>15</c:v>
                </c:pt>
                <c:pt idx="1294">
                  <c:v>0</c:v>
                </c:pt>
                <c:pt idx="1295">
                  <c:v>26</c:v>
                </c:pt>
                <c:pt idx="1296">
                  <c:v>62</c:v>
                </c:pt>
                <c:pt idx="1297">
                  <c:v>15</c:v>
                </c:pt>
                <c:pt idx="1298">
                  <c:v>17</c:v>
                </c:pt>
                <c:pt idx="1299">
                  <c:v>44</c:v>
                </c:pt>
                <c:pt idx="1300">
                  <c:v>20</c:v>
                </c:pt>
                <c:pt idx="1301">
                  <c:v>19</c:v>
                </c:pt>
                <c:pt idx="1302">
                  <c:v>74</c:v>
                </c:pt>
                <c:pt idx="1303">
                  <c:v>37</c:v>
                </c:pt>
                <c:pt idx="1304">
                  <c:v>16</c:v>
                </c:pt>
                <c:pt idx="1305">
                  <c:v>35</c:v>
                </c:pt>
                <c:pt idx="1306">
                  <c:v>77</c:v>
                </c:pt>
                <c:pt idx="1307">
                  <c:v>19</c:v>
                </c:pt>
                <c:pt idx="1308">
                  <c:v>55</c:v>
                </c:pt>
                <c:pt idx="1309">
                  <c:v>6</c:v>
                </c:pt>
                <c:pt idx="1310">
                  <c:v>50</c:v>
                </c:pt>
                <c:pt idx="1311">
                  <c:v>17</c:v>
                </c:pt>
                <c:pt idx="1312">
                  <c:v>25</c:v>
                </c:pt>
                <c:pt idx="1313">
                  <c:v>41</c:v>
                </c:pt>
                <c:pt idx="1314">
                  <c:v>61</c:v>
                </c:pt>
                <c:pt idx="1315">
                  <c:v>63</c:v>
                </c:pt>
                <c:pt idx="1316">
                  <c:v>47</c:v>
                </c:pt>
                <c:pt idx="1317">
                  <c:v>10</c:v>
                </c:pt>
                <c:pt idx="1318">
                  <c:v>51</c:v>
                </c:pt>
                <c:pt idx="1319">
                  <c:v>5</c:v>
                </c:pt>
                <c:pt idx="1320">
                  <c:v>69</c:v>
                </c:pt>
                <c:pt idx="1321">
                  <c:v>45</c:v>
                </c:pt>
                <c:pt idx="1322">
                  <c:v>44</c:v>
                </c:pt>
                <c:pt idx="1323">
                  <c:v>13</c:v>
                </c:pt>
                <c:pt idx="1324">
                  <c:v>34</c:v>
                </c:pt>
                <c:pt idx="1325">
                  <c:v>77</c:v>
                </c:pt>
                <c:pt idx="1326">
                  <c:v>5</c:v>
                </c:pt>
                <c:pt idx="1327">
                  <c:v>46</c:v>
                </c:pt>
                <c:pt idx="1328">
                  <c:v>68</c:v>
                </c:pt>
                <c:pt idx="1329">
                  <c:v>12</c:v>
                </c:pt>
                <c:pt idx="1330">
                  <c:v>55</c:v>
                </c:pt>
                <c:pt idx="1331">
                  <c:v>58</c:v>
                </c:pt>
                <c:pt idx="1332">
                  <c:v>48</c:v>
                </c:pt>
                <c:pt idx="1333">
                  <c:v>14</c:v>
                </c:pt>
                <c:pt idx="1334">
                  <c:v>47</c:v>
                </c:pt>
                <c:pt idx="1335">
                  <c:v>9</c:v>
                </c:pt>
                <c:pt idx="1336">
                  <c:v>52</c:v>
                </c:pt>
                <c:pt idx="1337">
                  <c:v>56</c:v>
                </c:pt>
                <c:pt idx="1338">
                  <c:v>5</c:v>
                </c:pt>
                <c:pt idx="1339">
                  <c:v>23</c:v>
                </c:pt>
                <c:pt idx="1340">
                  <c:v>23</c:v>
                </c:pt>
                <c:pt idx="1341">
                  <c:v>8</c:v>
                </c:pt>
                <c:pt idx="1342">
                  <c:v>65</c:v>
                </c:pt>
                <c:pt idx="1343">
                  <c:v>65</c:v>
                </c:pt>
                <c:pt idx="1344">
                  <c:v>23</c:v>
                </c:pt>
                <c:pt idx="1345">
                  <c:v>79</c:v>
                </c:pt>
                <c:pt idx="1346">
                  <c:v>69</c:v>
                </c:pt>
                <c:pt idx="1347">
                  <c:v>65</c:v>
                </c:pt>
                <c:pt idx="1348">
                  <c:v>21</c:v>
                </c:pt>
                <c:pt idx="1349">
                  <c:v>8</c:v>
                </c:pt>
                <c:pt idx="1350">
                  <c:v>24</c:v>
                </c:pt>
                <c:pt idx="1351">
                  <c:v>51</c:v>
                </c:pt>
                <c:pt idx="1352">
                  <c:v>5</c:v>
                </c:pt>
                <c:pt idx="1353">
                  <c:v>24</c:v>
                </c:pt>
                <c:pt idx="1354">
                  <c:v>52</c:v>
                </c:pt>
                <c:pt idx="1355">
                  <c:v>6</c:v>
                </c:pt>
                <c:pt idx="1356">
                  <c:v>73</c:v>
                </c:pt>
                <c:pt idx="1357">
                  <c:v>61</c:v>
                </c:pt>
                <c:pt idx="1358">
                  <c:v>62</c:v>
                </c:pt>
                <c:pt idx="1359">
                  <c:v>54</c:v>
                </c:pt>
                <c:pt idx="1360">
                  <c:v>41</c:v>
                </c:pt>
                <c:pt idx="1361">
                  <c:v>20</c:v>
                </c:pt>
                <c:pt idx="1362">
                  <c:v>67</c:v>
                </c:pt>
                <c:pt idx="1363">
                  <c:v>46</c:v>
                </c:pt>
                <c:pt idx="1364">
                  <c:v>19</c:v>
                </c:pt>
                <c:pt idx="1365">
                  <c:v>18</c:v>
                </c:pt>
                <c:pt idx="1366">
                  <c:v>79</c:v>
                </c:pt>
                <c:pt idx="1367">
                  <c:v>72</c:v>
                </c:pt>
                <c:pt idx="1368">
                  <c:v>24</c:v>
                </c:pt>
                <c:pt idx="1369">
                  <c:v>29</c:v>
                </c:pt>
                <c:pt idx="1370">
                  <c:v>21</c:v>
                </c:pt>
                <c:pt idx="1371">
                  <c:v>3</c:v>
                </c:pt>
                <c:pt idx="1372">
                  <c:v>80</c:v>
                </c:pt>
                <c:pt idx="1373">
                  <c:v>45</c:v>
                </c:pt>
                <c:pt idx="1374">
                  <c:v>70</c:v>
                </c:pt>
                <c:pt idx="1375">
                  <c:v>6</c:v>
                </c:pt>
                <c:pt idx="1376">
                  <c:v>11</c:v>
                </c:pt>
                <c:pt idx="1377">
                  <c:v>79</c:v>
                </c:pt>
                <c:pt idx="1378">
                  <c:v>43</c:v>
                </c:pt>
                <c:pt idx="1379">
                  <c:v>5</c:v>
                </c:pt>
                <c:pt idx="1380">
                  <c:v>9</c:v>
                </c:pt>
                <c:pt idx="1381">
                  <c:v>59</c:v>
                </c:pt>
                <c:pt idx="1382">
                  <c:v>13</c:v>
                </c:pt>
                <c:pt idx="1383">
                  <c:v>10</c:v>
                </c:pt>
                <c:pt idx="1384">
                  <c:v>35</c:v>
                </c:pt>
                <c:pt idx="1385">
                  <c:v>45</c:v>
                </c:pt>
                <c:pt idx="1386">
                  <c:v>71</c:v>
                </c:pt>
                <c:pt idx="1387">
                  <c:v>20</c:v>
                </c:pt>
                <c:pt idx="1388">
                  <c:v>75</c:v>
                </c:pt>
                <c:pt idx="1389">
                  <c:v>72</c:v>
                </c:pt>
                <c:pt idx="1390">
                  <c:v>9</c:v>
                </c:pt>
                <c:pt idx="1391">
                  <c:v>69</c:v>
                </c:pt>
                <c:pt idx="1392">
                  <c:v>63</c:v>
                </c:pt>
                <c:pt idx="1393">
                  <c:v>58</c:v>
                </c:pt>
                <c:pt idx="1394">
                  <c:v>37</c:v>
                </c:pt>
                <c:pt idx="1395">
                  <c:v>33</c:v>
                </c:pt>
                <c:pt idx="1396">
                  <c:v>63</c:v>
                </c:pt>
                <c:pt idx="1397">
                  <c:v>25</c:v>
                </c:pt>
                <c:pt idx="1398">
                  <c:v>24</c:v>
                </c:pt>
                <c:pt idx="1399">
                  <c:v>42</c:v>
                </c:pt>
                <c:pt idx="1400">
                  <c:v>10</c:v>
                </c:pt>
                <c:pt idx="1401">
                  <c:v>79</c:v>
                </c:pt>
                <c:pt idx="1402">
                  <c:v>3</c:v>
                </c:pt>
                <c:pt idx="1403">
                  <c:v>12</c:v>
                </c:pt>
                <c:pt idx="1404">
                  <c:v>27</c:v>
                </c:pt>
                <c:pt idx="1405">
                  <c:v>26</c:v>
                </c:pt>
                <c:pt idx="1406">
                  <c:v>24</c:v>
                </c:pt>
                <c:pt idx="1407">
                  <c:v>1</c:v>
                </c:pt>
                <c:pt idx="1408">
                  <c:v>78</c:v>
                </c:pt>
                <c:pt idx="1409">
                  <c:v>4</c:v>
                </c:pt>
                <c:pt idx="1410">
                  <c:v>77</c:v>
                </c:pt>
                <c:pt idx="1411">
                  <c:v>72</c:v>
                </c:pt>
                <c:pt idx="1412">
                  <c:v>18</c:v>
                </c:pt>
                <c:pt idx="1413">
                  <c:v>32</c:v>
                </c:pt>
                <c:pt idx="1414">
                  <c:v>0</c:v>
                </c:pt>
                <c:pt idx="1415">
                  <c:v>30</c:v>
                </c:pt>
                <c:pt idx="1416">
                  <c:v>11</c:v>
                </c:pt>
                <c:pt idx="1417">
                  <c:v>38</c:v>
                </c:pt>
                <c:pt idx="1418">
                  <c:v>80</c:v>
                </c:pt>
                <c:pt idx="1419">
                  <c:v>77</c:v>
                </c:pt>
                <c:pt idx="1420">
                  <c:v>15</c:v>
                </c:pt>
                <c:pt idx="1421">
                  <c:v>71</c:v>
                </c:pt>
                <c:pt idx="1422">
                  <c:v>9</c:v>
                </c:pt>
                <c:pt idx="1423">
                  <c:v>79</c:v>
                </c:pt>
                <c:pt idx="1424">
                  <c:v>54</c:v>
                </c:pt>
                <c:pt idx="1425">
                  <c:v>22</c:v>
                </c:pt>
                <c:pt idx="1426">
                  <c:v>70</c:v>
                </c:pt>
                <c:pt idx="1427">
                  <c:v>61</c:v>
                </c:pt>
                <c:pt idx="1428">
                  <c:v>14</c:v>
                </c:pt>
                <c:pt idx="1429">
                  <c:v>45</c:v>
                </c:pt>
                <c:pt idx="1430">
                  <c:v>49</c:v>
                </c:pt>
                <c:pt idx="1431">
                  <c:v>42</c:v>
                </c:pt>
                <c:pt idx="1432">
                  <c:v>16</c:v>
                </c:pt>
                <c:pt idx="1433">
                  <c:v>8</c:v>
                </c:pt>
                <c:pt idx="1434">
                  <c:v>41</c:v>
                </c:pt>
                <c:pt idx="1435">
                  <c:v>5</c:v>
                </c:pt>
                <c:pt idx="1436">
                  <c:v>80</c:v>
                </c:pt>
                <c:pt idx="1437">
                  <c:v>25</c:v>
                </c:pt>
                <c:pt idx="1438">
                  <c:v>0</c:v>
                </c:pt>
                <c:pt idx="1439">
                  <c:v>2</c:v>
                </c:pt>
                <c:pt idx="1440">
                  <c:v>5</c:v>
                </c:pt>
                <c:pt idx="1441">
                  <c:v>7</c:v>
                </c:pt>
                <c:pt idx="1442">
                  <c:v>62</c:v>
                </c:pt>
                <c:pt idx="1443">
                  <c:v>55</c:v>
                </c:pt>
                <c:pt idx="1444">
                  <c:v>31</c:v>
                </c:pt>
                <c:pt idx="1445">
                  <c:v>33</c:v>
                </c:pt>
                <c:pt idx="1446">
                  <c:v>77</c:v>
                </c:pt>
                <c:pt idx="1447">
                  <c:v>20</c:v>
                </c:pt>
                <c:pt idx="1448">
                  <c:v>55</c:v>
                </c:pt>
                <c:pt idx="1449">
                  <c:v>48</c:v>
                </c:pt>
                <c:pt idx="1450">
                  <c:v>42</c:v>
                </c:pt>
                <c:pt idx="1451">
                  <c:v>43</c:v>
                </c:pt>
                <c:pt idx="1452">
                  <c:v>55</c:v>
                </c:pt>
                <c:pt idx="1453">
                  <c:v>70</c:v>
                </c:pt>
                <c:pt idx="1454">
                  <c:v>34</c:v>
                </c:pt>
                <c:pt idx="1455">
                  <c:v>25</c:v>
                </c:pt>
                <c:pt idx="1456">
                  <c:v>24</c:v>
                </c:pt>
                <c:pt idx="1457">
                  <c:v>65</c:v>
                </c:pt>
                <c:pt idx="1458">
                  <c:v>77</c:v>
                </c:pt>
                <c:pt idx="1459">
                  <c:v>22</c:v>
                </c:pt>
                <c:pt idx="1460">
                  <c:v>43</c:v>
                </c:pt>
                <c:pt idx="1461">
                  <c:v>78</c:v>
                </c:pt>
                <c:pt idx="1462">
                  <c:v>20</c:v>
                </c:pt>
                <c:pt idx="1463">
                  <c:v>66</c:v>
                </c:pt>
                <c:pt idx="1464">
                  <c:v>60</c:v>
                </c:pt>
                <c:pt idx="1465">
                  <c:v>66</c:v>
                </c:pt>
                <c:pt idx="1466">
                  <c:v>27</c:v>
                </c:pt>
                <c:pt idx="1467">
                  <c:v>24</c:v>
                </c:pt>
                <c:pt idx="1468">
                  <c:v>68</c:v>
                </c:pt>
                <c:pt idx="1469">
                  <c:v>70</c:v>
                </c:pt>
                <c:pt idx="1470">
                  <c:v>65</c:v>
                </c:pt>
                <c:pt idx="1471">
                  <c:v>76</c:v>
                </c:pt>
                <c:pt idx="1472">
                  <c:v>36</c:v>
                </c:pt>
                <c:pt idx="1473">
                  <c:v>49</c:v>
                </c:pt>
                <c:pt idx="1474">
                  <c:v>62</c:v>
                </c:pt>
                <c:pt idx="1475">
                  <c:v>19</c:v>
                </c:pt>
                <c:pt idx="1476">
                  <c:v>19</c:v>
                </c:pt>
                <c:pt idx="1477">
                  <c:v>63</c:v>
                </c:pt>
                <c:pt idx="1478">
                  <c:v>59</c:v>
                </c:pt>
                <c:pt idx="1479">
                  <c:v>72</c:v>
                </c:pt>
                <c:pt idx="1480">
                  <c:v>35</c:v>
                </c:pt>
                <c:pt idx="1481">
                  <c:v>66</c:v>
                </c:pt>
                <c:pt idx="1482">
                  <c:v>63</c:v>
                </c:pt>
                <c:pt idx="1483">
                  <c:v>40</c:v>
                </c:pt>
                <c:pt idx="1484">
                  <c:v>12</c:v>
                </c:pt>
                <c:pt idx="1485">
                  <c:v>8</c:v>
                </c:pt>
                <c:pt idx="1486">
                  <c:v>74</c:v>
                </c:pt>
                <c:pt idx="1487">
                  <c:v>0</c:v>
                </c:pt>
                <c:pt idx="1488">
                  <c:v>60</c:v>
                </c:pt>
                <c:pt idx="1489">
                  <c:v>69</c:v>
                </c:pt>
                <c:pt idx="1490">
                  <c:v>18</c:v>
                </c:pt>
                <c:pt idx="1491">
                  <c:v>51</c:v>
                </c:pt>
                <c:pt idx="1492">
                  <c:v>38</c:v>
                </c:pt>
                <c:pt idx="1493">
                  <c:v>18</c:v>
                </c:pt>
                <c:pt idx="1494">
                  <c:v>19</c:v>
                </c:pt>
                <c:pt idx="1495">
                  <c:v>20</c:v>
                </c:pt>
                <c:pt idx="1496">
                  <c:v>48</c:v>
                </c:pt>
                <c:pt idx="1497">
                  <c:v>18</c:v>
                </c:pt>
                <c:pt idx="1498">
                  <c:v>46</c:v>
                </c:pt>
                <c:pt idx="1499">
                  <c:v>73</c:v>
                </c:pt>
                <c:pt idx="1500">
                  <c:v>26</c:v>
                </c:pt>
                <c:pt idx="1501">
                  <c:v>65</c:v>
                </c:pt>
                <c:pt idx="1502">
                  <c:v>38</c:v>
                </c:pt>
                <c:pt idx="1503">
                  <c:v>34</c:v>
                </c:pt>
                <c:pt idx="1504">
                  <c:v>64</c:v>
                </c:pt>
                <c:pt idx="1505">
                  <c:v>71</c:v>
                </c:pt>
                <c:pt idx="1506">
                  <c:v>43</c:v>
                </c:pt>
                <c:pt idx="1507">
                  <c:v>31</c:v>
                </c:pt>
                <c:pt idx="1508">
                  <c:v>29</c:v>
                </c:pt>
                <c:pt idx="1509">
                  <c:v>34</c:v>
                </c:pt>
                <c:pt idx="1510">
                  <c:v>9</c:v>
                </c:pt>
                <c:pt idx="1511">
                  <c:v>10</c:v>
                </c:pt>
                <c:pt idx="1512">
                  <c:v>34</c:v>
                </c:pt>
                <c:pt idx="1513">
                  <c:v>11</c:v>
                </c:pt>
                <c:pt idx="1514">
                  <c:v>31</c:v>
                </c:pt>
                <c:pt idx="1515">
                  <c:v>32</c:v>
                </c:pt>
                <c:pt idx="1516">
                  <c:v>61</c:v>
                </c:pt>
                <c:pt idx="1517">
                  <c:v>43</c:v>
                </c:pt>
                <c:pt idx="1518">
                  <c:v>24</c:v>
                </c:pt>
                <c:pt idx="1519">
                  <c:v>47</c:v>
                </c:pt>
                <c:pt idx="1520">
                  <c:v>24</c:v>
                </c:pt>
                <c:pt idx="1521">
                  <c:v>11</c:v>
                </c:pt>
                <c:pt idx="1522">
                  <c:v>44</c:v>
                </c:pt>
                <c:pt idx="1523">
                  <c:v>18</c:v>
                </c:pt>
                <c:pt idx="1524">
                  <c:v>52</c:v>
                </c:pt>
                <c:pt idx="1525">
                  <c:v>47</c:v>
                </c:pt>
                <c:pt idx="1526">
                  <c:v>26</c:v>
                </c:pt>
                <c:pt idx="1527">
                  <c:v>7</c:v>
                </c:pt>
                <c:pt idx="1528">
                  <c:v>32</c:v>
                </c:pt>
                <c:pt idx="1529">
                  <c:v>44</c:v>
                </c:pt>
                <c:pt idx="1530">
                  <c:v>39</c:v>
                </c:pt>
                <c:pt idx="1531">
                  <c:v>20</c:v>
                </c:pt>
                <c:pt idx="1532">
                  <c:v>20</c:v>
                </c:pt>
                <c:pt idx="1533">
                  <c:v>36</c:v>
                </c:pt>
                <c:pt idx="1534">
                  <c:v>79</c:v>
                </c:pt>
                <c:pt idx="1535">
                  <c:v>79</c:v>
                </c:pt>
                <c:pt idx="1536">
                  <c:v>17</c:v>
                </c:pt>
                <c:pt idx="1537">
                  <c:v>10</c:v>
                </c:pt>
                <c:pt idx="1538">
                  <c:v>4</c:v>
                </c:pt>
                <c:pt idx="1539">
                  <c:v>42</c:v>
                </c:pt>
                <c:pt idx="1540">
                  <c:v>47</c:v>
                </c:pt>
                <c:pt idx="1541">
                  <c:v>7</c:v>
                </c:pt>
                <c:pt idx="1542">
                  <c:v>13</c:v>
                </c:pt>
                <c:pt idx="1543">
                  <c:v>43</c:v>
                </c:pt>
                <c:pt idx="1544">
                  <c:v>62</c:v>
                </c:pt>
                <c:pt idx="1545">
                  <c:v>25</c:v>
                </c:pt>
                <c:pt idx="1546">
                  <c:v>79</c:v>
                </c:pt>
                <c:pt idx="1547">
                  <c:v>74</c:v>
                </c:pt>
                <c:pt idx="1548">
                  <c:v>79</c:v>
                </c:pt>
                <c:pt idx="1549">
                  <c:v>76</c:v>
                </c:pt>
                <c:pt idx="1550">
                  <c:v>9</c:v>
                </c:pt>
                <c:pt idx="1551">
                  <c:v>33</c:v>
                </c:pt>
                <c:pt idx="1552">
                  <c:v>2</c:v>
                </c:pt>
                <c:pt idx="1553">
                  <c:v>23</c:v>
                </c:pt>
                <c:pt idx="1554">
                  <c:v>54</c:v>
                </c:pt>
                <c:pt idx="1555">
                  <c:v>37</c:v>
                </c:pt>
                <c:pt idx="1556">
                  <c:v>67</c:v>
                </c:pt>
                <c:pt idx="1557">
                  <c:v>15</c:v>
                </c:pt>
                <c:pt idx="1558">
                  <c:v>38</c:v>
                </c:pt>
                <c:pt idx="1559">
                  <c:v>27</c:v>
                </c:pt>
                <c:pt idx="1560">
                  <c:v>27</c:v>
                </c:pt>
                <c:pt idx="1561">
                  <c:v>6</c:v>
                </c:pt>
                <c:pt idx="1562">
                  <c:v>17</c:v>
                </c:pt>
                <c:pt idx="1563">
                  <c:v>77</c:v>
                </c:pt>
                <c:pt idx="1564">
                  <c:v>43</c:v>
                </c:pt>
                <c:pt idx="1565">
                  <c:v>33</c:v>
                </c:pt>
                <c:pt idx="1566">
                  <c:v>52</c:v>
                </c:pt>
                <c:pt idx="1567">
                  <c:v>50</c:v>
                </c:pt>
                <c:pt idx="1568">
                  <c:v>42</c:v>
                </c:pt>
                <c:pt idx="1569">
                  <c:v>66</c:v>
                </c:pt>
                <c:pt idx="1570">
                  <c:v>11</c:v>
                </c:pt>
                <c:pt idx="1571">
                  <c:v>18</c:v>
                </c:pt>
                <c:pt idx="1572">
                  <c:v>28</c:v>
                </c:pt>
                <c:pt idx="1573">
                  <c:v>24</c:v>
                </c:pt>
                <c:pt idx="1574">
                  <c:v>60</c:v>
                </c:pt>
                <c:pt idx="1575">
                  <c:v>23</c:v>
                </c:pt>
                <c:pt idx="1576">
                  <c:v>65</c:v>
                </c:pt>
                <c:pt idx="1577">
                  <c:v>80</c:v>
                </c:pt>
                <c:pt idx="1578">
                  <c:v>18</c:v>
                </c:pt>
                <c:pt idx="1579">
                  <c:v>36</c:v>
                </c:pt>
                <c:pt idx="1580">
                  <c:v>49</c:v>
                </c:pt>
                <c:pt idx="1581">
                  <c:v>52</c:v>
                </c:pt>
                <c:pt idx="1582">
                  <c:v>49</c:v>
                </c:pt>
                <c:pt idx="1583">
                  <c:v>68</c:v>
                </c:pt>
                <c:pt idx="1584">
                  <c:v>39</c:v>
                </c:pt>
                <c:pt idx="1585">
                  <c:v>11</c:v>
                </c:pt>
                <c:pt idx="1586">
                  <c:v>75</c:v>
                </c:pt>
                <c:pt idx="1587">
                  <c:v>40</c:v>
                </c:pt>
                <c:pt idx="1588">
                  <c:v>53</c:v>
                </c:pt>
                <c:pt idx="1589">
                  <c:v>32</c:v>
                </c:pt>
                <c:pt idx="1590">
                  <c:v>18</c:v>
                </c:pt>
                <c:pt idx="1591">
                  <c:v>73</c:v>
                </c:pt>
                <c:pt idx="1592">
                  <c:v>55</c:v>
                </c:pt>
                <c:pt idx="1593">
                  <c:v>64</c:v>
                </c:pt>
                <c:pt idx="1594">
                  <c:v>50</c:v>
                </c:pt>
                <c:pt idx="1595">
                  <c:v>26</c:v>
                </c:pt>
                <c:pt idx="1596">
                  <c:v>79</c:v>
                </c:pt>
                <c:pt idx="1597">
                  <c:v>68</c:v>
                </c:pt>
                <c:pt idx="1598">
                  <c:v>59</c:v>
                </c:pt>
                <c:pt idx="1599">
                  <c:v>62</c:v>
                </c:pt>
                <c:pt idx="1600">
                  <c:v>78</c:v>
                </c:pt>
                <c:pt idx="1601">
                  <c:v>59</c:v>
                </c:pt>
                <c:pt idx="1602">
                  <c:v>8</c:v>
                </c:pt>
                <c:pt idx="1603">
                  <c:v>33</c:v>
                </c:pt>
                <c:pt idx="1604">
                  <c:v>54</c:v>
                </c:pt>
                <c:pt idx="1605">
                  <c:v>29</c:v>
                </c:pt>
                <c:pt idx="1606">
                  <c:v>41</c:v>
                </c:pt>
                <c:pt idx="1607">
                  <c:v>49</c:v>
                </c:pt>
                <c:pt idx="1608">
                  <c:v>56</c:v>
                </c:pt>
                <c:pt idx="1609">
                  <c:v>51</c:v>
                </c:pt>
                <c:pt idx="1610">
                  <c:v>56</c:v>
                </c:pt>
                <c:pt idx="1611">
                  <c:v>57</c:v>
                </c:pt>
                <c:pt idx="1612">
                  <c:v>16</c:v>
                </c:pt>
                <c:pt idx="1613">
                  <c:v>72</c:v>
                </c:pt>
                <c:pt idx="1614">
                  <c:v>36</c:v>
                </c:pt>
                <c:pt idx="1615">
                  <c:v>26</c:v>
                </c:pt>
                <c:pt idx="1616">
                  <c:v>8</c:v>
                </c:pt>
                <c:pt idx="1617">
                  <c:v>73</c:v>
                </c:pt>
                <c:pt idx="1618">
                  <c:v>72</c:v>
                </c:pt>
                <c:pt idx="1619">
                  <c:v>65</c:v>
                </c:pt>
                <c:pt idx="1620">
                  <c:v>46</c:v>
                </c:pt>
                <c:pt idx="1621">
                  <c:v>27</c:v>
                </c:pt>
                <c:pt idx="1622">
                  <c:v>66</c:v>
                </c:pt>
                <c:pt idx="1623">
                  <c:v>17</c:v>
                </c:pt>
                <c:pt idx="1624">
                  <c:v>25</c:v>
                </c:pt>
                <c:pt idx="1625">
                  <c:v>41</c:v>
                </c:pt>
                <c:pt idx="1626">
                  <c:v>49</c:v>
                </c:pt>
                <c:pt idx="1627">
                  <c:v>11</c:v>
                </c:pt>
                <c:pt idx="1628">
                  <c:v>80</c:v>
                </c:pt>
                <c:pt idx="1629">
                  <c:v>79</c:v>
                </c:pt>
                <c:pt idx="1630">
                  <c:v>35</c:v>
                </c:pt>
                <c:pt idx="1631">
                  <c:v>46</c:v>
                </c:pt>
                <c:pt idx="1632">
                  <c:v>1</c:v>
                </c:pt>
                <c:pt idx="1633">
                  <c:v>2</c:v>
                </c:pt>
                <c:pt idx="1634">
                  <c:v>13</c:v>
                </c:pt>
                <c:pt idx="1635">
                  <c:v>60</c:v>
                </c:pt>
                <c:pt idx="1636">
                  <c:v>73</c:v>
                </c:pt>
                <c:pt idx="1637">
                  <c:v>42</c:v>
                </c:pt>
                <c:pt idx="1638">
                  <c:v>47</c:v>
                </c:pt>
                <c:pt idx="1639">
                  <c:v>46</c:v>
                </c:pt>
                <c:pt idx="1640">
                  <c:v>51</c:v>
                </c:pt>
                <c:pt idx="1641">
                  <c:v>24</c:v>
                </c:pt>
                <c:pt idx="1642">
                  <c:v>69</c:v>
                </c:pt>
                <c:pt idx="1643">
                  <c:v>6</c:v>
                </c:pt>
                <c:pt idx="1644">
                  <c:v>74</c:v>
                </c:pt>
                <c:pt idx="1645">
                  <c:v>62</c:v>
                </c:pt>
                <c:pt idx="1646">
                  <c:v>46</c:v>
                </c:pt>
                <c:pt idx="1647">
                  <c:v>80</c:v>
                </c:pt>
                <c:pt idx="1648">
                  <c:v>44</c:v>
                </c:pt>
                <c:pt idx="1649">
                  <c:v>9</c:v>
                </c:pt>
                <c:pt idx="1650">
                  <c:v>76</c:v>
                </c:pt>
                <c:pt idx="1651">
                  <c:v>28</c:v>
                </c:pt>
                <c:pt idx="1652">
                  <c:v>72</c:v>
                </c:pt>
                <c:pt idx="1653">
                  <c:v>60</c:v>
                </c:pt>
                <c:pt idx="1654">
                  <c:v>29</c:v>
                </c:pt>
                <c:pt idx="1655">
                  <c:v>22</c:v>
                </c:pt>
                <c:pt idx="1656">
                  <c:v>43</c:v>
                </c:pt>
                <c:pt idx="1657">
                  <c:v>19</c:v>
                </c:pt>
                <c:pt idx="1658">
                  <c:v>6</c:v>
                </c:pt>
                <c:pt idx="1659">
                  <c:v>29</c:v>
                </c:pt>
                <c:pt idx="1660">
                  <c:v>20</c:v>
                </c:pt>
                <c:pt idx="1661">
                  <c:v>48</c:v>
                </c:pt>
                <c:pt idx="1662">
                  <c:v>9</c:v>
                </c:pt>
                <c:pt idx="1663">
                  <c:v>37</c:v>
                </c:pt>
                <c:pt idx="1664">
                  <c:v>78</c:v>
                </c:pt>
                <c:pt idx="1665">
                  <c:v>57</c:v>
                </c:pt>
                <c:pt idx="1666">
                  <c:v>77</c:v>
                </c:pt>
                <c:pt idx="1667">
                  <c:v>21</c:v>
                </c:pt>
                <c:pt idx="1668">
                  <c:v>9</c:v>
                </c:pt>
                <c:pt idx="1669">
                  <c:v>70</c:v>
                </c:pt>
                <c:pt idx="1670">
                  <c:v>50</c:v>
                </c:pt>
                <c:pt idx="1671">
                  <c:v>0</c:v>
                </c:pt>
                <c:pt idx="1672">
                  <c:v>45</c:v>
                </c:pt>
                <c:pt idx="1673">
                  <c:v>26</c:v>
                </c:pt>
                <c:pt idx="1674">
                  <c:v>41</c:v>
                </c:pt>
                <c:pt idx="1675">
                  <c:v>78</c:v>
                </c:pt>
                <c:pt idx="1676">
                  <c:v>18</c:v>
                </c:pt>
                <c:pt idx="1677">
                  <c:v>46</c:v>
                </c:pt>
                <c:pt idx="1678">
                  <c:v>50</c:v>
                </c:pt>
                <c:pt idx="1679">
                  <c:v>79</c:v>
                </c:pt>
                <c:pt idx="1680">
                  <c:v>10</c:v>
                </c:pt>
                <c:pt idx="1681">
                  <c:v>59</c:v>
                </c:pt>
                <c:pt idx="1682">
                  <c:v>78</c:v>
                </c:pt>
                <c:pt idx="1683">
                  <c:v>35</c:v>
                </c:pt>
                <c:pt idx="1684">
                  <c:v>43</c:v>
                </c:pt>
                <c:pt idx="1685">
                  <c:v>1</c:v>
                </c:pt>
                <c:pt idx="1686">
                  <c:v>62</c:v>
                </c:pt>
                <c:pt idx="1687">
                  <c:v>55</c:v>
                </c:pt>
                <c:pt idx="1688">
                  <c:v>13</c:v>
                </c:pt>
                <c:pt idx="1689">
                  <c:v>69</c:v>
                </c:pt>
                <c:pt idx="1690">
                  <c:v>74</c:v>
                </c:pt>
                <c:pt idx="1691">
                  <c:v>41</c:v>
                </c:pt>
                <c:pt idx="1692">
                  <c:v>65</c:v>
                </c:pt>
                <c:pt idx="1693">
                  <c:v>14</c:v>
                </c:pt>
                <c:pt idx="1694">
                  <c:v>65</c:v>
                </c:pt>
                <c:pt idx="1695">
                  <c:v>68</c:v>
                </c:pt>
                <c:pt idx="1696">
                  <c:v>67</c:v>
                </c:pt>
                <c:pt idx="1697">
                  <c:v>22</c:v>
                </c:pt>
                <c:pt idx="1698">
                  <c:v>20</c:v>
                </c:pt>
                <c:pt idx="1699">
                  <c:v>64</c:v>
                </c:pt>
                <c:pt idx="1700">
                  <c:v>25</c:v>
                </c:pt>
                <c:pt idx="1701">
                  <c:v>37</c:v>
                </c:pt>
                <c:pt idx="1702">
                  <c:v>74</c:v>
                </c:pt>
                <c:pt idx="1703">
                  <c:v>79</c:v>
                </c:pt>
                <c:pt idx="1704">
                  <c:v>56</c:v>
                </c:pt>
                <c:pt idx="1705">
                  <c:v>0</c:v>
                </c:pt>
                <c:pt idx="1706">
                  <c:v>77</c:v>
                </c:pt>
                <c:pt idx="1707">
                  <c:v>43</c:v>
                </c:pt>
                <c:pt idx="1708">
                  <c:v>50</c:v>
                </c:pt>
                <c:pt idx="1709">
                  <c:v>75</c:v>
                </c:pt>
                <c:pt idx="1710">
                  <c:v>15</c:v>
                </c:pt>
                <c:pt idx="1711">
                  <c:v>6</c:v>
                </c:pt>
                <c:pt idx="1712">
                  <c:v>54</c:v>
                </c:pt>
                <c:pt idx="1713">
                  <c:v>43</c:v>
                </c:pt>
                <c:pt idx="1714">
                  <c:v>47</c:v>
                </c:pt>
                <c:pt idx="1715">
                  <c:v>30</c:v>
                </c:pt>
                <c:pt idx="1716">
                  <c:v>25</c:v>
                </c:pt>
                <c:pt idx="1717">
                  <c:v>50</c:v>
                </c:pt>
                <c:pt idx="1718">
                  <c:v>36</c:v>
                </c:pt>
                <c:pt idx="1719">
                  <c:v>15</c:v>
                </c:pt>
                <c:pt idx="1720">
                  <c:v>29</c:v>
                </c:pt>
                <c:pt idx="1721">
                  <c:v>17</c:v>
                </c:pt>
                <c:pt idx="1722">
                  <c:v>69</c:v>
                </c:pt>
                <c:pt idx="1723">
                  <c:v>76</c:v>
                </c:pt>
                <c:pt idx="1724">
                  <c:v>22</c:v>
                </c:pt>
                <c:pt idx="1725">
                  <c:v>79</c:v>
                </c:pt>
                <c:pt idx="1726">
                  <c:v>54</c:v>
                </c:pt>
                <c:pt idx="1727">
                  <c:v>14</c:v>
                </c:pt>
                <c:pt idx="1728">
                  <c:v>55</c:v>
                </c:pt>
                <c:pt idx="1729">
                  <c:v>65</c:v>
                </c:pt>
                <c:pt idx="1730">
                  <c:v>56</c:v>
                </c:pt>
                <c:pt idx="1731">
                  <c:v>20</c:v>
                </c:pt>
                <c:pt idx="1732">
                  <c:v>37</c:v>
                </c:pt>
                <c:pt idx="1733">
                  <c:v>17</c:v>
                </c:pt>
                <c:pt idx="1734">
                  <c:v>50</c:v>
                </c:pt>
                <c:pt idx="1735">
                  <c:v>22</c:v>
                </c:pt>
                <c:pt idx="1736">
                  <c:v>43</c:v>
                </c:pt>
                <c:pt idx="1737">
                  <c:v>26</c:v>
                </c:pt>
                <c:pt idx="1738">
                  <c:v>57</c:v>
                </c:pt>
                <c:pt idx="1739">
                  <c:v>12</c:v>
                </c:pt>
                <c:pt idx="1740">
                  <c:v>26</c:v>
                </c:pt>
                <c:pt idx="1741">
                  <c:v>19</c:v>
                </c:pt>
                <c:pt idx="1742">
                  <c:v>42</c:v>
                </c:pt>
                <c:pt idx="1743">
                  <c:v>50</c:v>
                </c:pt>
                <c:pt idx="1744">
                  <c:v>71</c:v>
                </c:pt>
                <c:pt idx="1745">
                  <c:v>32</c:v>
                </c:pt>
                <c:pt idx="1746">
                  <c:v>65</c:v>
                </c:pt>
                <c:pt idx="1747">
                  <c:v>16</c:v>
                </c:pt>
                <c:pt idx="1748">
                  <c:v>4</c:v>
                </c:pt>
                <c:pt idx="1749">
                  <c:v>69</c:v>
                </c:pt>
                <c:pt idx="1750">
                  <c:v>46</c:v>
                </c:pt>
                <c:pt idx="1751">
                  <c:v>10</c:v>
                </c:pt>
                <c:pt idx="1752">
                  <c:v>79</c:v>
                </c:pt>
                <c:pt idx="1753">
                  <c:v>78</c:v>
                </c:pt>
                <c:pt idx="1754">
                  <c:v>63</c:v>
                </c:pt>
                <c:pt idx="1755">
                  <c:v>56</c:v>
                </c:pt>
                <c:pt idx="1756">
                  <c:v>19</c:v>
                </c:pt>
                <c:pt idx="1757">
                  <c:v>77</c:v>
                </c:pt>
                <c:pt idx="1758">
                  <c:v>25</c:v>
                </c:pt>
                <c:pt idx="1759">
                  <c:v>11</c:v>
                </c:pt>
                <c:pt idx="1760">
                  <c:v>6</c:v>
                </c:pt>
                <c:pt idx="1761">
                  <c:v>40</c:v>
                </c:pt>
                <c:pt idx="1762">
                  <c:v>37</c:v>
                </c:pt>
                <c:pt idx="1763">
                  <c:v>69</c:v>
                </c:pt>
                <c:pt idx="1764">
                  <c:v>50</c:v>
                </c:pt>
                <c:pt idx="1765">
                  <c:v>29</c:v>
                </c:pt>
                <c:pt idx="1766">
                  <c:v>19</c:v>
                </c:pt>
                <c:pt idx="1767">
                  <c:v>30</c:v>
                </c:pt>
                <c:pt idx="1768">
                  <c:v>73</c:v>
                </c:pt>
                <c:pt idx="1769">
                  <c:v>8</c:v>
                </c:pt>
                <c:pt idx="1770">
                  <c:v>63</c:v>
                </c:pt>
                <c:pt idx="1771">
                  <c:v>59</c:v>
                </c:pt>
                <c:pt idx="1772">
                  <c:v>13</c:v>
                </c:pt>
                <c:pt idx="1773">
                  <c:v>57</c:v>
                </c:pt>
                <c:pt idx="1774">
                  <c:v>32</c:v>
                </c:pt>
                <c:pt idx="1775">
                  <c:v>27</c:v>
                </c:pt>
                <c:pt idx="1776">
                  <c:v>76</c:v>
                </c:pt>
                <c:pt idx="1777">
                  <c:v>73</c:v>
                </c:pt>
                <c:pt idx="1778">
                  <c:v>20</c:v>
                </c:pt>
                <c:pt idx="1779">
                  <c:v>48</c:v>
                </c:pt>
                <c:pt idx="1780">
                  <c:v>13</c:v>
                </c:pt>
                <c:pt idx="1781">
                  <c:v>24</c:v>
                </c:pt>
                <c:pt idx="1782">
                  <c:v>20</c:v>
                </c:pt>
                <c:pt idx="1783">
                  <c:v>6</c:v>
                </c:pt>
                <c:pt idx="1784">
                  <c:v>9</c:v>
                </c:pt>
                <c:pt idx="1785">
                  <c:v>44</c:v>
                </c:pt>
                <c:pt idx="1786">
                  <c:v>68</c:v>
                </c:pt>
                <c:pt idx="1787">
                  <c:v>65</c:v>
                </c:pt>
                <c:pt idx="1788">
                  <c:v>34</c:v>
                </c:pt>
                <c:pt idx="1789">
                  <c:v>79</c:v>
                </c:pt>
                <c:pt idx="1790">
                  <c:v>26</c:v>
                </c:pt>
                <c:pt idx="1791">
                  <c:v>19</c:v>
                </c:pt>
                <c:pt idx="1792">
                  <c:v>40</c:v>
                </c:pt>
                <c:pt idx="1793">
                  <c:v>55</c:v>
                </c:pt>
                <c:pt idx="1794">
                  <c:v>46</c:v>
                </c:pt>
                <c:pt idx="1795">
                  <c:v>20</c:v>
                </c:pt>
                <c:pt idx="1796">
                  <c:v>48</c:v>
                </c:pt>
                <c:pt idx="1797">
                  <c:v>9</c:v>
                </c:pt>
                <c:pt idx="1798">
                  <c:v>18</c:v>
                </c:pt>
                <c:pt idx="1799">
                  <c:v>9</c:v>
                </c:pt>
                <c:pt idx="1800">
                  <c:v>3</c:v>
                </c:pt>
                <c:pt idx="1801">
                  <c:v>41</c:v>
                </c:pt>
                <c:pt idx="1802">
                  <c:v>40</c:v>
                </c:pt>
                <c:pt idx="1803">
                  <c:v>10</c:v>
                </c:pt>
                <c:pt idx="1804">
                  <c:v>2</c:v>
                </c:pt>
                <c:pt idx="1805">
                  <c:v>28</c:v>
                </c:pt>
                <c:pt idx="1806">
                  <c:v>18</c:v>
                </c:pt>
                <c:pt idx="1807">
                  <c:v>79</c:v>
                </c:pt>
                <c:pt idx="1808">
                  <c:v>63</c:v>
                </c:pt>
                <c:pt idx="1809">
                  <c:v>17</c:v>
                </c:pt>
                <c:pt idx="1810">
                  <c:v>12</c:v>
                </c:pt>
                <c:pt idx="1811">
                  <c:v>80</c:v>
                </c:pt>
                <c:pt idx="1812">
                  <c:v>29</c:v>
                </c:pt>
                <c:pt idx="1813">
                  <c:v>11</c:v>
                </c:pt>
                <c:pt idx="1814">
                  <c:v>18</c:v>
                </c:pt>
                <c:pt idx="1815">
                  <c:v>60</c:v>
                </c:pt>
                <c:pt idx="1816">
                  <c:v>51</c:v>
                </c:pt>
                <c:pt idx="1817">
                  <c:v>7</c:v>
                </c:pt>
                <c:pt idx="1818">
                  <c:v>8</c:v>
                </c:pt>
                <c:pt idx="1819">
                  <c:v>61</c:v>
                </c:pt>
                <c:pt idx="1820">
                  <c:v>68</c:v>
                </c:pt>
                <c:pt idx="1821">
                  <c:v>63</c:v>
                </c:pt>
                <c:pt idx="1822">
                  <c:v>62</c:v>
                </c:pt>
                <c:pt idx="1823">
                  <c:v>33</c:v>
                </c:pt>
                <c:pt idx="1824">
                  <c:v>77</c:v>
                </c:pt>
                <c:pt idx="1825">
                  <c:v>37</c:v>
                </c:pt>
                <c:pt idx="1826">
                  <c:v>31</c:v>
                </c:pt>
                <c:pt idx="1827">
                  <c:v>71</c:v>
                </c:pt>
                <c:pt idx="1828">
                  <c:v>9</c:v>
                </c:pt>
                <c:pt idx="1829">
                  <c:v>64</c:v>
                </c:pt>
                <c:pt idx="1830">
                  <c:v>13</c:v>
                </c:pt>
                <c:pt idx="1831">
                  <c:v>56</c:v>
                </c:pt>
                <c:pt idx="1832">
                  <c:v>38</c:v>
                </c:pt>
                <c:pt idx="1833">
                  <c:v>53</c:v>
                </c:pt>
                <c:pt idx="1834">
                  <c:v>49</c:v>
                </c:pt>
                <c:pt idx="1835">
                  <c:v>15</c:v>
                </c:pt>
                <c:pt idx="1836">
                  <c:v>67</c:v>
                </c:pt>
                <c:pt idx="1837">
                  <c:v>16</c:v>
                </c:pt>
                <c:pt idx="1838">
                  <c:v>41</c:v>
                </c:pt>
                <c:pt idx="1839">
                  <c:v>18</c:v>
                </c:pt>
                <c:pt idx="1840">
                  <c:v>78</c:v>
                </c:pt>
                <c:pt idx="1841">
                  <c:v>68</c:v>
                </c:pt>
                <c:pt idx="1842">
                  <c:v>40</c:v>
                </c:pt>
                <c:pt idx="1843">
                  <c:v>16</c:v>
                </c:pt>
                <c:pt idx="1844">
                  <c:v>73</c:v>
                </c:pt>
                <c:pt idx="1845">
                  <c:v>55</c:v>
                </c:pt>
                <c:pt idx="1846">
                  <c:v>8</c:v>
                </c:pt>
                <c:pt idx="1847">
                  <c:v>77</c:v>
                </c:pt>
                <c:pt idx="1848">
                  <c:v>7</c:v>
                </c:pt>
                <c:pt idx="1849">
                  <c:v>54</c:v>
                </c:pt>
                <c:pt idx="1850">
                  <c:v>4</c:v>
                </c:pt>
                <c:pt idx="1851">
                  <c:v>53</c:v>
                </c:pt>
                <c:pt idx="1852">
                  <c:v>58</c:v>
                </c:pt>
                <c:pt idx="1853">
                  <c:v>40</c:v>
                </c:pt>
                <c:pt idx="1854">
                  <c:v>28</c:v>
                </c:pt>
                <c:pt idx="1855">
                  <c:v>37</c:v>
                </c:pt>
                <c:pt idx="1856">
                  <c:v>17</c:v>
                </c:pt>
                <c:pt idx="1857">
                  <c:v>57</c:v>
                </c:pt>
                <c:pt idx="1858">
                  <c:v>78</c:v>
                </c:pt>
                <c:pt idx="1859">
                  <c:v>50</c:v>
                </c:pt>
                <c:pt idx="1860">
                  <c:v>15</c:v>
                </c:pt>
                <c:pt idx="1861">
                  <c:v>0</c:v>
                </c:pt>
                <c:pt idx="1862">
                  <c:v>22</c:v>
                </c:pt>
                <c:pt idx="1863">
                  <c:v>42</c:v>
                </c:pt>
                <c:pt idx="1864">
                  <c:v>2</c:v>
                </c:pt>
                <c:pt idx="1865">
                  <c:v>61</c:v>
                </c:pt>
                <c:pt idx="1866">
                  <c:v>5</c:v>
                </c:pt>
                <c:pt idx="1867">
                  <c:v>58</c:v>
                </c:pt>
                <c:pt idx="1868">
                  <c:v>15</c:v>
                </c:pt>
                <c:pt idx="1869">
                  <c:v>60</c:v>
                </c:pt>
                <c:pt idx="1870">
                  <c:v>17</c:v>
                </c:pt>
                <c:pt idx="1871">
                  <c:v>69</c:v>
                </c:pt>
                <c:pt idx="1872">
                  <c:v>70</c:v>
                </c:pt>
                <c:pt idx="1873">
                  <c:v>11</c:v>
                </c:pt>
                <c:pt idx="1874">
                  <c:v>53</c:v>
                </c:pt>
                <c:pt idx="1875">
                  <c:v>8</c:v>
                </c:pt>
                <c:pt idx="1876">
                  <c:v>52</c:v>
                </c:pt>
                <c:pt idx="1877">
                  <c:v>24</c:v>
                </c:pt>
                <c:pt idx="1878">
                  <c:v>43</c:v>
                </c:pt>
                <c:pt idx="1879">
                  <c:v>27</c:v>
                </c:pt>
                <c:pt idx="1880">
                  <c:v>72</c:v>
                </c:pt>
                <c:pt idx="1881">
                  <c:v>17</c:v>
                </c:pt>
                <c:pt idx="1882">
                  <c:v>12</c:v>
                </c:pt>
                <c:pt idx="1883">
                  <c:v>7</c:v>
                </c:pt>
                <c:pt idx="1884">
                  <c:v>38</c:v>
                </c:pt>
                <c:pt idx="1885">
                  <c:v>73</c:v>
                </c:pt>
                <c:pt idx="1886">
                  <c:v>6</c:v>
                </c:pt>
                <c:pt idx="1887">
                  <c:v>46</c:v>
                </c:pt>
                <c:pt idx="1888">
                  <c:v>57</c:v>
                </c:pt>
                <c:pt idx="1889">
                  <c:v>75</c:v>
                </c:pt>
                <c:pt idx="1890">
                  <c:v>64</c:v>
                </c:pt>
                <c:pt idx="1891">
                  <c:v>62</c:v>
                </c:pt>
                <c:pt idx="1892">
                  <c:v>2</c:v>
                </c:pt>
                <c:pt idx="1893">
                  <c:v>7</c:v>
                </c:pt>
                <c:pt idx="1894">
                  <c:v>62</c:v>
                </c:pt>
                <c:pt idx="1895">
                  <c:v>1</c:v>
                </c:pt>
                <c:pt idx="1896">
                  <c:v>67</c:v>
                </c:pt>
                <c:pt idx="1897">
                  <c:v>65</c:v>
                </c:pt>
                <c:pt idx="1898">
                  <c:v>54</c:v>
                </c:pt>
                <c:pt idx="1899">
                  <c:v>66</c:v>
                </c:pt>
                <c:pt idx="1900">
                  <c:v>9</c:v>
                </c:pt>
                <c:pt idx="1901">
                  <c:v>66</c:v>
                </c:pt>
                <c:pt idx="1902">
                  <c:v>54</c:v>
                </c:pt>
                <c:pt idx="1903">
                  <c:v>15</c:v>
                </c:pt>
                <c:pt idx="1904">
                  <c:v>80</c:v>
                </c:pt>
                <c:pt idx="1905">
                  <c:v>75</c:v>
                </c:pt>
                <c:pt idx="1906">
                  <c:v>70</c:v>
                </c:pt>
                <c:pt idx="1907">
                  <c:v>46</c:v>
                </c:pt>
                <c:pt idx="1908">
                  <c:v>30</c:v>
                </c:pt>
                <c:pt idx="1909">
                  <c:v>76</c:v>
                </c:pt>
                <c:pt idx="1910">
                  <c:v>66</c:v>
                </c:pt>
                <c:pt idx="1911">
                  <c:v>14</c:v>
                </c:pt>
                <c:pt idx="1912">
                  <c:v>19</c:v>
                </c:pt>
                <c:pt idx="1913">
                  <c:v>24</c:v>
                </c:pt>
                <c:pt idx="1914">
                  <c:v>1</c:v>
                </c:pt>
                <c:pt idx="1915">
                  <c:v>71</c:v>
                </c:pt>
                <c:pt idx="1916">
                  <c:v>6</c:v>
                </c:pt>
                <c:pt idx="1917">
                  <c:v>4</c:v>
                </c:pt>
                <c:pt idx="1918">
                  <c:v>68</c:v>
                </c:pt>
                <c:pt idx="1919">
                  <c:v>60</c:v>
                </c:pt>
                <c:pt idx="1920">
                  <c:v>16</c:v>
                </c:pt>
                <c:pt idx="1921">
                  <c:v>9</c:v>
                </c:pt>
                <c:pt idx="1922">
                  <c:v>58</c:v>
                </c:pt>
                <c:pt idx="1923">
                  <c:v>17</c:v>
                </c:pt>
                <c:pt idx="1924">
                  <c:v>28</c:v>
                </c:pt>
                <c:pt idx="1925">
                  <c:v>62</c:v>
                </c:pt>
                <c:pt idx="1926">
                  <c:v>14</c:v>
                </c:pt>
                <c:pt idx="1927">
                  <c:v>29</c:v>
                </c:pt>
                <c:pt idx="1928">
                  <c:v>48</c:v>
                </c:pt>
                <c:pt idx="1929">
                  <c:v>20</c:v>
                </c:pt>
                <c:pt idx="1930">
                  <c:v>43</c:v>
                </c:pt>
                <c:pt idx="1931">
                  <c:v>43</c:v>
                </c:pt>
                <c:pt idx="1932">
                  <c:v>62</c:v>
                </c:pt>
                <c:pt idx="1933">
                  <c:v>29</c:v>
                </c:pt>
                <c:pt idx="1934">
                  <c:v>69</c:v>
                </c:pt>
                <c:pt idx="1935">
                  <c:v>2</c:v>
                </c:pt>
                <c:pt idx="1936">
                  <c:v>31</c:v>
                </c:pt>
                <c:pt idx="1937">
                  <c:v>48</c:v>
                </c:pt>
                <c:pt idx="1938">
                  <c:v>71</c:v>
                </c:pt>
                <c:pt idx="1939">
                  <c:v>61</c:v>
                </c:pt>
                <c:pt idx="1940">
                  <c:v>38</c:v>
                </c:pt>
                <c:pt idx="1941">
                  <c:v>56</c:v>
                </c:pt>
                <c:pt idx="1942">
                  <c:v>25</c:v>
                </c:pt>
                <c:pt idx="1943">
                  <c:v>7</c:v>
                </c:pt>
                <c:pt idx="1944">
                  <c:v>64</c:v>
                </c:pt>
                <c:pt idx="1945">
                  <c:v>48</c:v>
                </c:pt>
                <c:pt idx="1946">
                  <c:v>50</c:v>
                </c:pt>
                <c:pt idx="1947">
                  <c:v>13</c:v>
                </c:pt>
                <c:pt idx="1948">
                  <c:v>14</c:v>
                </c:pt>
                <c:pt idx="1949">
                  <c:v>6</c:v>
                </c:pt>
                <c:pt idx="1950">
                  <c:v>70</c:v>
                </c:pt>
                <c:pt idx="1951">
                  <c:v>17</c:v>
                </c:pt>
                <c:pt idx="1952">
                  <c:v>67</c:v>
                </c:pt>
                <c:pt idx="1953">
                  <c:v>37</c:v>
                </c:pt>
                <c:pt idx="1954">
                  <c:v>0</c:v>
                </c:pt>
                <c:pt idx="1955">
                  <c:v>13</c:v>
                </c:pt>
                <c:pt idx="1956">
                  <c:v>12</c:v>
                </c:pt>
                <c:pt idx="1957">
                  <c:v>48</c:v>
                </c:pt>
                <c:pt idx="1958">
                  <c:v>35</c:v>
                </c:pt>
                <c:pt idx="1959">
                  <c:v>59</c:v>
                </c:pt>
                <c:pt idx="1960">
                  <c:v>32</c:v>
                </c:pt>
                <c:pt idx="1961">
                  <c:v>22</c:v>
                </c:pt>
                <c:pt idx="1962">
                  <c:v>54</c:v>
                </c:pt>
                <c:pt idx="1963">
                  <c:v>59</c:v>
                </c:pt>
                <c:pt idx="1964">
                  <c:v>9</c:v>
                </c:pt>
                <c:pt idx="1965">
                  <c:v>53</c:v>
                </c:pt>
                <c:pt idx="1966">
                  <c:v>19</c:v>
                </c:pt>
                <c:pt idx="1967">
                  <c:v>44</c:v>
                </c:pt>
                <c:pt idx="1968">
                  <c:v>60</c:v>
                </c:pt>
                <c:pt idx="1969">
                  <c:v>35</c:v>
                </c:pt>
                <c:pt idx="1970">
                  <c:v>58</c:v>
                </c:pt>
                <c:pt idx="1971">
                  <c:v>46</c:v>
                </c:pt>
                <c:pt idx="1972">
                  <c:v>64</c:v>
                </c:pt>
                <c:pt idx="1973">
                  <c:v>74</c:v>
                </c:pt>
                <c:pt idx="1974">
                  <c:v>35</c:v>
                </c:pt>
                <c:pt idx="1975">
                  <c:v>67</c:v>
                </c:pt>
                <c:pt idx="1976">
                  <c:v>71</c:v>
                </c:pt>
                <c:pt idx="1977">
                  <c:v>42</c:v>
                </c:pt>
                <c:pt idx="1978">
                  <c:v>61</c:v>
                </c:pt>
                <c:pt idx="1979">
                  <c:v>27</c:v>
                </c:pt>
                <c:pt idx="1980">
                  <c:v>80</c:v>
                </c:pt>
                <c:pt idx="1981">
                  <c:v>21</c:v>
                </c:pt>
                <c:pt idx="1982">
                  <c:v>47</c:v>
                </c:pt>
                <c:pt idx="1983">
                  <c:v>51</c:v>
                </c:pt>
                <c:pt idx="1984">
                  <c:v>30</c:v>
                </c:pt>
                <c:pt idx="1985">
                  <c:v>36</c:v>
                </c:pt>
                <c:pt idx="1986">
                  <c:v>33</c:v>
                </c:pt>
                <c:pt idx="1987">
                  <c:v>14</c:v>
                </c:pt>
                <c:pt idx="1988">
                  <c:v>61</c:v>
                </c:pt>
                <c:pt idx="1989">
                  <c:v>37</c:v>
                </c:pt>
                <c:pt idx="1990">
                  <c:v>20</c:v>
                </c:pt>
                <c:pt idx="1991">
                  <c:v>32</c:v>
                </c:pt>
                <c:pt idx="1992">
                  <c:v>70</c:v>
                </c:pt>
                <c:pt idx="1993">
                  <c:v>50</c:v>
                </c:pt>
                <c:pt idx="1994">
                  <c:v>5</c:v>
                </c:pt>
                <c:pt idx="1995">
                  <c:v>42</c:v>
                </c:pt>
                <c:pt idx="1996">
                  <c:v>53</c:v>
                </c:pt>
                <c:pt idx="1997">
                  <c:v>47</c:v>
                </c:pt>
                <c:pt idx="1998">
                  <c:v>39</c:v>
                </c:pt>
                <c:pt idx="1999">
                  <c:v>10</c:v>
                </c:pt>
              </c:numCache>
            </c:numRef>
          </c:xVal>
          <c:yVal>
            <c:numRef>
              <c:f>CustomerSubscriptions!$I$2:$I$2001</c:f>
              <c:numCache>
                <c:formatCode>General</c:formatCode>
                <c:ptCount val="2000"/>
                <c:pt idx="0">
                  <c:v>8</c:v>
                </c:pt>
                <c:pt idx="1">
                  <c:v>2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6</c:v>
                </c:pt>
                <c:pt idx="10">
                  <c:v>8</c:v>
                </c:pt>
                <c:pt idx="11">
                  <c:v>5</c:v>
                </c:pt>
                <c:pt idx="12">
                  <c:v>1</c:v>
                </c:pt>
                <c:pt idx="13">
                  <c:v>10</c:v>
                </c:pt>
                <c:pt idx="14">
                  <c:v>6</c:v>
                </c:pt>
                <c:pt idx="15">
                  <c:v>7</c:v>
                </c:pt>
                <c:pt idx="16">
                  <c:v>3</c:v>
                </c:pt>
                <c:pt idx="17">
                  <c:v>10</c:v>
                </c:pt>
                <c:pt idx="18">
                  <c:v>3</c:v>
                </c:pt>
                <c:pt idx="19">
                  <c:v>10</c:v>
                </c:pt>
                <c:pt idx="20">
                  <c:v>10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  <c:pt idx="26">
                  <c:v>8</c:v>
                </c:pt>
                <c:pt idx="27">
                  <c:v>7</c:v>
                </c:pt>
                <c:pt idx="28">
                  <c:v>1</c:v>
                </c:pt>
                <c:pt idx="29">
                  <c:v>7</c:v>
                </c:pt>
                <c:pt idx="30">
                  <c:v>5</c:v>
                </c:pt>
                <c:pt idx="31">
                  <c:v>7</c:v>
                </c:pt>
                <c:pt idx="32">
                  <c:v>4</c:v>
                </c:pt>
                <c:pt idx="33">
                  <c:v>8</c:v>
                </c:pt>
                <c:pt idx="34">
                  <c:v>5</c:v>
                </c:pt>
                <c:pt idx="35">
                  <c:v>3</c:v>
                </c:pt>
                <c:pt idx="36">
                  <c:v>4</c:v>
                </c:pt>
                <c:pt idx="37">
                  <c:v>6</c:v>
                </c:pt>
                <c:pt idx="38">
                  <c:v>3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10</c:v>
                </c:pt>
                <c:pt idx="43">
                  <c:v>1</c:v>
                </c:pt>
                <c:pt idx="44">
                  <c:v>6</c:v>
                </c:pt>
                <c:pt idx="45">
                  <c:v>3</c:v>
                </c:pt>
                <c:pt idx="46">
                  <c:v>2</c:v>
                </c:pt>
                <c:pt idx="47">
                  <c:v>5</c:v>
                </c:pt>
                <c:pt idx="48">
                  <c:v>3</c:v>
                </c:pt>
                <c:pt idx="49">
                  <c:v>5</c:v>
                </c:pt>
                <c:pt idx="50">
                  <c:v>4</c:v>
                </c:pt>
                <c:pt idx="51">
                  <c:v>8</c:v>
                </c:pt>
                <c:pt idx="52">
                  <c:v>6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  <c:pt idx="57">
                  <c:v>10</c:v>
                </c:pt>
                <c:pt idx="58">
                  <c:v>2</c:v>
                </c:pt>
                <c:pt idx="59">
                  <c:v>3</c:v>
                </c:pt>
                <c:pt idx="60">
                  <c:v>6</c:v>
                </c:pt>
                <c:pt idx="61">
                  <c:v>10</c:v>
                </c:pt>
                <c:pt idx="62">
                  <c:v>2</c:v>
                </c:pt>
                <c:pt idx="63">
                  <c:v>7</c:v>
                </c:pt>
                <c:pt idx="64">
                  <c:v>6</c:v>
                </c:pt>
                <c:pt idx="65">
                  <c:v>10</c:v>
                </c:pt>
                <c:pt idx="66">
                  <c:v>4</c:v>
                </c:pt>
                <c:pt idx="67">
                  <c:v>9</c:v>
                </c:pt>
                <c:pt idx="68">
                  <c:v>8</c:v>
                </c:pt>
                <c:pt idx="69">
                  <c:v>9</c:v>
                </c:pt>
                <c:pt idx="70">
                  <c:v>6</c:v>
                </c:pt>
                <c:pt idx="71">
                  <c:v>9</c:v>
                </c:pt>
                <c:pt idx="72">
                  <c:v>6</c:v>
                </c:pt>
                <c:pt idx="73">
                  <c:v>9</c:v>
                </c:pt>
                <c:pt idx="74">
                  <c:v>6</c:v>
                </c:pt>
                <c:pt idx="75">
                  <c:v>8</c:v>
                </c:pt>
                <c:pt idx="76">
                  <c:v>6</c:v>
                </c:pt>
                <c:pt idx="77">
                  <c:v>8</c:v>
                </c:pt>
                <c:pt idx="78">
                  <c:v>6</c:v>
                </c:pt>
                <c:pt idx="79">
                  <c:v>5</c:v>
                </c:pt>
                <c:pt idx="80">
                  <c:v>6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8</c:v>
                </c:pt>
                <c:pt idx="85">
                  <c:v>4</c:v>
                </c:pt>
                <c:pt idx="86">
                  <c:v>4</c:v>
                </c:pt>
                <c:pt idx="87">
                  <c:v>8</c:v>
                </c:pt>
                <c:pt idx="88">
                  <c:v>7</c:v>
                </c:pt>
                <c:pt idx="89">
                  <c:v>3</c:v>
                </c:pt>
                <c:pt idx="90">
                  <c:v>8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1</c:v>
                </c:pt>
                <c:pt idx="95">
                  <c:v>6</c:v>
                </c:pt>
                <c:pt idx="96">
                  <c:v>4</c:v>
                </c:pt>
                <c:pt idx="97">
                  <c:v>5</c:v>
                </c:pt>
                <c:pt idx="98">
                  <c:v>9</c:v>
                </c:pt>
                <c:pt idx="99">
                  <c:v>1</c:v>
                </c:pt>
                <c:pt idx="100">
                  <c:v>9</c:v>
                </c:pt>
                <c:pt idx="101">
                  <c:v>8</c:v>
                </c:pt>
                <c:pt idx="102">
                  <c:v>6</c:v>
                </c:pt>
                <c:pt idx="103">
                  <c:v>3</c:v>
                </c:pt>
                <c:pt idx="104">
                  <c:v>2</c:v>
                </c:pt>
                <c:pt idx="105">
                  <c:v>9</c:v>
                </c:pt>
                <c:pt idx="106">
                  <c:v>10</c:v>
                </c:pt>
                <c:pt idx="107">
                  <c:v>5</c:v>
                </c:pt>
                <c:pt idx="108">
                  <c:v>8</c:v>
                </c:pt>
                <c:pt idx="109">
                  <c:v>2</c:v>
                </c:pt>
                <c:pt idx="110">
                  <c:v>6</c:v>
                </c:pt>
                <c:pt idx="111">
                  <c:v>4</c:v>
                </c:pt>
                <c:pt idx="112">
                  <c:v>5</c:v>
                </c:pt>
                <c:pt idx="113">
                  <c:v>9</c:v>
                </c:pt>
                <c:pt idx="114">
                  <c:v>9</c:v>
                </c:pt>
                <c:pt idx="115">
                  <c:v>3</c:v>
                </c:pt>
                <c:pt idx="116">
                  <c:v>1</c:v>
                </c:pt>
                <c:pt idx="117">
                  <c:v>10</c:v>
                </c:pt>
                <c:pt idx="118">
                  <c:v>8</c:v>
                </c:pt>
                <c:pt idx="119">
                  <c:v>2</c:v>
                </c:pt>
                <c:pt idx="120">
                  <c:v>2</c:v>
                </c:pt>
                <c:pt idx="121">
                  <c:v>5</c:v>
                </c:pt>
                <c:pt idx="122">
                  <c:v>9</c:v>
                </c:pt>
                <c:pt idx="123">
                  <c:v>9</c:v>
                </c:pt>
                <c:pt idx="124">
                  <c:v>1</c:v>
                </c:pt>
                <c:pt idx="125">
                  <c:v>6</c:v>
                </c:pt>
                <c:pt idx="126">
                  <c:v>7</c:v>
                </c:pt>
                <c:pt idx="127">
                  <c:v>6</c:v>
                </c:pt>
                <c:pt idx="128">
                  <c:v>2</c:v>
                </c:pt>
                <c:pt idx="129">
                  <c:v>7</c:v>
                </c:pt>
                <c:pt idx="130">
                  <c:v>3</c:v>
                </c:pt>
                <c:pt idx="131">
                  <c:v>2</c:v>
                </c:pt>
                <c:pt idx="132">
                  <c:v>5</c:v>
                </c:pt>
                <c:pt idx="133">
                  <c:v>7</c:v>
                </c:pt>
                <c:pt idx="134">
                  <c:v>8</c:v>
                </c:pt>
                <c:pt idx="135">
                  <c:v>9</c:v>
                </c:pt>
                <c:pt idx="136">
                  <c:v>5</c:v>
                </c:pt>
                <c:pt idx="137">
                  <c:v>5</c:v>
                </c:pt>
                <c:pt idx="138">
                  <c:v>3</c:v>
                </c:pt>
                <c:pt idx="139">
                  <c:v>8</c:v>
                </c:pt>
                <c:pt idx="140">
                  <c:v>8</c:v>
                </c:pt>
                <c:pt idx="141">
                  <c:v>6</c:v>
                </c:pt>
                <c:pt idx="142">
                  <c:v>3</c:v>
                </c:pt>
                <c:pt idx="143">
                  <c:v>6</c:v>
                </c:pt>
                <c:pt idx="144">
                  <c:v>2</c:v>
                </c:pt>
                <c:pt idx="145">
                  <c:v>7</c:v>
                </c:pt>
                <c:pt idx="146">
                  <c:v>8</c:v>
                </c:pt>
                <c:pt idx="147">
                  <c:v>8</c:v>
                </c:pt>
                <c:pt idx="148">
                  <c:v>7</c:v>
                </c:pt>
                <c:pt idx="149">
                  <c:v>6</c:v>
                </c:pt>
                <c:pt idx="150">
                  <c:v>4</c:v>
                </c:pt>
                <c:pt idx="151">
                  <c:v>9</c:v>
                </c:pt>
                <c:pt idx="152">
                  <c:v>9</c:v>
                </c:pt>
                <c:pt idx="153">
                  <c:v>10</c:v>
                </c:pt>
                <c:pt idx="154">
                  <c:v>4</c:v>
                </c:pt>
                <c:pt idx="155">
                  <c:v>5</c:v>
                </c:pt>
                <c:pt idx="156">
                  <c:v>10</c:v>
                </c:pt>
                <c:pt idx="157">
                  <c:v>7</c:v>
                </c:pt>
                <c:pt idx="158">
                  <c:v>5</c:v>
                </c:pt>
                <c:pt idx="159">
                  <c:v>3</c:v>
                </c:pt>
                <c:pt idx="160">
                  <c:v>4</c:v>
                </c:pt>
                <c:pt idx="161">
                  <c:v>7</c:v>
                </c:pt>
                <c:pt idx="162">
                  <c:v>6</c:v>
                </c:pt>
                <c:pt idx="163">
                  <c:v>4</c:v>
                </c:pt>
                <c:pt idx="164">
                  <c:v>5</c:v>
                </c:pt>
                <c:pt idx="165">
                  <c:v>10</c:v>
                </c:pt>
                <c:pt idx="166">
                  <c:v>7</c:v>
                </c:pt>
                <c:pt idx="167">
                  <c:v>10</c:v>
                </c:pt>
                <c:pt idx="168">
                  <c:v>4</c:v>
                </c:pt>
                <c:pt idx="169">
                  <c:v>4</c:v>
                </c:pt>
                <c:pt idx="170">
                  <c:v>1</c:v>
                </c:pt>
                <c:pt idx="171">
                  <c:v>4</c:v>
                </c:pt>
                <c:pt idx="172">
                  <c:v>5</c:v>
                </c:pt>
                <c:pt idx="173">
                  <c:v>10</c:v>
                </c:pt>
                <c:pt idx="174">
                  <c:v>10</c:v>
                </c:pt>
                <c:pt idx="175">
                  <c:v>6</c:v>
                </c:pt>
                <c:pt idx="176">
                  <c:v>8</c:v>
                </c:pt>
                <c:pt idx="177">
                  <c:v>2</c:v>
                </c:pt>
                <c:pt idx="178">
                  <c:v>4</c:v>
                </c:pt>
                <c:pt idx="179">
                  <c:v>1</c:v>
                </c:pt>
                <c:pt idx="180">
                  <c:v>6</c:v>
                </c:pt>
                <c:pt idx="181">
                  <c:v>8</c:v>
                </c:pt>
                <c:pt idx="182">
                  <c:v>2</c:v>
                </c:pt>
                <c:pt idx="183">
                  <c:v>10</c:v>
                </c:pt>
                <c:pt idx="184">
                  <c:v>1</c:v>
                </c:pt>
                <c:pt idx="185">
                  <c:v>8</c:v>
                </c:pt>
                <c:pt idx="186">
                  <c:v>8</c:v>
                </c:pt>
                <c:pt idx="187">
                  <c:v>5</c:v>
                </c:pt>
                <c:pt idx="188">
                  <c:v>6</c:v>
                </c:pt>
                <c:pt idx="189">
                  <c:v>7</c:v>
                </c:pt>
                <c:pt idx="190">
                  <c:v>1</c:v>
                </c:pt>
                <c:pt idx="191">
                  <c:v>3</c:v>
                </c:pt>
                <c:pt idx="192">
                  <c:v>7</c:v>
                </c:pt>
                <c:pt idx="193">
                  <c:v>4</c:v>
                </c:pt>
                <c:pt idx="194">
                  <c:v>6</c:v>
                </c:pt>
                <c:pt idx="195">
                  <c:v>10</c:v>
                </c:pt>
                <c:pt idx="196">
                  <c:v>9</c:v>
                </c:pt>
                <c:pt idx="197">
                  <c:v>7</c:v>
                </c:pt>
                <c:pt idx="198">
                  <c:v>6</c:v>
                </c:pt>
                <c:pt idx="199">
                  <c:v>9</c:v>
                </c:pt>
                <c:pt idx="200">
                  <c:v>3</c:v>
                </c:pt>
                <c:pt idx="201">
                  <c:v>1</c:v>
                </c:pt>
                <c:pt idx="202">
                  <c:v>8</c:v>
                </c:pt>
                <c:pt idx="203">
                  <c:v>6</c:v>
                </c:pt>
                <c:pt idx="204">
                  <c:v>8</c:v>
                </c:pt>
                <c:pt idx="205">
                  <c:v>6</c:v>
                </c:pt>
                <c:pt idx="206">
                  <c:v>1</c:v>
                </c:pt>
                <c:pt idx="207">
                  <c:v>5</c:v>
                </c:pt>
                <c:pt idx="208">
                  <c:v>6</c:v>
                </c:pt>
                <c:pt idx="209">
                  <c:v>7</c:v>
                </c:pt>
                <c:pt idx="210">
                  <c:v>5</c:v>
                </c:pt>
                <c:pt idx="211">
                  <c:v>8</c:v>
                </c:pt>
                <c:pt idx="212">
                  <c:v>1</c:v>
                </c:pt>
                <c:pt idx="213">
                  <c:v>9</c:v>
                </c:pt>
                <c:pt idx="214">
                  <c:v>9</c:v>
                </c:pt>
                <c:pt idx="215">
                  <c:v>7</c:v>
                </c:pt>
                <c:pt idx="216">
                  <c:v>8</c:v>
                </c:pt>
                <c:pt idx="217">
                  <c:v>5</c:v>
                </c:pt>
                <c:pt idx="218">
                  <c:v>5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7</c:v>
                </c:pt>
                <c:pt idx="223">
                  <c:v>5</c:v>
                </c:pt>
                <c:pt idx="224">
                  <c:v>7</c:v>
                </c:pt>
                <c:pt idx="225">
                  <c:v>8</c:v>
                </c:pt>
                <c:pt idx="226">
                  <c:v>10</c:v>
                </c:pt>
                <c:pt idx="227">
                  <c:v>10</c:v>
                </c:pt>
                <c:pt idx="228">
                  <c:v>4</c:v>
                </c:pt>
                <c:pt idx="229">
                  <c:v>8</c:v>
                </c:pt>
                <c:pt idx="230">
                  <c:v>2</c:v>
                </c:pt>
                <c:pt idx="231">
                  <c:v>2</c:v>
                </c:pt>
                <c:pt idx="232">
                  <c:v>8</c:v>
                </c:pt>
                <c:pt idx="233">
                  <c:v>6</c:v>
                </c:pt>
                <c:pt idx="234">
                  <c:v>3</c:v>
                </c:pt>
                <c:pt idx="235">
                  <c:v>10</c:v>
                </c:pt>
                <c:pt idx="236">
                  <c:v>3</c:v>
                </c:pt>
                <c:pt idx="237">
                  <c:v>9</c:v>
                </c:pt>
                <c:pt idx="238">
                  <c:v>6</c:v>
                </c:pt>
                <c:pt idx="239">
                  <c:v>2</c:v>
                </c:pt>
                <c:pt idx="240">
                  <c:v>1</c:v>
                </c:pt>
                <c:pt idx="241">
                  <c:v>8</c:v>
                </c:pt>
                <c:pt idx="242">
                  <c:v>6</c:v>
                </c:pt>
                <c:pt idx="243">
                  <c:v>9</c:v>
                </c:pt>
                <c:pt idx="244">
                  <c:v>7</c:v>
                </c:pt>
                <c:pt idx="245">
                  <c:v>3</c:v>
                </c:pt>
                <c:pt idx="246">
                  <c:v>9</c:v>
                </c:pt>
                <c:pt idx="247">
                  <c:v>6</c:v>
                </c:pt>
                <c:pt idx="248">
                  <c:v>3</c:v>
                </c:pt>
                <c:pt idx="249">
                  <c:v>5</c:v>
                </c:pt>
                <c:pt idx="250">
                  <c:v>6</c:v>
                </c:pt>
                <c:pt idx="251">
                  <c:v>9</c:v>
                </c:pt>
                <c:pt idx="252">
                  <c:v>3</c:v>
                </c:pt>
                <c:pt idx="253">
                  <c:v>7</c:v>
                </c:pt>
                <c:pt idx="254">
                  <c:v>8</c:v>
                </c:pt>
                <c:pt idx="255">
                  <c:v>2</c:v>
                </c:pt>
                <c:pt idx="256">
                  <c:v>6</c:v>
                </c:pt>
                <c:pt idx="257">
                  <c:v>4</c:v>
                </c:pt>
                <c:pt idx="258">
                  <c:v>3</c:v>
                </c:pt>
                <c:pt idx="259">
                  <c:v>2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7</c:v>
                </c:pt>
                <c:pt idx="264">
                  <c:v>4</c:v>
                </c:pt>
                <c:pt idx="265">
                  <c:v>5</c:v>
                </c:pt>
                <c:pt idx="266">
                  <c:v>9</c:v>
                </c:pt>
                <c:pt idx="267">
                  <c:v>10</c:v>
                </c:pt>
                <c:pt idx="268">
                  <c:v>9</c:v>
                </c:pt>
                <c:pt idx="269">
                  <c:v>8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5</c:v>
                </c:pt>
                <c:pt idx="274">
                  <c:v>9</c:v>
                </c:pt>
                <c:pt idx="275">
                  <c:v>7</c:v>
                </c:pt>
                <c:pt idx="276">
                  <c:v>3</c:v>
                </c:pt>
                <c:pt idx="277">
                  <c:v>8</c:v>
                </c:pt>
                <c:pt idx="278">
                  <c:v>10</c:v>
                </c:pt>
                <c:pt idx="279">
                  <c:v>6</c:v>
                </c:pt>
                <c:pt idx="280">
                  <c:v>7</c:v>
                </c:pt>
                <c:pt idx="281">
                  <c:v>10</c:v>
                </c:pt>
                <c:pt idx="282">
                  <c:v>10</c:v>
                </c:pt>
                <c:pt idx="283">
                  <c:v>5</c:v>
                </c:pt>
                <c:pt idx="284">
                  <c:v>4</c:v>
                </c:pt>
                <c:pt idx="285">
                  <c:v>10</c:v>
                </c:pt>
                <c:pt idx="286">
                  <c:v>1</c:v>
                </c:pt>
                <c:pt idx="287">
                  <c:v>9</c:v>
                </c:pt>
                <c:pt idx="288">
                  <c:v>1</c:v>
                </c:pt>
                <c:pt idx="289">
                  <c:v>10</c:v>
                </c:pt>
                <c:pt idx="290">
                  <c:v>3</c:v>
                </c:pt>
                <c:pt idx="291">
                  <c:v>3</c:v>
                </c:pt>
                <c:pt idx="292">
                  <c:v>7</c:v>
                </c:pt>
                <c:pt idx="293">
                  <c:v>10</c:v>
                </c:pt>
                <c:pt idx="294">
                  <c:v>5</c:v>
                </c:pt>
                <c:pt idx="295">
                  <c:v>6</c:v>
                </c:pt>
                <c:pt idx="296">
                  <c:v>1</c:v>
                </c:pt>
                <c:pt idx="297">
                  <c:v>6</c:v>
                </c:pt>
                <c:pt idx="298">
                  <c:v>4</c:v>
                </c:pt>
                <c:pt idx="299">
                  <c:v>10</c:v>
                </c:pt>
                <c:pt idx="300">
                  <c:v>6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8</c:v>
                </c:pt>
                <c:pt idx="305">
                  <c:v>7</c:v>
                </c:pt>
                <c:pt idx="306">
                  <c:v>2</c:v>
                </c:pt>
                <c:pt idx="307">
                  <c:v>1</c:v>
                </c:pt>
                <c:pt idx="308">
                  <c:v>10</c:v>
                </c:pt>
                <c:pt idx="309">
                  <c:v>1</c:v>
                </c:pt>
                <c:pt idx="310">
                  <c:v>10</c:v>
                </c:pt>
                <c:pt idx="311">
                  <c:v>9</c:v>
                </c:pt>
                <c:pt idx="312">
                  <c:v>4</c:v>
                </c:pt>
                <c:pt idx="313">
                  <c:v>2</c:v>
                </c:pt>
                <c:pt idx="314">
                  <c:v>6</c:v>
                </c:pt>
                <c:pt idx="315">
                  <c:v>8</c:v>
                </c:pt>
                <c:pt idx="316">
                  <c:v>9</c:v>
                </c:pt>
                <c:pt idx="317">
                  <c:v>7</c:v>
                </c:pt>
                <c:pt idx="318">
                  <c:v>2</c:v>
                </c:pt>
                <c:pt idx="319">
                  <c:v>8</c:v>
                </c:pt>
                <c:pt idx="320">
                  <c:v>9</c:v>
                </c:pt>
                <c:pt idx="321">
                  <c:v>10</c:v>
                </c:pt>
                <c:pt idx="322">
                  <c:v>1</c:v>
                </c:pt>
                <c:pt idx="323">
                  <c:v>6</c:v>
                </c:pt>
                <c:pt idx="324">
                  <c:v>6</c:v>
                </c:pt>
                <c:pt idx="325">
                  <c:v>2</c:v>
                </c:pt>
                <c:pt idx="326">
                  <c:v>2</c:v>
                </c:pt>
                <c:pt idx="327">
                  <c:v>4</c:v>
                </c:pt>
                <c:pt idx="328">
                  <c:v>2</c:v>
                </c:pt>
                <c:pt idx="329">
                  <c:v>3</c:v>
                </c:pt>
                <c:pt idx="330">
                  <c:v>5</c:v>
                </c:pt>
                <c:pt idx="331">
                  <c:v>9</c:v>
                </c:pt>
                <c:pt idx="332">
                  <c:v>3</c:v>
                </c:pt>
                <c:pt idx="333">
                  <c:v>6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8</c:v>
                </c:pt>
                <c:pt idx="338">
                  <c:v>6</c:v>
                </c:pt>
                <c:pt idx="339">
                  <c:v>9</c:v>
                </c:pt>
                <c:pt idx="340">
                  <c:v>1</c:v>
                </c:pt>
                <c:pt idx="341">
                  <c:v>8</c:v>
                </c:pt>
                <c:pt idx="342">
                  <c:v>4</c:v>
                </c:pt>
                <c:pt idx="343">
                  <c:v>6</c:v>
                </c:pt>
                <c:pt idx="344">
                  <c:v>9</c:v>
                </c:pt>
                <c:pt idx="345">
                  <c:v>5</c:v>
                </c:pt>
                <c:pt idx="346">
                  <c:v>4</c:v>
                </c:pt>
                <c:pt idx="347">
                  <c:v>9</c:v>
                </c:pt>
                <c:pt idx="348">
                  <c:v>7</c:v>
                </c:pt>
                <c:pt idx="349">
                  <c:v>4</c:v>
                </c:pt>
                <c:pt idx="350">
                  <c:v>9</c:v>
                </c:pt>
                <c:pt idx="351">
                  <c:v>4</c:v>
                </c:pt>
                <c:pt idx="352">
                  <c:v>4</c:v>
                </c:pt>
                <c:pt idx="353">
                  <c:v>2</c:v>
                </c:pt>
                <c:pt idx="354">
                  <c:v>9</c:v>
                </c:pt>
                <c:pt idx="355">
                  <c:v>7</c:v>
                </c:pt>
                <c:pt idx="356">
                  <c:v>7</c:v>
                </c:pt>
                <c:pt idx="357">
                  <c:v>3</c:v>
                </c:pt>
                <c:pt idx="358">
                  <c:v>7</c:v>
                </c:pt>
                <c:pt idx="359">
                  <c:v>9</c:v>
                </c:pt>
                <c:pt idx="360">
                  <c:v>4</c:v>
                </c:pt>
                <c:pt idx="361">
                  <c:v>1</c:v>
                </c:pt>
                <c:pt idx="362">
                  <c:v>1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7</c:v>
                </c:pt>
                <c:pt idx="370">
                  <c:v>2</c:v>
                </c:pt>
                <c:pt idx="371">
                  <c:v>10</c:v>
                </c:pt>
                <c:pt idx="372">
                  <c:v>5</c:v>
                </c:pt>
                <c:pt idx="373">
                  <c:v>10</c:v>
                </c:pt>
                <c:pt idx="374">
                  <c:v>9</c:v>
                </c:pt>
                <c:pt idx="375">
                  <c:v>3</c:v>
                </c:pt>
                <c:pt idx="376">
                  <c:v>8</c:v>
                </c:pt>
                <c:pt idx="377">
                  <c:v>9</c:v>
                </c:pt>
                <c:pt idx="378">
                  <c:v>2</c:v>
                </c:pt>
                <c:pt idx="379">
                  <c:v>1</c:v>
                </c:pt>
                <c:pt idx="380">
                  <c:v>10</c:v>
                </c:pt>
                <c:pt idx="381">
                  <c:v>8</c:v>
                </c:pt>
                <c:pt idx="382">
                  <c:v>7</c:v>
                </c:pt>
                <c:pt idx="383">
                  <c:v>3</c:v>
                </c:pt>
                <c:pt idx="384">
                  <c:v>4</c:v>
                </c:pt>
                <c:pt idx="385">
                  <c:v>8</c:v>
                </c:pt>
                <c:pt idx="386">
                  <c:v>7</c:v>
                </c:pt>
                <c:pt idx="387">
                  <c:v>8</c:v>
                </c:pt>
                <c:pt idx="388">
                  <c:v>6</c:v>
                </c:pt>
                <c:pt idx="389">
                  <c:v>8</c:v>
                </c:pt>
                <c:pt idx="390">
                  <c:v>4</c:v>
                </c:pt>
                <c:pt idx="391">
                  <c:v>5</c:v>
                </c:pt>
                <c:pt idx="392">
                  <c:v>6</c:v>
                </c:pt>
                <c:pt idx="393">
                  <c:v>1</c:v>
                </c:pt>
                <c:pt idx="394">
                  <c:v>7</c:v>
                </c:pt>
                <c:pt idx="395">
                  <c:v>9</c:v>
                </c:pt>
                <c:pt idx="396">
                  <c:v>4</c:v>
                </c:pt>
                <c:pt idx="397">
                  <c:v>8</c:v>
                </c:pt>
                <c:pt idx="398">
                  <c:v>9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6</c:v>
                </c:pt>
                <c:pt idx="403">
                  <c:v>6</c:v>
                </c:pt>
                <c:pt idx="404">
                  <c:v>10</c:v>
                </c:pt>
                <c:pt idx="405">
                  <c:v>2</c:v>
                </c:pt>
                <c:pt idx="406">
                  <c:v>1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6</c:v>
                </c:pt>
                <c:pt idx="411">
                  <c:v>10</c:v>
                </c:pt>
                <c:pt idx="412">
                  <c:v>6</c:v>
                </c:pt>
                <c:pt idx="413">
                  <c:v>9</c:v>
                </c:pt>
                <c:pt idx="414">
                  <c:v>7</c:v>
                </c:pt>
                <c:pt idx="415">
                  <c:v>2</c:v>
                </c:pt>
                <c:pt idx="416">
                  <c:v>1</c:v>
                </c:pt>
                <c:pt idx="417">
                  <c:v>5</c:v>
                </c:pt>
                <c:pt idx="418">
                  <c:v>8</c:v>
                </c:pt>
                <c:pt idx="419">
                  <c:v>6</c:v>
                </c:pt>
                <c:pt idx="420">
                  <c:v>5</c:v>
                </c:pt>
                <c:pt idx="421">
                  <c:v>9</c:v>
                </c:pt>
                <c:pt idx="422">
                  <c:v>9</c:v>
                </c:pt>
                <c:pt idx="423">
                  <c:v>6</c:v>
                </c:pt>
                <c:pt idx="424">
                  <c:v>10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7</c:v>
                </c:pt>
                <c:pt idx="430">
                  <c:v>5</c:v>
                </c:pt>
                <c:pt idx="431">
                  <c:v>8</c:v>
                </c:pt>
                <c:pt idx="432">
                  <c:v>6</c:v>
                </c:pt>
                <c:pt idx="433">
                  <c:v>8</c:v>
                </c:pt>
                <c:pt idx="434">
                  <c:v>7</c:v>
                </c:pt>
                <c:pt idx="435">
                  <c:v>9</c:v>
                </c:pt>
                <c:pt idx="436">
                  <c:v>9</c:v>
                </c:pt>
                <c:pt idx="437">
                  <c:v>10</c:v>
                </c:pt>
                <c:pt idx="438">
                  <c:v>5</c:v>
                </c:pt>
                <c:pt idx="439">
                  <c:v>2</c:v>
                </c:pt>
                <c:pt idx="440">
                  <c:v>10</c:v>
                </c:pt>
                <c:pt idx="441">
                  <c:v>3</c:v>
                </c:pt>
                <c:pt idx="442">
                  <c:v>8</c:v>
                </c:pt>
                <c:pt idx="443">
                  <c:v>10</c:v>
                </c:pt>
                <c:pt idx="444">
                  <c:v>10</c:v>
                </c:pt>
                <c:pt idx="445">
                  <c:v>5</c:v>
                </c:pt>
                <c:pt idx="446">
                  <c:v>1</c:v>
                </c:pt>
                <c:pt idx="447">
                  <c:v>5</c:v>
                </c:pt>
                <c:pt idx="448">
                  <c:v>6</c:v>
                </c:pt>
                <c:pt idx="449">
                  <c:v>4</c:v>
                </c:pt>
                <c:pt idx="450">
                  <c:v>9</c:v>
                </c:pt>
                <c:pt idx="451">
                  <c:v>1</c:v>
                </c:pt>
                <c:pt idx="452">
                  <c:v>1</c:v>
                </c:pt>
                <c:pt idx="453">
                  <c:v>3</c:v>
                </c:pt>
                <c:pt idx="454">
                  <c:v>8</c:v>
                </c:pt>
                <c:pt idx="455">
                  <c:v>5</c:v>
                </c:pt>
                <c:pt idx="456">
                  <c:v>9</c:v>
                </c:pt>
                <c:pt idx="457">
                  <c:v>1</c:v>
                </c:pt>
                <c:pt idx="458">
                  <c:v>2</c:v>
                </c:pt>
                <c:pt idx="459">
                  <c:v>5</c:v>
                </c:pt>
                <c:pt idx="460">
                  <c:v>6</c:v>
                </c:pt>
                <c:pt idx="461">
                  <c:v>7</c:v>
                </c:pt>
                <c:pt idx="462">
                  <c:v>5</c:v>
                </c:pt>
                <c:pt idx="463">
                  <c:v>2</c:v>
                </c:pt>
                <c:pt idx="464">
                  <c:v>3</c:v>
                </c:pt>
                <c:pt idx="465">
                  <c:v>7</c:v>
                </c:pt>
                <c:pt idx="466">
                  <c:v>4</c:v>
                </c:pt>
                <c:pt idx="467">
                  <c:v>6</c:v>
                </c:pt>
                <c:pt idx="468">
                  <c:v>10</c:v>
                </c:pt>
                <c:pt idx="469">
                  <c:v>4</c:v>
                </c:pt>
                <c:pt idx="470">
                  <c:v>10</c:v>
                </c:pt>
                <c:pt idx="471">
                  <c:v>1</c:v>
                </c:pt>
                <c:pt idx="472">
                  <c:v>5</c:v>
                </c:pt>
                <c:pt idx="473">
                  <c:v>3</c:v>
                </c:pt>
                <c:pt idx="474">
                  <c:v>8</c:v>
                </c:pt>
                <c:pt idx="475">
                  <c:v>3</c:v>
                </c:pt>
                <c:pt idx="476">
                  <c:v>5</c:v>
                </c:pt>
                <c:pt idx="477">
                  <c:v>7</c:v>
                </c:pt>
                <c:pt idx="478">
                  <c:v>9</c:v>
                </c:pt>
                <c:pt idx="479">
                  <c:v>9</c:v>
                </c:pt>
                <c:pt idx="480">
                  <c:v>7</c:v>
                </c:pt>
                <c:pt idx="481">
                  <c:v>10</c:v>
                </c:pt>
                <c:pt idx="482">
                  <c:v>10</c:v>
                </c:pt>
                <c:pt idx="483">
                  <c:v>6</c:v>
                </c:pt>
                <c:pt idx="484">
                  <c:v>7</c:v>
                </c:pt>
                <c:pt idx="485">
                  <c:v>2</c:v>
                </c:pt>
                <c:pt idx="486">
                  <c:v>9</c:v>
                </c:pt>
                <c:pt idx="487">
                  <c:v>7</c:v>
                </c:pt>
                <c:pt idx="488">
                  <c:v>7</c:v>
                </c:pt>
                <c:pt idx="489">
                  <c:v>3</c:v>
                </c:pt>
                <c:pt idx="490">
                  <c:v>5</c:v>
                </c:pt>
                <c:pt idx="491">
                  <c:v>7</c:v>
                </c:pt>
                <c:pt idx="492">
                  <c:v>8</c:v>
                </c:pt>
                <c:pt idx="493">
                  <c:v>1</c:v>
                </c:pt>
                <c:pt idx="494">
                  <c:v>5</c:v>
                </c:pt>
                <c:pt idx="495">
                  <c:v>7</c:v>
                </c:pt>
                <c:pt idx="496">
                  <c:v>7</c:v>
                </c:pt>
                <c:pt idx="497">
                  <c:v>4</c:v>
                </c:pt>
                <c:pt idx="498">
                  <c:v>10</c:v>
                </c:pt>
                <c:pt idx="499">
                  <c:v>9</c:v>
                </c:pt>
                <c:pt idx="500">
                  <c:v>4</c:v>
                </c:pt>
                <c:pt idx="501">
                  <c:v>1</c:v>
                </c:pt>
                <c:pt idx="502">
                  <c:v>7</c:v>
                </c:pt>
                <c:pt idx="503">
                  <c:v>5</c:v>
                </c:pt>
                <c:pt idx="504">
                  <c:v>2</c:v>
                </c:pt>
                <c:pt idx="505">
                  <c:v>5</c:v>
                </c:pt>
                <c:pt idx="506">
                  <c:v>2</c:v>
                </c:pt>
                <c:pt idx="507">
                  <c:v>10</c:v>
                </c:pt>
                <c:pt idx="508">
                  <c:v>1</c:v>
                </c:pt>
                <c:pt idx="509">
                  <c:v>9</c:v>
                </c:pt>
                <c:pt idx="510">
                  <c:v>10</c:v>
                </c:pt>
                <c:pt idx="511">
                  <c:v>10</c:v>
                </c:pt>
                <c:pt idx="512">
                  <c:v>3</c:v>
                </c:pt>
                <c:pt idx="513">
                  <c:v>8</c:v>
                </c:pt>
                <c:pt idx="514">
                  <c:v>6</c:v>
                </c:pt>
                <c:pt idx="515">
                  <c:v>1</c:v>
                </c:pt>
                <c:pt idx="516">
                  <c:v>1</c:v>
                </c:pt>
                <c:pt idx="517">
                  <c:v>8</c:v>
                </c:pt>
                <c:pt idx="518">
                  <c:v>10</c:v>
                </c:pt>
                <c:pt idx="519">
                  <c:v>5</c:v>
                </c:pt>
                <c:pt idx="520">
                  <c:v>6</c:v>
                </c:pt>
                <c:pt idx="521">
                  <c:v>9</c:v>
                </c:pt>
                <c:pt idx="522">
                  <c:v>8</c:v>
                </c:pt>
                <c:pt idx="523">
                  <c:v>9</c:v>
                </c:pt>
                <c:pt idx="524">
                  <c:v>3</c:v>
                </c:pt>
                <c:pt idx="525">
                  <c:v>1</c:v>
                </c:pt>
                <c:pt idx="526">
                  <c:v>8</c:v>
                </c:pt>
                <c:pt idx="527">
                  <c:v>2</c:v>
                </c:pt>
                <c:pt idx="528">
                  <c:v>8</c:v>
                </c:pt>
                <c:pt idx="529">
                  <c:v>3</c:v>
                </c:pt>
                <c:pt idx="530">
                  <c:v>9</c:v>
                </c:pt>
                <c:pt idx="531">
                  <c:v>7</c:v>
                </c:pt>
                <c:pt idx="532">
                  <c:v>2</c:v>
                </c:pt>
                <c:pt idx="533">
                  <c:v>3</c:v>
                </c:pt>
                <c:pt idx="534">
                  <c:v>5</c:v>
                </c:pt>
                <c:pt idx="535">
                  <c:v>6</c:v>
                </c:pt>
                <c:pt idx="536">
                  <c:v>3</c:v>
                </c:pt>
                <c:pt idx="537">
                  <c:v>2</c:v>
                </c:pt>
                <c:pt idx="538">
                  <c:v>10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9</c:v>
                </c:pt>
                <c:pt idx="543">
                  <c:v>6</c:v>
                </c:pt>
                <c:pt idx="544">
                  <c:v>7</c:v>
                </c:pt>
                <c:pt idx="545">
                  <c:v>2</c:v>
                </c:pt>
                <c:pt idx="546">
                  <c:v>3</c:v>
                </c:pt>
                <c:pt idx="547">
                  <c:v>8</c:v>
                </c:pt>
                <c:pt idx="548">
                  <c:v>5</c:v>
                </c:pt>
                <c:pt idx="549">
                  <c:v>1</c:v>
                </c:pt>
                <c:pt idx="550">
                  <c:v>8</c:v>
                </c:pt>
                <c:pt idx="551">
                  <c:v>2</c:v>
                </c:pt>
                <c:pt idx="552">
                  <c:v>1</c:v>
                </c:pt>
                <c:pt idx="553">
                  <c:v>3</c:v>
                </c:pt>
                <c:pt idx="554">
                  <c:v>5</c:v>
                </c:pt>
                <c:pt idx="555">
                  <c:v>6</c:v>
                </c:pt>
                <c:pt idx="556">
                  <c:v>9</c:v>
                </c:pt>
                <c:pt idx="557">
                  <c:v>2</c:v>
                </c:pt>
                <c:pt idx="558">
                  <c:v>8</c:v>
                </c:pt>
                <c:pt idx="559">
                  <c:v>6</c:v>
                </c:pt>
                <c:pt idx="560">
                  <c:v>5</c:v>
                </c:pt>
                <c:pt idx="561">
                  <c:v>8</c:v>
                </c:pt>
                <c:pt idx="562">
                  <c:v>1</c:v>
                </c:pt>
                <c:pt idx="563">
                  <c:v>3</c:v>
                </c:pt>
                <c:pt idx="564">
                  <c:v>3</c:v>
                </c:pt>
                <c:pt idx="565">
                  <c:v>8</c:v>
                </c:pt>
                <c:pt idx="566">
                  <c:v>9</c:v>
                </c:pt>
                <c:pt idx="567">
                  <c:v>6</c:v>
                </c:pt>
                <c:pt idx="568">
                  <c:v>7</c:v>
                </c:pt>
                <c:pt idx="569">
                  <c:v>7</c:v>
                </c:pt>
                <c:pt idx="570">
                  <c:v>4</c:v>
                </c:pt>
                <c:pt idx="571">
                  <c:v>2</c:v>
                </c:pt>
                <c:pt idx="572">
                  <c:v>6</c:v>
                </c:pt>
                <c:pt idx="573">
                  <c:v>7</c:v>
                </c:pt>
                <c:pt idx="574">
                  <c:v>9</c:v>
                </c:pt>
                <c:pt idx="575">
                  <c:v>8</c:v>
                </c:pt>
                <c:pt idx="576">
                  <c:v>8</c:v>
                </c:pt>
                <c:pt idx="577">
                  <c:v>6</c:v>
                </c:pt>
                <c:pt idx="578">
                  <c:v>9</c:v>
                </c:pt>
                <c:pt idx="579">
                  <c:v>2</c:v>
                </c:pt>
                <c:pt idx="580">
                  <c:v>5</c:v>
                </c:pt>
                <c:pt idx="581">
                  <c:v>2</c:v>
                </c:pt>
                <c:pt idx="582">
                  <c:v>6</c:v>
                </c:pt>
                <c:pt idx="583">
                  <c:v>5</c:v>
                </c:pt>
                <c:pt idx="584">
                  <c:v>6</c:v>
                </c:pt>
                <c:pt idx="585">
                  <c:v>6</c:v>
                </c:pt>
                <c:pt idx="586">
                  <c:v>8</c:v>
                </c:pt>
                <c:pt idx="587">
                  <c:v>5</c:v>
                </c:pt>
                <c:pt idx="588">
                  <c:v>1</c:v>
                </c:pt>
                <c:pt idx="589">
                  <c:v>5</c:v>
                </c:pt>
                <c:pt idx="590">
                  <c:v>2</c:v>
                </c:pt>
                <c:pt idx="591">
                  <c:v>8</c:v>
                </c:pt>
                <c:pt idx="592">
                  <c:v>2</c:v>
                </c:pt>
                <c:pt idx="593">
                  <c:v>9</c:v>
                </c:pt>
                <c:pt idx="594">
                  <c:v>2</c:v>
                </c:pt>
                <c:pt idx="595">
                  <c:v>6</c:v>
                </c:pt>
                <c:pt idx="596">
                  <c:v>10</c:v>
                </c:pt>
                <c:pt idx="597">
                  <c:v>1</c:v>
                </c:pt>
                <c:pt idx="598">
                  <c:v>7</c:v>
                </c:pt>
                <c:pt idx="599">
                  <c:v>10</c:v>
                </c:pt>
                <c:pt idx="600">
                  <c:v>1</c:v>
                </c:pt>
                <c:pt idx="601">
                  <c:v>7</c:v>
                </c:pt>
                <c:pt idx="602">
                  <c:v>4</c:v>
                </c:pt>
                <c:pt idx="603">
                  <c:v>6</c:v>
                </c:pt>
                <c:pt idx="604">
                  <c:v>10</c:v>
                </c:pt>
                <c:pt idx="605">
                  <c:v>10</c:v>
                </c:pt>
                <c:pt idx="606">
                  <c:v>2</c:v>
                </c:pt>
                <c:pt idx="607">
                  <c:v>4</c:v>
                </c:pt>
                <c:pt idx="608">
                  <c:v>10</c:v>
                </c:pt>
                <c:pt idx="609">
                  <c:v>8</c:v>
                </c:pt>
                <c:pt idx="610">
                  <c:v>8</c:v>
                </c:pt>
                <c:pt idx="611">
                  <c:v>2</c:v>
                </c:pt>
                <c:pt idx="612">
                  <c:v>9</c:v>
                </c:pt>
                <c:pt idx="613">
                  <c:v>2</c:v>
                </c:pt>
                <c:pt idx="614">
                  <c:v>4</c:v>
                </c:pt>
                <c:pt idx="615">
                  <c:v>6</c:v>
                </c:pt>
                <c:pt idx="616">
                  <c:v>9</c:v>
                </c:pt>
                <c:pt idx="617">
                  <c:v>1</c:v>
                </c:pt>
                <c:pt idx="618">
                  <c:v>9</c:v>
                </c:pt>
                <c:pt idx="619">
                  <c:v>6</c:v>
                </c:pt>
                <c:pt idx="620">
                  <c:v>8</c:v>
                </c:pt>
                <c:pt idx="621">
                  <c:v>7</c:v>
                </c:pt>
                <c:pt idx="622">
                  <c:v>5</c:v>
                </c:pt>
                <c:pt idx="623">
                  <c:v>4</c:v>
                </c:pt>
                <c:pt idx="624">
                  <c:v>3</c:v>
                </c:pt>
                <c:pt idx="625">
                  <c:v>6</c:v>
                </c:pt>
                <c:pt idx="626">
                  <c:v>6</c:v>
                </c:pt>
                <c:pt idx="627">
                  <c:v>8</c:v>
                </c:pt>
                <c:pt idx="628">
                  <c:v>5</c:v>
                </c:pt>
                <c:pt idx="629">
                  <c:v>2</c:v>
                </c:pt>
                <c:pt idx="630">
                  <c:v>7</c:v>
                </c:pt>
                <c:pt idx="631">
                  <c:v>1</c:v>
                </c:pt>
                <c:pt idx="632">
                  <c:v>9</c:v>
                </c:pt>
                <c:pt idx="633">
                  <c:v>6</c:v>
                </c:pt>
                <c:pt idx="634">
                  <c:v>8</c:v>
                </c:pt>
                <c:pt idx="635">
                  <c:v>10</c:v>
                </c:pt>
                <c:pt idx="636">
                  <c:v>6</c:v>
                </c:pt>
                <c:pt idx="637">
                  <c:v>4</c:v>
                </c:pt>
                <c:pt idx="638">
                  <c:v>7</c:v>
                </c:pt>
                <c:pt idx="639">
                  <c:v>2</c:v>
                </c:pt>
                <c:pt idx="640">
                  <c:v>4</c:v>
                </c:pt>
                <c:pt idx="641">
                  <c:v>5</c:v>
                </c:pt>
                <c:pt idx="642">
                  <c:v>5</c:v>
                </c:pt>
                <c:pt idx="643">
                  <c:v>10</c:v>
                </c:pt>
                <c:pt idx="644">
                  <c:v>5</c:v>
                </c:pt>
                <c:pt idx="645">
                  <c:v>3</c:v>
                </c:pt>
                <c:pt idx="646">
                  <c:v>6</c:v>
                </c:pt>
                <c:pt idx="647">
                  <c:v>4</c:v>
                </c:pt>
                <c:pt idx="648">
                  <c:v>10</c:v>
                </c:pt>
                <c:pt idx="649">
                  <c:v>9</c:v>
                </c:pt>
                <c:pt idx="650">
                  <c:v>2</c:v>
                </c:pt>
                <c:pt idx="651">
                  <c:v>10</c:v>
                </c:pt>
                <c:pt idx="652">
                  <c:v>9</c:v>
                </c:pt>
                <c:pt idx="653">
                  <c:v>9</c:v>
                </c:pt>
                <c:pt idx="654">
                  <c:v>3</c:v>
                </c:pt>
                <c:pt idx="655">
                  <c:v>8</c:v>
                </c:pt>
                <c:pt idx="656">
                  <c:v>5</c:v>
                </c:pt>
                <c:pt idx="657">
                  <c:v>3</c:v>
                </c:pt>
                <c:pt idx="658">
                  <c:v>6</c:v>
                </c:pt>
                <c:pt idx="659">
                  <c:v>8</c:v>
                </c:pt>
                <c:pt idx="660">
                  <c:v>6</c:v>
                </c:pt>
                <c:pt idx="661">
                  <c:v>5</c:v>
                </c:pt>
                <c:pt idx="662">
                  <c:v>5</c:v>
                </c:pt>
                <c:pt idx="663">
                  <c:v>7</c:v>
                </c:pt>
                <c:pt idx="664">
                  <c:v>10</c:v>
                </c:pt>
                <c:pt idx="665">
                  <c:v>8</c:v>
                </c:pt>
                <c:pt idx="666">
                  <c:v>4</c:v>
                </c:pt>
                <c:pt idx="667">
                  <c:v>5</c:v>
                </c:pt>
                <c:pt idx="668">
                  <c:v>1</c:v>
                </c:pt>
                <c:pt idx="669">
                  <c:v>10</c:v>
                </c:pt>
                <c:pt idx="670">
                  <c:v>3</c:v>
                </c:pt>
                <c:pt idx="671">
                  <c:v>4</c:v>
                </c:pt>
                <c:pt idx="672">
                  <c:v>10</c:v>
                </c:pt>
                <c:pt idx="673">
                  <c:v>4</c:v>
                </c:pt>
                <c:pt idx="674">
                  <c:v>5</c:v>
                </c:pt>
                <c:pt idx="675">
                  <c:v>1</c:v>
                </c:pt>
                <c:pt idx="676">
                  <c:v>3</c:v>
                </c:pt>
                <c:pt idx="677">
                  <c:v>1</c:v>
                </c:pt>
                <c:pt idx="678">
                  <c:v>1</c:v>
                </c:pt>
                <c:pt idx="679">
                  <c:v>2</c:v>
                </c:pt>
                <c:pt idx="680">
                  <c:v>10</c:v>
                </c:pt>
                <c:pt idx="681">
                  <c:v>5</c:v>
                </c:pt>
                <c:pt idx="682">
                  <c:v>4</c:v>
                </c:pt>
                <c:pt idx="683">
                  <c:v>1</c:v>
                </c:pt>
                <c:pt idx="684">
                  <c:v>10</c:v>
                </c:pt>
                <c:pt idx="685">
                  <c:v>1</c:v>
                </c:pt>
                <c:pt idx="686">
                  <c:v>9</c:v>
                </c:pt>
                <c:pt idx="687">
                  <c:v>10</c:v>
                </c:pt>
                <c:pt idx="688">
                  <c:v>7</c:v>
                </c:pt>
                <c:pt idx="689">
                  <c:v>6</c:v>
                </c:pt>
                <c:pt idx="690">
                  <c:v>5</c:v>
                </c:pt>
                <c:pt idx="691">
                  <c:v>6</c:v>
                </c:pt>
                <c:pt idx="692">
                  <c:v>7</c:v>
                </c:pt>
                <c:pt idx="693">
                  <c:v>9</c:v>
                </c:pt>
                <c:pt idx="694">
                  <c:v>3</c:v>
                </c:pt>
                <c:pt idx="695">
                  <c:v>5</c:v>
                </c:pt>
                <c:pt idx="696">
                  <c:v>3</c:v>
                </c:pt>
                <c:pt idx="697">
                  <c:v>6</c:v>
                </c:pt>
                <c:pt idx="698">
                  <c:v>2</c:v>
                </c:pt>
                <c:pt idx="699">
                  <c:v>2</c:v>
                </c:pt>
                <c:pt idx="700">
                  <c:v>4</c:v>
                </c:pt>
                <c:pt idx="701">
                  <c:v>8</c:v>
                </c:pt>
                <c:pt idx="702">
                  <c:v>5</c:v>
                </c:pt>
                <c:pt idx="703">
                  <c:v>7</c:v>
                </c:pt>
                <c:pt idx="704">
                  <c:v>4</c:v>
                </c:pt>
                <c:pt idx="705">
                  <c:v>10</c:v>
                </c:pt>
                <c:pt idx="706">
                  <c:v>7</c:v>
                </c:pt>
                <c:pt idx="707">
                  <c:v>7</c:v>
                </c:pt>
                <c:pt idx="708">
                  <c:v>4</c:v>
                </c:pt>
                <c:pt idx="709">
                  <c:v>3</c:v>
                </c:pt>
                <c:pt idx="710">
                  <c:v>10</c:v>
                </c:pt>
                <c:pt idx="711">
                  <c:v>7</c:v>
                </c:pt>
                <c:pt idx="712">
                  <c:v>4</c:v>
                </c:pt>
                <c:pt idx="713">
                  <c:v>5</c:v>
                </c:pt>
                <c:pt idx="714">
                  <c:v>10</c:v>
                </c:pt>
                <c:pt idx="715">
                  <c:v>7</c:v>
                </c:pt>
                <c:pt idx="716">
                  <c:v>7</c:v>
                </c:pt>
                <c:pt idx="717">
                  <c:v>10</c:v>
                </c:pt>
                <c:pt idx="718">
                  <c:v>1</c:v>
                </c:pt>
                <c:pt idx="719">
                  <c:v>7</c:v>
                </c:pt>
                <c:pt idx="720">
                  <c:v>1</c:v>
                </c:pt>
                <c:pt idx="721">
                  <c:v>4</c:v>
                </c:pt>
                <c:pt idx="722">
                  <c:v>3</c:v>
                </c:pt>
                <c:pt idx="723">
                  <c:v>8</c:v>
                </c:pt>
                <c:pt idx="724">
                  <c:v>6</c:v>
                </c:pt>
                <c:pt idx="725">
                  <c:v>9</c:v>
                </c:pt>
                <c:pt idx="726">
                  <c:v>9</c:v>
                </c:pt>
                <c:pt idx="727">
                  <c:v>2</c:v>
                </c:pt>
                <c:pt idx="728">
                  <c:v>5</c:v>
                </c:pt>
                <c:pt idx="729">
                  <c:v>7</c:v>
                </c:pt>
                <c:pt idx="730">
                  <c:v>4</c:v>
                </c:pt>
                <c:pt idx="731">
                  <c:v>9</c:v>
                </c:pt>
                <c:pt idx="732">
                  <c:v>2</c:v>
                </c:pt>
                <c:pt idx="733">
                  <c:v>9</c:v>
                </c:pt>
                <c:pt idx="734">
                  <c:v>3</c:v>
                </c:pt>
                <c:pt idx="735">
                  <c:v>3</c:v>
                </c:pt>
                <c:pt idx="736">
                  <c:v>9</c:v>
                </c:pt>
                <c:pt idx="737">
                  <c:v>5</c:v>
                </c:pt>
                <c:pt idx="738">
                  <c:v>5</c:v>
                </c:pt>
                <c:pt idx="739">
                  <c:v>9</c:v>
                </c:pt>
                <c:pt idx="740">
                  <c:v>10</c:v>
                </c:pt>
                <c:pt idx="741">
                  <c:v>8</c:v>
                </c:pt>
                <c:pt idx="742">
                  <c:v>7</c:v>
                </c:pt>
                <c:pt idx="743">
                  <c:v>2</c:v>
                </c:pt>
                <c:pt idx="744">
                  <c:v>5</c:v>
                </c:pt>
                <c:pt idx="745">
                  <c:v>8</c:v>
                </c:pt>
                <c:pt idx="746">
                  <c:v>2</c:v>
                </c:pt>
                <c:pt idx="747">
                  <c:v>10</c:v>
                </c:pt>
                <c:pt idx="748">
                  <c:v>1</c:v>
                </c:pt>
                <c:pt idx="749">
                  <c:v>9</c:v>
                </c:pt>
                <c:pt idx="750">
                  <c:v>1</c:v>
                </c:pt>
                <c:pt idx="751">
                  <c:v>6</c:v>
                </c:pt>
                <c:pt idx="752">
                  <c:v>6</c:v>
                </c:pt>
                <c:pt idx="753">
                  <c:v>6</c:v>
                </c:pt>
                <c:pt idx="754">
                  <c:v>9</c:v>
                </c:pt>
                <c:pt idx="755">
                  <c:v>7</c:v>
                </c:pt>
                <c:pt idx="756">
                  <c:v>5</c:v>
                </c:pt>
                <c:pt idx="757">
                  <c:v>6</c:v>
                </c:pt>
                <c:pt idx="758">
                  <c:v>6</c:v>
                </c:pt>
                <c:pt idx="759">
                  <c:v>10</c:v>
                </c:pt>
                <c:pt idx="760">
                  <c:v>2</c:v>
                </c:pt>
                <c:pt idx="761">
                  <c:v>10</c:v>
                </c:pt>
                <c:pt idx="762">
                  <c:v>7</c:v>
                </c:pt>
                <c:pt idx="763">
                  <c:v>3</c:v>
                </c:pt>
                <c:pt idx="764">
                  <c:v>9</c:v>
                </c:pt>
                <c:pt idx="765">
                  <c:v>10</c:v>
                </c:pt>
                <c:pt idx="766">
                  <c:v>5</c:v>
                </c:pt>
                <c:pt idx="767">
                  <c:v>8</c:v>
                </c:pt>
                <c:pt idx="768">
                  <c:v>10</c:v>
                </c:pt>
                <c:pt idx="769">
                  <c:v>6</c:v>
                </c:pt>
                <c:pt idx="770">
                  <c:v>3</c:v>
                </c:pt>
                <c:pt idx="771">
                  <c:v>1</c:v>
                </c:pt>
                <c:pt idx="772">
                  <c:v>6</c:v>
                </c:pt>
                <c:pt idx="773">
                  <c:v>9</c:v>
                </c:pt>
                <c:pt idx="774">
                  <c:v>7</c:v>
                </c:pt>
                <c:pt idx="775">
                  <c:v>7</c:v>
                </c:pt>
                <c:pt idx="776">
                  <c:v>8</c:v>
                </c:pt>
                <c:pt idx="777">
                  <c:v>7</c:v>
                </c:pt>
                <c:pt idx="778">
                  <c:v>8</c:v>
                </c:pt>
                <c:pt idx="779">
                  <c:v>10</c:v>
                </c:pt>
                <c:pt idx="780">
                  <c:v>3</c:v>
                </c:pt>
                <c:pt idx="781">
                  <c:v>7</c:v>
                </c:pt>
                <c:pt idx="782">
                  <c:v>7</c:v>
                </c:pt>
                <c:pt idx="783">
                  <c:v>5</c:v>
                </c:pt>
                <c:pt idx="784">
                  <c:v>3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3</c:v>
                </c:pt>
                <c:pt idx="789">
                  <c:v>7</c:v>
                </c:pt>
                <c:pt idx="790">
                  <c:v>10</c:v>
                </c:pt>
                <c:pt idx="791">
                  <c:v>2</c:v>
                </c:pt>
                <c:pt idx="792">
                  <c:v>7</c:v>
                </c:pt>
                <c:pt idx="793">
                  <c:v>7</c:v>
                </c:pt>
                <c:pt idx="794">
                  <c:v>6</c:v>
                </c:pt>
                <c:pt idx="795">
                  <c:v>6</c:v>
                </c:pt>
                <c:pt idx="796">
                  <c:v>10</c:v>
                </c:pt>
                <c:pt idx="797">
                  <c:v>6</c:v>
                </c:pt>
                <c:pt idx="798">
                  <c:v>4</c:v>
                </c:pt>
                <c:pt idx="799">
                  <c:v>2</c:v>
                </c:pt>
                <c:pt idx="800">
                  <c:v>6</c:v>
                </c:pt>
                <c:pt idx="801">
                  <c:v>10</c:v>
                </c:pt>
                <c:pt idx="802">
                  <c:v>1</c:v>
                </c:pt>
                <c:pt idx="803">
                  <c:v>10</c:v>
                </c:pt>
                <c:pt idx="804">
                  <c:v>4</c:v>
                </c:pt>
                <c:pt idx="805">
                  <c:v>2</c:v>
                </c:pt>
                <c:pt idx="806">
                  <c:v>6</c:v>
                </c:pt>
                <c:pt idx="807">
                  <c:v>3</c:v>
                </c:pt>
                <c:pt idx="808">
                  <c:v>2</c:v>
                </c:pt>
                <c:pt idx="809">
                  <c:v>4</c:v>
                </c:pt>
                <c:pt idx="810">
                  <c:v>10</c:v>
                </c:pt>
                <c:pt idx="811">
                  <c:v>5</c:v>
                </c:pt>
                <c:pt idx="812">
                  <c:v>4</c:v>
                </c:pt>
                <c:pt idx="813">
                  <c:v>1</c:v>
                </c:pt>
                <c:pt idx="814">
                  <c:v>6</c:v>
                </c:pt>
                <c:pt idx="815">
                  <c:v>1</c:v>
                </c:pt>
                <c:pt idx="816">
                  <c:v>2</c:v>
                </c:pt>
                <c:pt idx="817">
                  <c:v>8</c:v>
                </c:pt>
                <c:pt idx="818">
                  <c:v>7</c:v>
                </c:pt>
                <c:pt idx="819">
                  <c:v>5</c:v>
                </c:pt>
                <c:pt idx="820">
                  <c:v>7</c:v>
                </c:pt>
                <c:pt idx="821">
                  <c:v>3</c:v>
                </c:pt>
                <c:pt idx="822">
                  <c:v>5</c:v>
                </c:pt>
                <c:pt idx="823">
                  <c:v>6</c:v>
                </c:pt>
                <c:pt idx="824">
                  <c:v>3</c:v>
                </c:pt>
                <c:pt idx="825">
                  <c:v>2</c:v>
                </c:pt>
                <c:pt idx="826">
                  <c:v>10</c:v>
                </c:pt>
                <c:pt idx="827">
                  <c:v>8</c:v>
                </c:pt>
                <c:pt idx="828">
                  <c:v>9</c:v>
                </c:pt>
                <c:pt idx="829">
                  <c:v>1</c:v>
                </c:pt>
                <c:pt idx="830">
                  <c:v>1</c:v>
                </c:pt>
                <c:pt idx="831">
                  <c:v>8</c:v>
                </c:pt>
                <c:pt idx="832">
                  <c:v>5</c:v>
                </c:pt>
                <c:pt idx="833">
                  <c:v>6</c:v>
                </c:pt>
                <c:pt idx="834">
                  <c:v>1</c:v>
                </c:pt>
                <c:pt idx="835">
                  <c:v>1</c:v>
                </c:pt>
                <c:pt idx="836">
                  <c:v>9</c:v>
                </c:pt>
                <c:pt idx="837">
                  <c:v>9</c:v>
                </c:pt>
                <c:pt idx="838">
                  <c:v>7</c:v>
                </c:pt>
                <c:pt idx="839">
                  <c:v>7</c:v>
                </c:pt>
                <c:pt idx="840">
                  <c:v>8</c:v>
                </c:pt>
                <c:pt idx="841">
                  <c:v>5</c:v>
                </c:pt>
                <c:pt idx="842">
                  <c:v>10</c:v>
                </c:pt>
                <c:pt idx="843">
                  <c:v>7</c:v>
                </c:pt>
                <c:pt idx="844">
                  <c:v>8</c:v>
                </c:pt>
                <c:pt idx="845">
                  <c:v>3</c:v>
                </c:pt>
                <c:pt idx="846">
                  <c:v>10</c:v>
                </c:pt>
                <c:pt idx="847">
                  <c:v>1</c:v>
                </c:pt>
                <c:pt idx="848">
                  <c:v>5</c:v>
                </c:pt>
                <c:pt idx="849">
                  <c:v>4</c:v>
                </c:pt>
                <c:pt idx="850">
                  <c:v>6</c:v>
                </c:pt>
                <c:pt idx="851">
                  <c:v>1</c:v>
                </c:pt>
                <c:pt idx="852">
                  <c:v>8</c:v>
                </c:pt>
                <c:pt idx="853">
                  <c:v>9</c:v>
                </c:pt>
                <c:pt idx="854">
                  <c:v>4</c:v>
                </c:pt>
                <c:pt idx="855">
                  <c:v>4</c:v>
                </c:pt>
                <c:pt idx="856">
                  <c:v>3</c:v>
                </c:pt>
                <c:pt idx="857">
                  <c:v>7</c:v>
                </c:pt>
                <c:pt idx="858">
                  <c:v>8</c:v>
                </c:pt>
                <c:pt idx="859">
                  <c:v>8</c:v>
                </c:pt>
                <c:pt idx="860">
                  <c:v>10</c:v>
                </c:pt>
                <c:pt idx="861">
                  <c:v>7</c:v>
                </c:pt>
                <c:pt idx="862">
                  <c:v>4</c:v>
                </c:pt>
                <c:pt idx="863">
                  <c:v>7</c:v>
                </c:pt>
                <c:pt idx="864">
                  <c:v>5</c:v>
                </c:pt>
                <c:pt idx="865">
                  <c:v>4</c:v>
                </c:pt>
                <c:pt idx="866">
                  <c:v>1</c:v>
                </c:pt>
                <c:pt idx="867">
                  <c:v>9</c:v>
                </c:pt>
                <c:pt idx="868">
                  <c:v>8</c:v>
                </c:pt>
                <c:pt idx="869">
                  <c:v>5</c:v>
                </c:pt>
                <c:pt idx="870">
                  <c:v>7</c:v>
                </c:pt>
                <c:pt idx="871">
                  <c:v>10</c:v>
                </c:pt>
                <c:pt idx="872">
                  <c:v>2</c:v>
                </c:pt>
                <c:pt idx="873">
                  <c:v>9</c:v>
                </c:pt>
                <c:pt idx="874">
                  <c:v>7</c:v>
                </c:pt>
                <c:pt idx="875">
                  <c:v>1</c:v>
                </c:pt>
                <c:pt idx="876">
                  <c:v>10</c:v>
                </c:pt>
                <c:pt idx="877">
                  <c:v>4</c:v>
                </c:pt>
                <c:pt idx="878">
                  <c:v>7</c:v>
                </c:pt>
                <c:pt idx="879">
                  <c:v>7</c:v>
                </c:pt>
                <c:pt idx="880">
                  <c:v>9</c:v>
                </c:pt>
                <c:pt idx="881">
                  <c:v>10</c:v>
                </c:pt>
                <c:pt idx="882">
                  <c:v>8</c:v>
                </c:pt>
                <c:pt idx="883">
                  <c:v>4</c:v>
                </c:pt>
                <c:pt idx="884">
                  <c:v>2</c:v>
                </c:pt>
                <c:pt idx="885">
                  <c:v>10</c:v>
                </c:pt>
                <c:pt idx="886">
                  <c:v>5</c:v>
                </c:pt>
                <c:pt idx="887">
                  <c:v>7</c:v>
                </c:pt>
                <c:pt idx="888">
                  <c:v>8</c:v>
                </c:pt>
                <c:pt idx="889">
                  <c:v>8</c:v>
                </c:pt>
                <c:pt idx="890">
                  <c:v>4</c:v>
                </c:pt>
                <c:pt idx="891">
                  <c:v>4</c:v>
                </c:pt>
                <c:pt idx="892">
                  <c:v>7</c:v>
                </c:pt>
                <c:pt idx="893">
                  <c:v>7</c:v>
                </c:pt>
                <c:pt idx="894">
                  <c:v>9</c:v>
                </c:pt>
                <c:pt idx="895">
                  <c:v>9</c:v>
                </c:pt>
                <c:pt idx="896">
                  <c:v>4</c:v>
                </c:pt>
                <c:pt idx="897">
                  <c:v>7</c:v>
                </c:pt>
                <c:pt idx="898">
                  <c:v>5</c:v>
                </c:pt>
                <c:pt idx="899">
                  <c:v>3</c:v>
                </c:pt>
                <c:pt idx="900">
                  <c:v>6</c:v>
                </c:pt>
                <c:pt idx="901">
                  <c:v>7</c:v>
                </c:pt>
                <c:pt idx="902">
                  <c:v>8</c:v>
                </c:pt>
                <c:pt idx="903">
                  <c:v>4</c:v>
                </c:pt>
                <c:pt idx="904">
                  <c:v>3</c:v>
                </c:pt>
                <c:pt idx="905">
                  <c:v>7</c:v>
                </c:pt>
                <c:pt idx="906">
                  <c:v>5</c:v>
                </c:pt>
                <c:pt idx="907">
                  <c:v>2</c:v>
                </c:pt>
                <c:pt idx="908">
                  <c:v>8</c:v>
                </c:pt>
                <c:pt idx="909">
                  <c:v>8</c:v>
                </c:pt>
                <c:pt idx="910">
                  <c:v>2</c:v>
                </c:pt>
                <c:pt idx="911">
                  <c:v>3</c:v>
                </c:pt>
                <c:pt idx="912">
                  <c:v>10</c:v>
                </c:pt>
                <c:pt idx="913">
                  <c:v>10</c:v>
                </c:pt>
                <c:pt idx="914">
                  <c:v>7</c:v>
                </c:pt>
                <c:pt idx="915">
                  <c:v>5</c:v>
                </c:pt>
                <c:pt idx="916">
                  <c:v>9</c:v>
                </c:pt>
                <c:pt idx="917">
                  <c:v>7</c:v>
                </c:pt>
                <c:pt idx="918">
                  <c:v>9</c:v>
                </c:pt>
                <c:pt idx="919">
                  <c:v>5</c:v>
                </c:pt>
                <c:pt idx="920">
                  <c:v>5</c:v>
                </c:pt>
                <c:pt idx="921">
                  <c:v>7</c:v>
                </c:pt>
                <c:pt idx="922">
                  <c:v>7</c:v>
                </c:pt>
                <c:pt idx="923">
                  <c:v>4</c:v>
                </c:pt>
                <c:pt idx="924">
                  <c:v>1</c:v>
                </c:pt>
                <c:pt idx="925">
                  <c:v>2</c:v>
                </c:pt>
                <c:pt idx="926">
                  <c:v>6</c:v>
                </c:pt>
                <c:pt idx="927">
                  <c:v>7</c:v>
                </c:pt>
                <c:pt idx="928">
                  <c:v>3</c:v>
                </c:pt>
                <c:pt idx="929">
                  <c:v>10</c:v>
                </c:pt>
                <c:pt idx="930">
                  <c:v>5</c:v>
                </c:pt>
                <c:pt idx="931">
                  <c:v>4</c:v>
                </c:pt>
                <c:pt idx="932">
                  <c:v>8</c:v>
                </c:pt>
                <c:pt idx="933">
                  <c:v>10</c:v>
                </c:pt>
                <c:pt idx="934">
                  <c:v>8</c:v>
                </c:pt>
                <c:pt idx="935">
                  <c:v>1</c:v>
                </c:pt>
                <c:pt idx="936">
                  <c:v>10</c:v>
                </c:pt>
                <c:pt idx="937">
                  <c:v>5</c:v>
                </c:pt>
                <c:pt idx="938">
                  <c:v>2</c:v>
                </c:pt>
                <c:pt idx="939">
                  <c:v>2</c:v>
                </c:pt>
                <c:pt idx="940">
                  <c:v>6</c:v>
                </c:pt>
                <c:pt idx="941">
                  <c:v>4</c:v>
                </c:pt>
                <c:pt idx="942">
                  <c:v>6</c:v>
                </c:pt>
                <c:pt idx="943">
                  <c:v>5</c:v>
                </c:pt>
                <c:pt idx="944">
                  <c:v>10</c:v>
                </c:pt>
                <c:pt idx="945">
                  <c:v>2</c:v>
                </c:pt>
                <c:pt idx="946">
                  <c:v>6</c:v>
                </c:pt>
                <c:pt idx="947">
                  <c:v>1</c:v>
                </c:pt>
                <c:pt idx="948">
                  <c:v>6</c:v>
                </c:pt>
                <c:pt idx="949">
                  <c:v>1</c:v>
                </c:pt>
                <c:pt idx="950">
                  <c:v>6</c:v>
                </c:pt>
                <c:pt idx="951">
                  <c:v>3</c:v>
                </c:pt>
                <c:pt idx="952">
                  <c:v>1</c:v>
                </c:pt>
                <c:pt idx="953">
                  <c:v>7</c:v>
                </c:pt>
                <c:pt idx="954">
                  <c:v>1</c:v>
                </c:pt>
                <c:pt idx="955">
                  <c:v>1</c:v>
                </c:pt>
                <c:pt idx="956">
                  <c:v>4</c:v>
                </c:pt>
                <c:pt idx="957">
                  <c:v>10</c:v>
                </c:pt>
                <c:pt idx="958">
                  <c:v>6</c:v>
                </c:pt>
                <c:pt idx="959">
                  <c:v>10</c:v>
                </c:pt>
                <c:pt idx="960">
                  <c:v>1</c:v>
                </c:pt>
                <c:pt idx="961">
                  <c:v>9</c:v>
                </c:pt>
                <c:pt idx="962">
                  <c:v>6</c:v>
                </c:pt>
                <c:pt idx="963">
                  <c:v>10</c:v>
                </c:pt>
                <c:pt idx="964">
                  <c:v>4</c:v>
                </c:pt>
                <c:pt idx="965">
                  <c:v>5</c:v>
                </c:pt>
                <c:pt idx="966">
                  <c:v>9</c:v>
                </c:pt>
                <c:pt idx="967">
                  <c:v>8</c:v>
                </c:pt>
                <c:pt idx="968">
                  <c:v>6</c:v>
                </c:pt>
                <c:pt idx="969">
                  <c:v>3</c:v>
                </c:pt>
                <c:pt idx="970">
                  <c:v>2</c:v>
                </c:pt>
                <c:pt idx="971">
                  <c:v>8</c:v>
                </c:pt>
                <c:pt idx="972">
                  <c:v>8</c:v>
                </c:pt>
                <c:pt idx="973">
                  <c:v>6</c:v>
                </c:pt>
                <c:pt idx="974">
                  <c:v>10</c:v>
                </c:pt>
                <c:pt idx="975">
                  <c:v>7</c:v>
                </c:pt>
                <c:pt idx="976">
                  <c:v>2</c:v>
                </c:pt>
                <c:pt idx="977">
                  <c:v>7</c:v>
                </c:pt>
                <c:pt idx="978">
                  <c:v>3</c:v>
                </c:pt>
                <c:pt idx="979">
                  <c:v>3</c:v>
                </c:pt>
                <c:pt idx="980">
                  <c:v>5</c:v>
                </c:pt>
                <c:pt idx="981">
                  <c:v>1</c:v>
                </c:pt>
                <c:pt idx="982">
                  <c:v>1</c:v>
                </c:pt>
                <c:pt idx="983">
                  <c:v>9</c:v>
                </c:pt>
                <c:pt idx="984">
                  <c:v>7</c:v>
                </c:pt>
                <c:pt idx="985">
                  <c:v>6</c:v>
                </c:pt>
                <c:pt idx="986">
                  <c:v>2</c:v>
                </c:pt>
                <c:pt idx="987">
                  <c:v>7</c:v>
                </c:pt>
                <c:pt idx="988">
                  <c:v>2</c:v>
                </c:pt>
                <c:pt idx="989">
                  <c:v>7</c:v>
                </c:pt>
                <c:pt idx="990">
                  <c:v>2</c:v>
                </c:pt>
                <c:pt idx="991">
                  <c:v>4</c:v>
                </c:pt>
                <c:pt idx="992">
                  <c:v>9</c:v>
                </c:pt>
                <c:pt idx="993">
                  <c:v>3</c:v>
                </c:pt>
                <c:pt idx="994">
                  <c:v>8</c:v>
                </c:pt>
                <c:pt idx="995">
                  <c:v>1</c:v>
                </c:pt>
                <c:pt idx="996">
                  <c:v>5</c:v>
                </c:pt>
                <c:pt idx="997">
                  <c:v>2</c:v>
                </c:pt>
                <c:pt idx="998">
                  <c:v>4</c:v>
                </c:pt>
                <c:pt idx="999">
                  <c:v>2</c:v>
                </c:pt>
                <c:pt idx="1000">
                  <c:v>7</c:v>
                </c:pt>
                <c:pt idx="1001">
                  <c:v>2</c:v>
                </c:pt>
                <c:pt idx="1002">
                  <c:v>2</c:v>
                </c:pt>
                <c:pt idx="1003">
                  <c:v>7</c:v>
                </c:pt>
                <c:pt idx="1004">
                  <c:v>7</c:v>
                </c:pt>
                <c:pt idx="1005">
                  <c:v>4</c:v>
                </c:pt>
                <c:pt idx="1006">
                  <c:v>6</c:v>
                </c:pt>
                <c:pt idx="1007">
                  <c:v>10</c:v>
                </c:pt>
                <c:pt idx="1008">
                  <c:v>10</c:v>
                </c:pt>
                <c:pt idx="1009">
                  <c:v>7</c:v>
                </c:pt>
                <c:pt idx="1010">
                  <c:v>4</c:v>
                </c:pt>
                <c:pt idx="1011">
                  <c:v>1</c:v>
                </c:pt>
                <c:pt idx="1012">
                  <c:v>6</c:v>
                </c:pt>
                <c:pt idx="1013">
                  <c:v>1</c:v>
                </c:pt>
                <c:pt idx="1014">
                  <c:v>3</c:v>
                </c:pt>
                <c:pt idx="1015">
                  <c:v>10</c:v>
                </c:pt>
                <c:pt idx="1016">
                  <c:v>6</c:v>
                </c:pt>
                <c:pt idx="1017">
                  <c:v>9</c:v>
                </c:pt>
                <c:pt idx="1018">
                  <c:v>7</c:v>
                </c:pt>
                <c:pt idx="1019">
                  <c:v>10</c:v>
                </c:pt>
                <c:pt idx="1020">
                  <c:v>5</c:v>
                </c:pt>
                <c:pt idx="1021">
                  <c:v>6</c:v>
                </c:pt>
                <c:pt idx="1022">
                  <c:v>5</c:v>
                </c:pt>
                <c:pt idx="1023">
                  <c:v>5</c:v>
                </c:pt>
                <c:pt idx="1024">
                  <c:v>10</c:v>
                </c:pt>
                <c:pt idx="1025">
                  <c:v>8</c:v>
                </c:pt>
                <c:pt idx="1026">
                  <c:v>1</c:v>
                </c:pt>
                <c:pt idx="1027">
                  <c:v>3</c:v>
                </c:pt>
                <c:pt idx="1028">
                  <c:v>8</c:v>
                </c:pt>
                <c:pt idx="1029">
                  <c:v>1</c:v>
                </c:pt>
                <c:pt idx="1030">
                  <c:v>9</c:v>
                </c:pt>
                <c:pt idx="1031">
                  <c:v>9</c:v>
                </c:pt>
                <c:pt idx="1032">
                  <c:v>8</c:v>
                </c:pt>
                <c:pt idx="1033">
                  <c:v>7</c:v>
                </c:pt>
                <c:pt idx="1034">
                  <c:v>9</c:v>
                </c:pt>
                <c:pt idx="1035">
                  <c:v>10</c:v>
                </c:pt>
                <c:pt idx="1036">
                  <c:v>2</c:v>
                </c:pt>
                <c:pt idx="1037">
                  <c:v>1</c:v>
                </c:pt>
                <c:pt idx="1038">
                  <c:v>5</c:v>
                </c:pt>
                <c:pt idx="1039">
                  <c:v>9</c:v>
                </c:pt>
                <c:pt idx="1040">
                  <c:v>7</c:v>
                </c:pt>
                <c:pt idx="1041">
                  <c:v>7</c:v>
                </c:pt>
                <c:pt idx="1042">
                  <c:v>3</c:v>
                </c:pt>
                <c:pt idx="1043">
                  <c:v>10</c:v>
                </c:pt>
                <c:pt idx="1044">
                  <c:v>5</c:v>
                </c:pt>
                <c:pt idx="1045">
                  <c:v>8</c:v>
                </c:pt>
                <c:pt idx="1046">
                  <c:v>10</c:v>
                </c:pt>
                <c:pt idx="1047">
                  <c:v>3</c:v>
                </c:pt>
                <c:pt idx="1048">
                  <c:v>2</c:v>
                </c:pt>
                <c:pt idx="1049">
                  <c:v>3</c:v>
                </c:pt>
                <c:pt idx="1050">
                  <c:v>10</c:v>
                </c:pt>
                <c:pt idx="1051">
                  <c:v>3</c:v>
                </c:pt>
                <c:pt idx="1052">
                  <c:v>10</c:v>
                </c:pt>
                <c:pt idx="1053">
                  <c:v>7</c:v>
                </c:pt>
                <c:pt idx="1054">
                  <c:v>6</c:v>
                </c:pt>
                <c:pt idx="1055">
                  <c:v>2</c:v>
                </c:pt>
                <c:pt idx="1056">
                  <c:v>10</c:v>
                </c:pt>
                <c:pt idx="1057">
                  <c:v>6</c:v>
                </c:pt>
                <c:pt idx="1058">
                  <c:v>2</c:v>
                </c:pt>
                <c:pt idx="1059">
                  <c:v>2</c:v>
                </c:pt>
                <c:pt idx="1060">
                  <c:v>6</c:v>
                </c:pt>
                <c:pt idx="1061">
                  <c:v>5</c:v>
                </c:pt>
                <c:pt idx="1062">
                  <c:v>2</c:v>
                </c:pt>
                <c:pt idx="1063">
                  <c:v>6</c:v>
                </c:pt>
                <c:pt idx="1064">
                  <c:v>2</c:v>
                </c:pt>
                <c:pt idx="1065">
                  <c:v>4</c:v>
                </c:pt>
                <c:pt idx="1066">
                  <c:v>4</c:v>
                </c:pt>
                <c:pt idx="1067">
                  <c:v>8</c:v>
                </c:pt>
                <c:pt idx="1068">
                  <c:v>4</c:v>
                </c:pt>
                <c:pt idx="1069">
                  <c:v>7</c:v>
                </c:pt>
                <c:pt idx="1070">
                  <c:v>1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6</c:v>
                </c:pt>
                <c:pt idx="1075">
                  <c:v>6</c:v>
                </c:pt>
                <c:pt idx="1076">
                  <c:v>9</c:v>
                </c:pt>
                <c:pt idx="1077">
                  <c:v>6</c:v>
                </c:pt>
                <c:pt idx="1078">
                  <c:v>6</c:v>
                </c:pt>
                <c:pt idx="1079">
                  <c:v>2</c:v>
                </c:pt>
                <c:pt idx="1080">
                  <c:v>4</c:v>
                </c:pt>
                <c:pt idx="1081">
                  <c:v>8</c:v>
                </c:pt>
                <c:pt idx="1082">
                  <c:v>7</c:v>
                </c:pt>
                <c:pt idx="1083">
                  <c:v>3</c:v>
                </c:pt>
                <c:pt idx="1084">
                  <c:v>8</c:v>
                </c:pt>
                <c:pt idx="1085">
                  <c:v>3</c:v>
                </c:pt>
                <c:pt idx="1086">
                  <c:v>7</c:v>
                </c:pt>
                <c:pt idx="1087">
                  <c:v>5</c:v>
                </c:pt>
                <c:pt idx="1088">
                  <c:v>9</c:v>
                </c:pt>
                <c:pt idx="1089">
                  <c:v>7</c:v>
                </c:pt>
                <c:pt idx="1090">
                  <c:v>3</c:v>
                </c:pt>
                <c:pt idx="1091">
                  <c:v>9</c:v>
                </c:pt>
                <c:pt idx="1092">
                  <c:v>8</c:v>
                </c:pt>
                <c:pt idx="1093">
                  <c:v>4</c:v>
                </c:pt>
                <c:pt idx="1094">
                  <c:v>7</c:v>
                </c:pt>
                <c:pt idx="1095">
                  <c:v>1</c:v>
                </c:pt>
                <c:pt idx="1096">
                  <c:v>4</c:v>
                </c:pt>
                <c:pt idx="1097">
                  <c:v>5</c:v>
                </c:pt>
                <c:pt idx="1098">
                  <c:v>6</c:v>
                </c:pt>
                <c:pt idx="1099">
                  <c:v>3</c:v>
                </c:pt>
                <c:pt idx="1100">
                  <c:v>3</c:v>
                </c:pt>
                <c:pt idx="1101">
                  <c:v>9</c:v>
                </c:pt>
                <c:pt idx="1102">
                  <c:v>1</c:v>
                </c:pt>
                <c:pt idx="1103">
                  <c:v>2</c:v>
                </c:pt>
                <c:pt idx="1104">
                  <c:v>10</c:v>
                </c:pt>
                <c:pt idx="1105">
                  <c:v>6</c:v>
                </c:pt>
                <c:pt idx="1106">
                  <c:v>7</c:v>
                </c:pt>
                <c:pt idx="1107">
                  <c:v>1</c:v>
                </c:pt>
                <c:pt idx="1108">
                  <c:v>5</c:v>
                </c:pt>
                <c:pt idx="1109">
                  <c:v>6</c:v>
                </c:pt>
                <c:pt idx="1110">
                  <c:v>9</c:v>
                </c:pt>
                <c:pt idx="1111">
                  <c:v>6</c:v>
                </c:pt>
                <c:pt idx="1112">
                  <c:v>1</c:v>
                </c:pt>
                <c:pt idx="1113">
                  <c:v>9</c:v>
                </c:pt>
                <c:pt idx="1114">
                  <c:v>3</c:v>
                </c:pt>
                <c:pt idx="1115">
                  <c:v>9</c:v>
                </c:pt>
                <c:pt idx="1116">
                  <c:v>7</c:v>
                </c:pt>
                <c:pt idx="1117">
                  <c:v>4</c:v>
                </c:pt>
                <c:pt idx="1118">
                  <c:v>1</c:v>
                </c:pt>
                <c:pt idx="1119">
                  <c:v>8</c:v>
                </c:pt>
                <c:pt idx="1120">
                  <c:v>1</c:v>
                </c:pt>
                <c:pt idx="1121">
                  <c:v>2</c:v>
                </c:pt>
                <c:pt idx="1122">
                  <c:v>2</c:v>
                </c:pt>
                <c:pt idx="1123">
                  <c:v>9</c:v>
                </c:pt>
                <c:pt idx="1124">
                  <c:v>6</c:v>
                </c:pt>
                <c:pt idx="1125">
                  <c:v>3</c:v>
                </c:pt>
                <c:pt idx="1126">
                  <c:v>3</c:v>
                </c:pt>
                <c:pt idx="1127">
                  <c:v>8</c:v>
                </c:pt>
                <c:pt idx="1128">
                  <c:v>9</c:v>
                </c:pt>
                <c:pt idx="1129">
                  <c:v>10</c:v>
                </c:pt>
                <c:pt idx="1130">
                  <c:v>8</c:v>
                </c:pt>
                <c:pt idx="1131">
                  <c:v>5</c:v>
                </c:pt>
                <c:pt idx="1132">
                  <c:v>5</c:v>
                </c:pt>
                <c:pt idx="1133">
                  <c:v>10</c:v>
                </c:pt>
                <c:pt idx="1134">
                  <c:v>10</c:v>
                </c:pt>
                <c:pt idx="1135">
                  <c:v>6</c:v>
                </c:pt>
                <c:pt idx="1136">
                  <c:v>8</c:v>
                </c:pt>
                <c:pt idx="1137">
                  <c:v>9</c:v>
                </c:pt>
                <c:pt idx="1138">
                  <c:v>6</c:v>
                </c:pt>
                <c:pt idx="1139">
                  <c:v>1</c:v>
                </c:pt>
                <c:pt idx="1140">
                  <c:v>4</c:v>
                </c:pt>
                <c:pt idx="1141">
                  <c:v>7</c:v>
                </c:pt>
                <c:pt idx="1142">
                  <c:v>1</c:v>
                </c:pt>
                <c:pt idx="1143">
                  <c:v>9</c:v>
                </c:pt>
                <c:pt idx="1144">
                  <c:v>3</c:v>
                </c:pt>
                <c:pt idx="1145">
                  <c:v>3</c:v>
                </c:pt>
                <c:pt idx="1146">
                  <c:v>1</c:v>
                </c:pt>
                <c:pt idx="1147">
                  <c:v>6</c:v>
                </c:pt>
                <c:pt idx="1148">
                  <c:v>10</c:v>
                </c:pt>
                <c:pt idx="1149">
                  <c:v>2</c:v>
                </c:pt>
                <c:pt idx="1150">
                  <c:v>7</c:v>
                </c:pt>
                <c:pt idx="1151">
                  <c:v>3</c:v>
                </c:pt>
                <c:pt idx="1152">
                  <c:v>10</c:v>
                </c:pt>
                <c:pt idx="1153">
                  <c:v>8</c:v>
                </c:pt>
                <c:pt idx="1154">
                  <c:v>1</c:v>
                </c:pt>
                <c:pt idx="1155">
                  <c:v>5</c:v>
                </c:pt>
                <c:pt idx="1156">
                  <c:v>9</c:v>
                </c:pt>
                <c:pt idx="1157">
                  <c:v>6</c:v>
                </c:pt>
                <c:pt idx="1158">
                  <c:v>3</c:v>
                </c:pt>
                <c:pt idx="1159">
                  <c:v>5</c:v>
                </c:pt>
                <c:pt idx="1160">
                  <c:v>3</c:v>
                </c:pt>
                <c:pt idx="1161">
                  <c:v>2</c:v>
                </c:pt>
                <c:pt idx="1162">
                  <c:v>6</c:v>
                </c:pt>
                <c:pt idx="1163">
                  <c:v>3</c:v>
                </c:pt>
                <c:pt idx="1164">
                  <c:v>4</c:v>
                </c:pt>
                <c:pt idx="1165">
                  <c:v>7</c:v>
                </c:pt>
                <c:pt idx="1166">
                  <c:v>2</c:v>
                </c:pt>
                <c:pt idx="1167">
                  <c:v>2</c:v>
                </c:pt>
                <c:pt idx="1168">
                  <c:v>3</c:v>
                </c:pt>
                <c:pt idx="1169">
                  <c:v>7</c:v>
                </c:pt>
                <c:pt idx="1170">
                  <c:v>7</c:v>
                </c:pt>
                <c:pt idx="1171">
                  <c:v>6</c:v>
                </c:pt>
                <c:pt idx="1172">
                  <c:v>10</c:v>
                </c:pt>
                <c:pt idx="1173">
                  <c:v>3</c:v>
                </c:pt>
                <c:pt idx="1174">
                  <c:v>7</c:v>
                </c:pt>
                <c:pt idx="1175">
                  <c:v>3</c:v>
                </c:pt>
                <c:pt idx="1176">
                  <c:v>3</c:v>
                </c:pt>
                <c:pt idx="1177">
                  <c:v>6</c:v>
                </c:pt>
                <c:pt idx="1178">
                  <c:v>1</c:v>
                </c:pt>
                <c:pt idx="1179">
                  <c:v>8</c:v>
                </c:pt>
                <c:pt idx="1180">
                  <c:v>1</c:v>
                </c:pt>
                <c:pt idx="1181">
                  <c:v>3</c:v>
                </c:pt>
                <c:pt idx="1182">
                  <c:v>5</c:v>
                </c:pt>
                <c:pt idx="1183">
                  <c:v>10</c:v>
                </c:pt>
                <c:pt idx="1184">
                  <c:v>9</c:v>
                </c:pt>
                <c:pt idx="1185">
                  <c:v>6</c:v>
                </c:pt>
                <c:pt idx="1186">
                  <c:v>8</c:v>
                </c:pt>
                <c:pt idx="1187">
                  <c:v>5</c:v>
                </c:pt>
                <c:pt idx="1188">
                  <c:v>4</c:v>
                </c:pt>
                <c:pt idx="1189">
                  <c:v>2</c:v>
                </c:pt>
                <c:pt idx="1190">
                  <c:v>9</c:v>
                </c:pt>
                <c:pt idx="1191">
                  <c:v>8</c:v>
                </c:pt>
                <c:pt idx="1192">
                  <c:v>9</c:v>
                </c:pt>
                <c:pt idx="1193">
                  <c:v>1</c:v>
                </c:pt>
                <c:pt idx="1194">
                  <c:v>8</c:v>
                </c:pt>
                <c:pt idx="1195">
                  <c:v>6</c:v>
                </c:pt>
                <c:pt idx="1196">
                  <c:v>4</c:v>
                </c:pt>
                <c:pt idx="1197">
                  <c:v>8</c:v>
                </c:pt>
                <c:pt idx="1198">
                  <c:v>9</c:v>
                </c:pt>
                <c:pt idx="1199">
                  <c:v>5</c:v>
                </c:pt>
                <c:pt idx="1200">
                  <c:v>4</c:v>
                </c:pt>
                <c:pt idx="1201">
                  <c:v>4</c:v>
                </c:pt>
                <c:pt idx="1202">
                  <c:v>7</c:v>
                </c:pt>
                <c:pt idx="1203">
                  <c:v>7</c:v>
                </c:pt>
                <c:pt idx="1204">
                  <c:v>6</c:v>
                </c:pt>
                <c:pt idx="1205">
                  <c:v>2</c:v>
                </c:pt>
                <c:pt idx="1206">
                  <c:v>1</c:v>
                </c:pt>
                <c:pt idx="1207">
                  <c:v>4</c:v>
                </c:pt>
                <c:pt idx="1208">
                  <c:v>6</c:v>
                </c:pt>
                <c:pt idx="1209">
                  <c:v>2</c:v>
                </c:pt>
                <c:pt idx="1210">
                  <c:v>5</c:v>
                </c:pt>
                <c:pt idx="1211">
                  <c:v>2</c:v>
                </c:pt>
                <c:pt idx="1212">
                  <c:v>1</c:v>
                </c:pt>
                <c:pt idx="1213">
                  <c:v>7</c:v>
                </c:pt>
                <c:pt idx="1214">
                  <c:v>4</c:v>
                </c:pt>
                <c:pt idx="1215">
                  <c:v>9</c:v>
                </c:pt>
                <c:pt idx="1216">
                  <c:v>4</c:v>
                </c:pt>
                <c:pt idx="1217">
                  <c:v>10</c:v>
                </c:pt>
                <c:pt idx="1218">
                  <c:v>7</c:v>
                </c:pt>
                <c:pt idx="1219">
                  <c:v>8</c:v>
                </c:pt>
                <c:pt idx="1220">
                  <c:v>10</c:v>
                </c:pt>
                <c:pt idx="1221">
                  <c:v>10</c:v>
                </c:pt>
                <c:pt idx="1222">
                  <c:v>4</c:v>
                </c:pt>
                <c:pt idx="1223">
                  <c:v>2</c:v>
                </c:pt>
                <c:pt idx="1224">
                  <c:v>9</c:v>
                </c:pt>
                <c:pt idx="1225">
                  <c:v>8</c:v>
                </c:pt>
                <c:pt idx="1226">
                  <c:v>1</c:v>
                </c:pt>
                <c:pt idx="1227">
                  <c:v>3</c:v>
                </c:pt>
                <c:pt idx="1228">
                  <c:v>1</c:v>
                </c:pt>
                <c:pt idx="1229">
                  <c:v>7</c:v>
                </c:pt>
                <c:pt idx="1230">
                  <c:v>1</c:v>
                </c:pt>
                <c:pt idx="1231">
                  <c:v>2</c:v>
                </c:pt>
                <c:pt idx="1232">
                  <c:v>5</c:v>
                </c:pt>
                <c:pt idx="1233">
                  <c:v>3</c:v>
                </c:pt>
                <c:pt idx="1234">
                  <c:v>2</c:v>
                </c:pt>
                <c:pt idx="1235">
                  <c:v>8</c:v>
                </c:pt>
                <c:pt idx="1236">
                  <c:v>9</c:v>
                </c:pt>
                <c:pt idx="1237">
                  <c:v>1</c:v>
                </c:pt>
                <c:pt idx="1238">
                  <c:v>7</c:v>
                </c:pt>
                <c:pt idx="1239">
                  <c:v>1</c:v>
                </c:pt>
                <c:pt idx="1240">
                  <c:v>5</c:v>
                </c:pt>
                <c:pt idx="1241">
                  <c:v>5</c:v>
                </c:pt>
                <c:pt idx="1242">
                  <c:v>2</c:v>
                </c:pt>
                <c:pt idx="1243">
                  <c:v>7</c:v>
                </c:pt>
                <c:pt idx="1244">
                  <c:v>8</c:v>
                </c:pt>
                <c:pt idx="1245">
                  <c:v>6</c:v>
                </c:pt>
                <c:pt idx="1246">
                  <c:v>5</c:v>
                </c:pt>
                <c:pt idx="1247">
                  <c:v>7</c:v>
                </c:pt>
                <c:pt idx="1248">
                  <c:v>10</c:v>
                </c:pt>
                <c:pt idx="1249">
                  <c:v>8</c:v>
                </c:pt>
                <c:pt idx="1250">
                  <c:v>10</c:v>
                </c:pt>
                <c:pt idx="1251">
                  <c:v>7</c:v>
                </c:pt>
                <c:pt idx="1252">
                  <c:v>4</c:v>
                </c:pt>
                <c:pt idx="1253">
                  <c:v>5</c:v>
                </c:pt>
                <c:pt idx="1254">
                  <c:v>1</c:v>
                </c:pt>
                <c:pt idx="1255">
                  <c:v>10</c:v>
                </c:pt>
                <c:pt idx="1256">
                  <c:v>7</c:v>
                </c:pt>
                <c:pt idx="1257">
                  <c:v>9</c:v>
                </c:pt>
                <c:pt idx="1258">
                  <c:v>4</c:v>
                </c:pt>
                <c:pt idx="1259">
                  <c:v>2</c:v>
                </c:pt>
                <c:pt idx="1260">
                  <c:v>8</c:v>
                </c:pt>
                <c:pt idx="1261">
                  <c:v>1</c:v>
                </c:pt>
                <c:pt idx="1262">
                  <c:v>9</c:v>
                </c:pt>
                <c:pt idx="1263">
                  <c:v>6</c:v>
                </c:pt>
                <c:pt idx="1264">
                  <c:v>4</c:v>
                </c:pt>
                <c:pt idx="1265">
                  <c:v>9</c:v>
                </c:pt>
                <c:pt idx="1266">
                  <c:v>2</c:v>
                </c:pt>
                <c:pt idx="1267">
                  <c:v>9</c:v>
                </c:pt>
                <c:pt idx="1268">
                  <c:v>9</c:v>
                </c:pt>
                <c:pt idx="1269">
                  <c:v>1</c:v>
                </c:pt>
                <c:pt idx="1270">
                  <c:v>8</c:v>
                </c:pt>
                <c:pt idx="1271">
                  <c:v>1</c:v>
                </c:pt>
                <c:pt idx="1272">
                  <c:v>1</c:v>
                </c:pt>
                <c:pt idx="1273">
                  <c:v>4</c:v>
                </c:pt>
                <c:pt idx="1274">
                  <c:v>9</c:v>
                </c:pt>
                <c:pt idx="1275">
                  <c:v>4</c:v>
                </c:pt>
                <c:pt idx="1276">
                  <c:v>4</c:v>
                </c:pt>
                <c:pt idx="1277">
                  <c:v>9</c:v>
                </c:pt>
                <c:pt idx="1278">
                  <c:v>3</c:v>
                </c:pt>
                <c:pt idx="1279">
                  <c:v>10</c:v>
                </c:pt>
                <c:pt idx="1280">
                  <c:v>4</c:v>
                </c:pt>
                <c:pt idx="1281">
                  <c:v>1</c:v>
                </c:pt>
                <c:pt idx="1282">
                  <c:v>2</c:v>
                </c:pt>
                <c:pt idx="1283">
                  <c:v>9</c:v>
                </c:pt>
                <c:pt idx="1284">
                  <c:v>6</c:v>
                </c:pt>
                <c:pt idx="1285">
                  <c:v>2</c:v>
                </c:pt>
                <c:pt idx="1286">
                  <c:v>9</c:v>
                </c:pt>
                <c:pt idx="1287">
                  <c:v>4</c:v>
                </c:pt>
                <c:pt idx="1288">
                  <c:v>5</c:v>
                </c:pt>
                <c:pt idx="1289">
                  <c:v>2</c:v>
                </c:pt>
                <c:pt idx="1290">
                  <c:v>3</c:v>
                </c:pt>
                <c:pt idx="1291">
                  <c:v>10</c:v>
                </c:pt>
                <c:pt idx="1292">
                  <c:v>3</c:v>
                </c:pt>
                <c:pt idx="1293">
                  <c:v>7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3</c:v>
                </c:pt>
                <c:pt idx="1298">
                  <c:v>5</c:v>
                </c:pt>
                <c:pt idx="1299">
                  <c:v>1</c:v>
                </c:pt>
                <c:pt idx="1300">
                  <c:v>6</c:v>
                </c:pt>
                <c:pt idx="1301">
                  <c:v>4</c:v>
                </c:pt>
                <c:pt idx="1302">
                  <c:v>9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7</c:v>
                </c:pt>
                <c:pt idx="1307">
                  <c:v>7</c:v>
                </c:pt>
                <c:pt idx="1308">
                  <c:v>10</c:v>
                </c:pt>
                <c:pt idx="1309">
                  <c:v>10</c:v>
                </c:pt>
                <c:pt idx="1310">
                  <c:v>9</c:v>
                </c:pt>
                <c:pt idx="1311">
                  <c:v>10</c:v>
                </c:pt>
                <c:pt idx="1312">
                  <c:v>3</c:v>
                </c:pt>
                <c:pt idx="1313">
                  <c:v>8</c:v>
                </c:pt>
                <c:pt idx="1314">
                  <c:v>8</c:v>
                </c:pt>
                <c:pt idx="1315">
                  <c:v>5</c:v>
                </c:pt>
                <c:pt idx="1316">
                  <c:v>3</c:v>
                </c:pt>
                <c:pt idx="1317">
                  <c:v>10</c:v>
                </c:pt>
                <c:pt idx="1318">
                  <c:v>8</c:v>
                </c:pt>
                <c:pt idx="1319">
                  <c:v>9</c:v>
                </c:pt>
                <c:pt idx="1320">
                  <c:v>2</c:v>
                </c:pt>
                <c:pt idx="1321">
                  <c:v>9</c:v>
                </c:pt>
                <c:pt idx="1322">
                  <c:v>8</c:v>
                </c:pt>
                <c:pt idx="1323">
                  <c:v>1</c:v>
                </c:pt>
                <c:pt idx="1324">
                  <c:v>10</c:v>
                </c:pt>
                <c:pt idx="1325">
                  <c:v>6</c:v>
                </c:pt>
                <c:pt idx="1326">
                  <c:v>6</c:v>
                </c:pt>
                <c:pt idx="1327">
                  <c:v>1</c:v>
                </c:pt>
                <c:pt idx="1328">
                  <c:v>8</c:v>
                </c:pt>
                <c:pt idx="1329">
                  <c:v>6</c:v>
                </c:pt>
                <c:pt idx="1330">
                  <c:v>6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3</c:v>
                </c:pt>
                <c:pt idx="1335">
                  <c:v>2</c:v>
                </c:pt>
                <c:pt idx="1336">
                  <c:v>3</c:v>
                </c:pt>
                <c:pt idx="1337">
                  <c:v>10</c:v>
                </c:pt>
                <c:pt idx="1338">
                  <c:v>5</c:v>
                </c:pt>
                <c:pt idx="1339">
                  <c:v>5</c:v>
                </c:pt>
                <c:pt idx="1340">
                  <c:v>8</c:v>
                </c:pt>
                <c:pt idx="1341">
                  <c:v>4</c:v>
                </c:pt>
                <c:pt idx="1342">
                  <c:v>7</c:v>
                </c:pt>
                <c:pt idx="1343">
                  <c:v>10</c:v>
                </c:pt>
                <c:pt idx="1344">
                  <c:v>3</c:v>
                </c:pt>
                <c:pt idx="1345">
                  <c:v>8</c:v>
                </c:pt>
                <c:pt idx="1346">
                  <c:v>8</c:v>
                </c:pt>
                <c:pt idx="1347">
                  <c:v>6</c:v>
                </c:pt>
                <c:pt idx="1348">
                  <c:v>1</c:v>
                </c:pt>
                <c:pt idx="1349">
                  <c:v>7</c:v>
                </c:pt>
                <c:pt idx="1350">
                  <c:v>6</c:v>
                </c:pt>
                <c:pt idx="1351">
                  <c:v>7</c:v>
                </c:pt>
                <c:pt idx="1352">
                  <c:v>1</c:v>
                </c:pt>
                <c:pt idx="1353">
                  <c:v>9</c:v>
                </c:pt>
                <c:pt idx="1354">
                  <c:v>2</c:v>
                </c:pt>
                <c:pt idx="1355">
                  <c:v>2</c:v>
                </c:pt>
                <c:pt idx="1356">
                  <c:v>6</c:v>
                </c:pt>
                <c:pt idx="1357">
                  <c:v>9</c:v>
                </c:pt>
                <c:pt idx="1358">
                  <c:v>9</c:v>
                </c:pt>
                <c:pt idx="1359">
                  <c:v>1</c:v>
                </c:pt>
                <c:pt idx="1360">
                  <c:v>10</c:v>
                </c:pt>
                <c:pt idx="1361">
                  <c:v>3</c:v>
                </c:pt>
                <c:pt idx="1362">
                  <c:v>3</c:v>
                </c:pt>
                <c:pt idx="1363">
                  <c:v>10</c:v>
                </c:pt>
                <c:pt idx="1364">
                  <c:v>8</c:v>
                </c:pt>
                <c:pt idx="1365">
                  <c:v>2</c:v>
                </c:pt>
                <c:pt idx="1366">
                  <c:v>7</c:v>
                </c:pt>
                <c:pt idx="1367">
                  <c:v>3</c:v>
                </c:pt>
                <c:pt idx="1368">
                  <c:v>1</c:v>
                </c:pt>
                <c:pt idx="1369">
                  <c:v>10</c:v>
                </c:pt>
                <c:pt idx="1370">
                  <c:v>2</c:v>
                </c:pt>
                <c:pt idx="1371">
                  <c:v>5</c:v>
                </c:pt>
                <c:pt idx="1372">
                  <c:v>8</c:v>
                </c:pt>
                <c:pt idx="1373">
                  <c:v>4</c:v>
                </c:pt>
                <c:pt idx="1374">
                  <c:v>9</c:v>
                </c:pt>
                <c:pt idx="1375">
                  <c:v>6</c:v>
                </c:pt>
                <c:pt idx="1376">
                  <c:v>1</c:v>
                </c:pt>
                <c:pt idx="1377">
                  <c:v>1</c:v>
                </c:pt>
                <c:pt idx="1378">
                  <c:v>5</c:v>
                </c:pt>
                <c:pt idx="1379">
                  <c:v>4</c:v>
                </c:pt>
                <c:pt idx="1380">
                  <c:v>2</c:v>
                </c:pt>
                <c:pt idx="1381">
                  <c:v>9</c:v>
                </c:pt>
                <c:pt idx="1382">
                  <c:v>7</c:v>
                </c:pt>
                <c:pt idx="1383">
                  <c:v>6</c:v>
                </c:pt>
                <c:pt idx="1384">
                  <c:v>7</c:v>
                </c:pt>
                <c:pt idx="1385">
                  <c:v>6</c:v>
                </c:pt>
                <c:pt idx="1386">
                  <c:v>6</c:v>
                </c:pt>
                <c:pt idx="1387">
                  <c:v>8</c:v>
                </c:pt>
                <c:pt idx="1388">
                  <c:v>1</c:v>
                </c:pt>
                <c:pt idx="1389">
                  <c:v>5</c:v>
                </c:pt>
                <c:pt idx="1390">
                  <c:v>7</c:v>
                </c:pt>
                <c:pt idx="1391">
                  <c:v>10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1</c:v>
                </c:pt>
                <c:pt idx="1396">
                  <c:v>7</c:v>
                </c:pt>
                <c:pt idx="1397">
                  <c:v>7</c:v>
                </c:pt>
                <c:pt idx="1398">
                  <c:v>1</c:v>
                </c:pt>
                <c:pt idx="1399">
                  <c:v>1</c:v>
                </c:pt>
                <c:pt idx="1400">
                  <c:v>8</c:v>
                </c:pt>
                <c:pt idx="1401">
                  <c:v>8</c:v>
                </c:pt>
                <c:pt idx="1402">
                  <c:v>10</c:v>
                </c:pt>
                <c:pt idx="1403">
                  <c:v>6</c:v>
                </c:pt>
                <c:pt idx="1404">
                  <c:v>1</c:v>
                </c:pt>
                <c:pt idx="1405">
                  <c:v>3</c:v>
                </c:pt>
                <c:pt idx="1406">
                  <c:v>10</c:v>
                </c:pt>
                <c:pt idx="1407">
                  <c:v>4</c:v>
                </c:pt>
                <c:pt idx="1408">
                  <c:v>10</c:v>
                </c:pt>
                <c:pt idx="1409">
                  <c:v>2</c:v>
                </c:pt>
                <c:pt idx="1410">
                  <c:v>4</c:v>
                </c:pt>
                <c:pt idx="1411">
                  <c:v>10</c:v>
                </c:pt>
                <c:pt idx="1412">
                  <c:v>5</c:v>
                </c:pt>
                <c:pt idx="1413">
                  <c:v>10</c:v>
                </c:pt>
                <c:pt idx="1414">
                  <c:v>6</c:v>
                </c:pt>
                <c:pt idx="1415">
                  <c:v>6</c:v>
                </c:pt>
                <c:pt idx="1416">
                  <c:v>7</c:v>
                </c:pt>
                <c:pt idx="1417">
                  <c:v>9</c:v>
                </c:pt>
                <c:pt idx="1418">
                  <c:v>5</c:v>
                </c:pt>
                <c:pt idx="1419">
                  <c:v>9</c:v>
                </c:pt>
                <c:pt idx="1420">
                  <c:v>8</c:v>
                </c:pt>
                <c:pt idx="1421">
                  <c:v>8</c:v>
                </c:pt>
                <c:pt idx="1422">
                  <c:v>10</c:v>
                </c:pt>
                <c:pt idx="1423">
                  <c:v>2</c:v>
                </c:pt>
                <c:pt idx="1424">
                  <c:v>9</c:v>
                </c:pt>
                <c:pt idx="1425">
                  <c:v>8</c:v>
                </c:pt>
                <c:pt idx="1426">
                  <c:v>9</c:v>
                </c:pt>
                <c:pt idx="1427">
                  <c:v>5</c:v>
                </c:pt>
                <c:pt idx="1428">
                  <c:v>5</c:v>
                </c:pt>
                <c:pt idx="1429">
                  <c:v>6</c:v>
                </c:pt>
                <c:pt idx="1430">
                  <c:v>1</c:v>
                </c:pt>
                <c:pt idx="1431">
                  <c:v>1</c:v>
                </c:pt>
                <c:pt idx="1432">
                  <c:v>2</c:v>
                </c:pt>
                <c:pt idx="1433">
                  <c:v>9</c:v>
                </c:pt>
                <c:pt idx="1434">
                  <c:v>3</c:v>
                </c:pt>
                <c:pt idx="1435">
                  <c:v>6</c:v>
                </c:pt>
                <c:pt idx="1436">
                  <c:v>10</c:v>
                </c:pt>
                <c:pt idx="1437">
                  <c:v>10</c:v>
                </c:pt>
                <c:pt idx="1438">
                  <c:v>9</c:v>
                </c:pt>
                <c:pt idx="1439">
                  <c:v>7</c:v>
                </c:pt>
                <c:pt idx="1440">
                  <c:v>1</c:v>
                </c:pt>
                <c:pt idx="1441">
                  <c:v>5</c:v>
                </c:pt>
                <c:pt idx="1442">
                  <c:v>8</c:v>
                </c:pt>
                <c:pt idx="1443">
                  <c:v>6</c:v>
                </c:pt>
                <c:pt idx="1444">
                  <c:v>1</c:v>
                </c:pt>
                <c:pt idx="1445">
                  <c:v>2</c:v>
                </c:pt>
                <c:pt idx="1446">
                  <c:v>8</c:v>
                </c:pt>
                <c:pt idx="1447">
                  <c:v>6</c:v>
                </c:pt>
                <c:pt idx="1448">
                  <c:v>7</c:v>
                </c:pt>
                <c:pt idx="1449">
                  <c:v>3</c:v>
                </c:pt>
                <c:pt idx="1450">
                  <c:v>5</c:v>
                </c:pt>
                <c:pt idx="1451">
                  <c:v>1</c:v>
                </c:pt>
                <c:pt idx="1452">
                  <c:v>7</c:v>
                </c:pt>
                <c:pt idx="1453">
                  <c:v>4</c:v>
                </c:pt>
                <c:pt idx="1454">
                  <c:v>8</c:v>
                </c:pt>
                <c:pt idx="1455">
                  <c:v>9</c:v>
                </c:pt>
                <c:pt idx="1456">
                  <c:v>4</c:v>
                </c:pt>
                <c:pt idx="1457">
                  <c:v>3</c:v>
                </c:pt>
                <c:pt idx="1458">
                  <c:v>2</c:v>
                </c:pt>
                <c:pt idx="1459">
                  <c:v>3</c:v>
                </c:pt>
                <c:pt idx="1460">
                  <c:v>5</c:v>
                </c:pt>
                <c:pt idx="1461">
                  <c:v>7</c:v>
                </c:pt>
                <c:pt idx="1462">
                  <c:v>1</c:v>
                </c:pt>
                <c:pt idx="1463">
                  <c:v>6</c:v>
                </c:pt>
                <c:pt idx="1464">
                  <c:v>6</c:v>
                </c:pt>
                <c:pt idx="1465">
                  <c:v>6</c:v>
                </c:pt>
                <c:pt idx="1466">
                  <c:v>3</c:v>
                </c:pt>
                <c:pt idx="1467">
                  <c:v>10</c:v>
                </c:pt>
                <c:pt idx="1468">
                  <c:v>1</c:v>
                </c:pt>
                <c:pt idx="1469">
                  <c:v>2</c:v>
                </c:pt>
                <c:pt idx="1470">
                  <c:v>8</c:v>
                </c:pt>
                <c:pt idx="1471">
                  <c:v>8</c:v>
                </c:pt>
                <c:pt idx="1472">
                  <c:v>6</c:v>
                </c:pt>
                <c:pt idx="1473">
                  <c:v>7</c:v>
                </c:pt>
                <c:pt idx="1474">
                  <c:v>1</c:v>
                </c:pt>
                <c:pt idx="1475">
                  <c:v>5</c:v>
                </c:pt>
                <c:pt idx="1476">
                  <c:v>6</c:v>
                </c:pt>
                <c:pt idx="1477">
                  <c:v>3</c:v>
                </c:pt>
                <c:pt idx="1478">
                  <c:v>3</c:v>
                </c:pt>
                <c:pt idx="1479">
                  <c:v>4</c:v>
                </c:pt>
                <c:pt idx="1480">
                  <c:v>7</c:v>
                </c:pt>
                <c:pt idx="1481">
                  <c:v>8</c:v>
                </c:pt>
                <c:pt idx="1482">
                  <c:v>9</c:v>
                </c:pt>
                <c:pt idx="1483">
                  <c:v>7</c:v>
                </c:pt>
                <c:pt idx="1484">
                  <c:v>1</c:v>
                </c:pt>
                <c:pt idx="1485">
                  <c:v>7</c:v>
                </c:pt>
                <c:pt idx="1486">
                  <c:v>5</c:v>
                </c:pt>
                <c:pt idx="1487">
                  <c:v>9</c:v>
                </c:pt>
                <c:pt idx="1488">
                  <c:v>3</c:v>
                </c:pt>
                <c:pt idx="1489">
                  <c:v>6</c:v>
                </c:pt>
                <c:pt idx="1490">
                  <c:v>2</c:v>
                </c:pt>
                <c:pt idx="1491">
                  <c:v>1</c:v>
                </c:pt>
                <c:pt idx="1492">
                  <c:v>5</c:v>
                </c:pt>
                <c:pt idx="1493">
                  <c:v>9</c:v>
                </c:pt>
                <c:pt idx="1494">
                  <c:v>1</c:v>
                </c:pt>
                <c:pt idx="1495">
                  <c:v>8</c:v>
                </c:pt>
                <c:pt idx="1496">
                  <c:v>9</c:v>
                </c:pt>
                <c:pt idx="1497">
                  <c:v>2</c:v>
                </c:pt>
                <c:pt idx="1498">
                  <c:v>5</c:v>
                </c:pt>
                <c:pt idx="1499">
                  <c:v>5</c:v>
                </c:pt>
                <c:pt idx="1500">
                  <c:v>7</c:v>
                </c:pt>
                <c:pt idx="1501">
                  <c:v>2</c:v>
                </c:pt>
                <c:pt idx="1502">
                  <c:v>3</c:v>
                </c:pt>
                <c:pt idx="1503">
                  <c:v>1</c:v>
                </c:pt>
                <c:pt idx="1504">
                  <c:v>6</c:v>
                </c:pt>
                <c:pt idx="1505">
                  <c:v>2</c:v>
                </c:pt>
                <c:pt idx="1506">
                  <c:v>9</c:v>
                </c:pt>
                <c:pt idx="1507">
                  <c:v>7</c:v>
                </c:pt>
                <c:pt idx="1508">
                  <c:v>9</c:v>
                </c:pt>
                <c:pt idx="1509">
                  <c:v>1</c:v>
                </c:pt>
                <c:pt idx="1510">
                  <c:v>7</c:v>
                </c:pt>
                <c:pt idx="1511">
                  <c:v>8</c:v>
                </c:pt>
                <c:pt idx="1512">
                  <c:v>5</c:v>
                </c:pt>
                <c:pt idx="1513">
                  <c:v>6</c:v>
                </c:pt>
                <c:pt idx="1514">
                  <c:v>8</c:v>
                </c:pt>
                <c:pt idx="1515">
                  <c:v>2</c:v>
                </c:pt>
                <c:pt idx="1516">
                  <c:v>6</c:v>
                </c:pt>
                <c:pt idx="1517">
                  <c:v>7</c:v>
                </c:pt>
                <c:pt idx="1518">
                  <c:v>6</c:v>
                </c:pt>
                <c:pt idx="1519">
                  <c:v>1</c:v>
                </c:pt>
                <c:pt idx="1520">
                  <c:v>3</c:v>
                </c:pt>
                <c:pt idx="1521">
                  <c:v>5</c:v>
                </c:pt>
                <c:pt idx="1522">
                  <c:v>2</c:v>
                </c:pt>
                <c:pt idx="1523">
                  <c:v>4</c:v>
                </c:pt>
                <c:pt idx="1524">
                  <c:v>4</c:v>
                </c:pt>
                <c:pt idx="1525">
                  <c:v>6</c:v>
                </c:pt>
                <c:pt idx="1526">
                  <c:v>4</c:v>
                </c:pt>
                <c:pt idx="1527">
                  <c:v>7</c:v>
                </c:pt>
                <c:pt idx="1528">
                  <c:v>3</c:v>
                </c:pt>
                <c:pt idx="1529">
                  <c:v>5</c:v>
                </c:pt>
                <c:pt idx="1530">
                  <c:v>10</c:v>
                </c:pt>
                <c:pt idx="1531">
                  <c:v>10</c:v>
                </c:pt>
                <c:pt idx="1532">
                  <c:v>8</c:v>
                </c:pt>
                <c:pt idx="1533">
                  <c:v>3</c:v>
                </c:pt>
                <c:pt idx="1534">
                  <c:v>10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9</c:v>
                </c:pt>
                <c:pt idx="1539">
                  <c:v>2</c:v>
                </c:pt>
                <c:pt idx="1540">
                  <c:v>2</c:v>
                </c:pt>
                <c:pt idx="1541">
                  <c:v>10</c:v>
                </c:pt>
                <c:pt idx="1542">
                  <c:v>9</c:v>
                </c:pt>
                <c:pt idx="1543">
                  <c:v>2</c:v>
                </c:pt>
                <c:pt idx="1544">
                  <c:v>5</c:v>
                </c:pt>
                <c:pt idx="1545">
                  <c:v>3</c:v>
                </c:pt>
                <c:pt idx="1546">
                  <c:v>7</c:v>
                </c:pt>
                <c:pt idx="1547">
                  <c:v>6</c:v>
                </c:pt>
                <c:pt idx="1548">
                  <c:v>2</c:v>
                </c:pt>
                <c:pt idx="1549">
                  <c:v>8</c:v>
                </c:pt>
                <c:pt idx="1550">
                  <c:v>6</c:v>
                </c:pt>
                <c:pt idx="1551">
                  <c:v>2</c:v>
                </c:pt>
                <c:pt idx="1552">
                  <c:v>6</c:v>
                </c:pt>
                <c:pt idx="1553">
                  <c:v>7</c:v>
                </c:pt>
                <c:pt idx="1554">
                  <c:v>2</c:v>
                </c:pt>
                <c:pt idx="1555">
                  <c:v>1</c:v>
                </c:pt>
                <c:pt idx="1556">
                  <c:v>7</c:v>
                </c:pt>
                <c:pt idx="1557">
                  <c:v>1</c:v>
                </c:pt>
                <c:pt idx="1558">
                  <c:v>2</c:v>
                </c:pt>
                <c:pt idx="1559">
                  <c:v>4</c:v>
                </c:pt>
                <c:pt idx="1560">
                  <c:v>5</c:v>
                </c:pt>
                <c:pt idx="1561">
                  <c:v>3</c:v>
                </c:pt>
                <c:pt idx="1562">
                  <c:v>3</c:v>
                </c:pt>
                <c:pt idx="1563">
                  <c:v>10</c:v>
                </c:pt>
                <c:pt idx="1564">
                  <c:v>2</c:v>
                </c:pt>
                <c:pt idx="1565">
                  <c:v>5</c:v>
                </c:pt>
                <c:pt idx="1566">
                  <c:v>2</c:v>
                </c:pt>
                <c:pt idx="1567">
                  <c:v>2</c:v>
                </c:pt>
                <c:pt idx="1568">
                  <c:v>10</c:v>
                </c:pt>
                <c:pt idx="1569">
                  <c:v>6</c:v>
                </c:pt>
                <c:pt idx="1570">
                  <c:v>7</c:v>
                </c:pt>
                <c:pt idx="1571">
                  <c:v>8</c:v>
                </c:pt>
                <c:pt idx="1572">
                  <c:v>6</c:v>
                </c:pt>
                <c:pt idx="1573">
                  <c:v>6</c:v>
                </c:pt>
                <c:pt idx="1574">
                  <c:v>5</c:v>
                </c:pt>
                <c:pt idx="1575">
                  <c:v>8</c:v>
                </c:pt>
                <c:pt idx="1576">
                  <c:v>10</c:v>
                </c:pt>
                <c:pt idx="1577">
                  <c:v>9</c:v>
                </c:pt>
                <c:pt idx="1578">
                  <c:v>7</c:v>
                </c:pt>
                <c:pt idx="1579">
                  <c:v>6</c:v>
                </c:pt>
                <c:pt idx="1580">
                  <c:v>9</c:v>
                </c:pt>
                <c:pt idx="1581">
                  <c:v>8</c:v>
                </c:pt>
                <c:pt idx="1582">
                  <c:v>9</c:v>
                </c:pt>
                <c:pt idx="1583">
                  <c:v>8</c:v>
                </c:pt>
                <c:pt idx="1584">
                  <c:v>6</c:v>
                </c:pt>
                <c:pt idx="1585">
                  <c:v>3</c:v>
                </c:pt>
                <c:pt idx="1586">
                  <c:v>2</c:v>
                </c:pt>
                <c:pt idx="1587">
                  <c:v>7</c:v>
                </c:pt>
                <c:pt idx="1588">
                  <c:v>10</c:v>
                </c:pt>
                <c:pt idx="1589">
                  <c:v>4</c:v>
                </c:pt>
                <c:pt idx="1590">
                  <c:v>7</c:v>
                </c:pt>
                <c:pt idx="1591">
                  <c:v>2</c:v>
                </c:pt>
                <c:pt idx="1592">
                  <c:v>8</c:v>
                </c:pt>
                <c:pt idx="1593">
                  <c:v>6</c:v>
                </c:pt>
                <c:pt idx="1594">
                  <c:v>4</c:v>
                </c:pt>
                <c:pt idx="1595">
                  <c:v>9</c:v>
                </c:pt>
                <c:pt idx="1596">
                  <c:v>4</c:v>
                </c:pt>
                <c:pt idx="1597">
                  <c:v>10</c:v>
                </c:pt>
                <c:pt idx="1598">
                  <c:v>8</c:v>
                </c:pt>
                <c:pt idx="1599">
                  <c:v>6</c:v>
                </c:pt>
                <c:pt idx="1600">
                  <c:v>2</c:v>
                </c:pt>
                <c:pt idx="1601">
                  <c:v>8</c:v>
                </c:pt>
                <c:pt idx="1602">
                  <c:v>2</c:v>
                </c:pt>
                <c:pt idx="1603">
                  <c:v>9</c:v>
                </c:pt>
                <c:pt idx="1604">
                  <c:v>8</c:v>
                </c:pt>
                <c:pt idx="1605">
                  <c:v>10</c:v>
                </c:pt>
                <c:pt idx="1606">
                  <c:v>1</c:v>
                </c:pt>
                <c:pt idx="1607">
                  <c:v>2</c:v>
                </c:pt>
                <c:pt idx="1608">
                  <c:v>9</c:v>
                </c:pt>
                <c:pt idx="1609">
                  <c:v>3</c:v>
                </c:pt>
                <c:pt idx="1610">
                  <c:v>1</c:v>
                </c:pt>
                <c:pt idx="1611">
                  <c:v>5</c:v>
                </c:pt>
                <c:pt idx="1612">
                  <c:v>9</c:v>
                </c:pt>
                <c:pt idx="1613">
                  <c:v>8</c:v>
                </c:pt>
                <c:pt idx="1614">
                  <c:v>2</c:v>
                </c:pt>
                <c:pt idx="1615">
                  <c:v>6</c:v>
                </c:pt>
                <c:pt idx="1616">
                  <c:v>3</c:v>
                </c:pt>
                <c:pt idx="1617">
                  <c:v>5</c:v>
                </c:pt>
                <c:pt idx="1618">
                  <c:v>4</c:v>
                </c:pt>
                <c:pt idx="1619">
                  <c:v>8</c:v>
                </c:pt>
                <c:pt idx="1620">
                  <c:v>3</c:v>
                </c:pt>
                <c:pt idx="1621">
                  <c:v>8</c:v>
                </c:pt>
                <c:pt idx="1622">
                  <c:v>5</c:v>
                </c:pt>
                <c:pt idx="1623">
                  <c:v>2</c:v>
                </c:pt>
                <c:pt idx="1624">
                  <c:v>8</c:v>
                </c:pt>
                <c:pt idx="1625">
                  <c:v>1</c:v>
                </c:pt>
                <c:pt idx="1626">
                  <c:v>2</c:v>
                </c:pt>
                <c:pt idx="1627">
                  <c:v>9</c:v>
                </c:pt>
                <c:pt idx="1628">
                  <c:v>4</c:v>
                </c:pt>
                <c:pt idx="1629">
                  <c:v>4</c:v>
                </c:pt>
                <c:pt idx="1630">
                  <c:v>2</c:v>
                </c:pt>
                <c:pt idx="1631">
                  <c:v>10</c:v>
                </c:pt>
                <c:pt idx="1632">
                  <c:v>2</c:v>
                </c:pt>
                <c:pt idx="1633">
                  <c:v>2</c:v>
                </c:pt>
                <c:pt idx="1634">
                  <c:v>8</c:v>
                </c:pt>
                <c:pt idx="1635">
                  <c:v>1</c:v>
                </c:pt>
                <c:pt idx="1636">
                  <c:v>6</c:v>
                </c:pt>
                <c:pt idx="1637">
                  <c:v>1</c:v>
                </c:pt>
                <c:pt idx="1638">
                  <c:v>4</c:v>
                </c:pt>
                <c:pt idx="1639">
                  <c:v>2</c:v>
                </c:pt>
                <c:pt idx="1640">
                  <c:v>6</c:v>
                </c:pt>
                <c:pt idx="1641">
                  <c:v>7</c:v>
                </c:pt>
                <c:pt idx="1642">
                  <c:v>8</c:v>
                </c:pt>
                <c:pt idx="1643">
                  <c:v>2</c:v>
                </c:pt>
                <c:pt idx="1644">
                  <c:v>5</c:v>
                </c:pt>
                <c:pt idx="1645">
                  <c:v>3</c:v>
                </c:pt>
                <c:pt idx="1646">
                  <c:v>9</c:v>
                </c:pt>
                <c:pt idx="1647">
                  <c:v>10</c:v>
                </c:pt>
                <c:pt idx="1648">
                  <c:v>7</c:v>
                </c:pt>
                <c:pt idx="1649">
                  <c:v>3</c:v>
                </c:pt>
                <c:pt idx="1650">
                  <c:v>1</c:v>
                </c:pt>
                <c:pt idx="1651">
                  <c:v>8</c:v>
                </c:pt>
                <c:pt idx="1652">
                  <c:v>10</c:v>
                </c:pt>
                <c:pt idx="1653">
                  <c:v>1</c:v>
                </c:pt>
                <c:pt idx="1654">
                  <c:v>6</c:v>
                </c:pt>
                <c:pt idx="1655">
                  <c:v>8</c:v>
                </c:pt>
                <c:pt idx="1656">
                  <c:v>8</c:v>
                </c:pt>
                <c:pt idx="1657">
                  <c:v>1</c:v>
                </c:pt>
                <c:pt idx="1658">
                  <c:v>4</c:v>
                </c:pt>
                <c:pt idx="1659">
                  <c:v>10</c:v>
                </c:pt>
                <c:pt idx="1660">
                  <c:v>5</c:v>
                </c:pt>
                <c:pt idx="1661">
                  <c:v>7</c:v>
                </c:pt>
                <c:pt idx="1662">
                  <c:v>8</c:v>
                </c:pt>
                <c:pt idx="1663">
                  <c:v>8</c:v>
                </c:pt>
                <c:pt idx="1664">
                  <c:v>1</c:v>
                </c:pt>
                <c:pt idx="1665">
                  <c:v>4</c:v>
                </c:pt>
                <c:pt idx="1666">
                  <c:v>3</c:v>
                </c:pt>
                <c:pt idx="1667">
                  <c:v>1</c:v>
                </c:pt>
                <c:pt idx="1668">
                  <c:v>7</c:v>
                </c:pt>
                <c:pt idx="1669">
                  <c:v>6</c:v>
                </c:pt>
                <c:pt idx="1670">
                  <c:v>5</c:v>
                </c:pt>
                <c:pt idx="1671">
                  <c:v>8</c:v>
                </c:pt>
                <c:pt idx="1672">
                  <c:v>4</c:v>
                </c:pt>
                <c:pt idx="1673">
                  <c:v>1</c:v>
                </c:pt>
                <c:pt idx="1674">
                  <c:v>10</c:v>
                </c:pt>
                <c:pt idx="1675">
                  <c:v>10</c:v>
                </c:pt>
                <c:pt idx="1676">
                  <c:v>7</c:v>
                </c:pt>
                <c:pt idx="1677">
                  <c:v>8</c:v>
                </c:pt>
                <c:pt idx="1678">
                  <c:v>9</c:v>
                </c:pt>
                <c:pt idx="1679">
                  <c:v>3</c:v>
                </c:pt>
                <c:pt idx="1680">
                  <c:v>1</c:v>
                </c:pt>
                <c:pt idx="1681">
                  <c:v>2</c:v>
                </c:pt>
                <c:pt idx="1682">
                  <c:v>4</c:v>
                </c:pt>
                <c:pt idx="1683">
                  <c:v>2</c:v>
                </c:pt>
                <c:pt idx="1684">
                  <c:v>7</c:v>
                </c:pt>
                <c:pt idx="1685">
                  <c:v>9</c:v>
                </c:pt>
                <c:pt idx="1686">
                  <c:v>6</c:v>
                </c:pt>
                <c:pt idx="1687">
                  <c:v>3</c:v>
                </c:pt>
                <c:pt idx="1688">
                  <c:v>8</c:v>
                </c:pt>
                <c:pt idx="1689">
                  <c:v>5</c:v>
                </c:pt>
                <c:pt idx="1690">
                  <c:v>4</c:v>
                </c:pt>
                <c:pt idx="1691">
                  <c:v>4</c:v>
                </c:pt>
                <c:pt idx="1692">
                  <c:v>5</c:v>
                </c:pt>
                <c:pt idx="1693">
                  <c:v>1</c:v>
                </c:pt>
                <c:pt idx="1694">
                  <c:v>4</c:v>
                </c:pt>
                <c:pt idx="1695">
                  <c:v>3</c:v>
                </c:pt>
                <c:pt idx="1696">
                  <c:v>7</c:v>
                </c:pt>
                <c:pt idx="1697">
                  <c:v>9</c:v>
                </c:pt>
                <c:pt idx="1698">
                  <c:v>7</c:v>
                </c:pt>
                <c:pt idx="1699">
                  <c:v>2</c:v>
                </c:pt>
                <c:pt idx="1700">
                  <c:v>1</c:v>
                </c:pt>
                <c:pt idx="1701">
                  <c:v>7</c:v>
                </c:pt>
                <c:pt idx="1702">
                  <c:v>8</c:v>
                </c:pt>
                <c:pt idx="1703">
                  <c:v>2</c:v>
                </c:pt>
                <c:pt idx="1704">
                  <c:v>8</c:v>
                </c:pt>
                <c:pt idx="1705">
                  <c:v>8</c:v>
                </c:pt>
                <c:pt idx="1706">
                  <c:v>6</c:v>
                </c:pt>
                <c:pt idx="1707">
                  <c:v>2</c:v>
                </c:pt>
                <c:pt idx="1708">
                  <c:v>4</c:v>
                </c:pt>
                <c:pt idx="1709">
                  <c:v>1</c:v>
                </c:pt>
                <c:pt idx="1710">
                  <c:v>4</c:v>
                </c:pt>
                <c:pt idx="1711">
                  <c:v>1</c:v>
                </c:pt>
                <c:pt idx="1712">
                  <c:v>3</c:v>
                </c:pt>
                <c:pt idx="1713">
                  <c:v>3</c:v>
                </c:pt>
                <c:pt idx="1714">
                  <c:v>7</c:v>
                </c:pt>
                <c:pt idx="1715">
                  <c:v>2</c:v>
                </c:pt>
                <c:pt idx="1716">
                  <c:v>9</c:v>
                </c:pt>
                <c:pt idx="1717">
                  <c:v>2</c:v>
                </c:pt>
                <c:pt idx="1718">
                  <c:v>10</c:v>
                </c:pt>
                <c:pt idx="1719">
                  <c:v>10</c:v>
                </c:pt>
                <c:pt idx="1720">
                  <c:v>3</c:v>
                </c:pt>
                <c:pt idx="1721">
                  <c:v>7</c:v>
                </c:pt>
                <c:pt idx="1722">
                  <c:v>9</c:v>
                </c:pt>
                <c:pt idx="1723">
                  <c:v>6</c:v>
                </c:pt>
                <c:pt idx="1724">
                  <c:v>10</c:v>
                </c:pt>
                <c:pt idx="1725">
                  <c:v>6</c:v>
                </c:pt>
                <c:pt idx="1726">
                  <c:v>10</c:v>
                </c:pt>
                <c:pt idx="1727">
                  <c:v>5</c:v>
                </c:pt>
                <c:pt idx="1728">
                  <c:v>7</c:v>
                </c:pt>
                <c:pt idx="1729">
                  <c:v>1</c:v>
                </c:pt>
                <c:pt idx="1730">
                  <c:v>8</c:v>
                </c:pt>
                <c:pt idx="1731">
                  <c:v>6</c:v>
                </c:pt>
                <c:pt idx="1732">
                  <c:v>8</c:v>
                </c:pt>
                <c:pt idx="1733">
                  <c:v>4</c:v>
                </c:pt>
                <c:pt idx="1734">
                  <c:v>3</c:v>
                </c:pt>
                <c:pt idx="1735">
                  <c:v>2</c:v>
                </c:pt>
                <c:pt idx="1736">
                  <c:v>1</c:v>
                </c:pt>
                <c:pt idx="1737">
                  <c:v>6</c:v>
                </c:pt>
                <c:pt idx="1738">
                  <c:v>7</c:v>
                </c:pt>
                <c:pt idx="1739">
                  <c:v>2</c:v>
                </c:pt>
                <c:pt idx="1740">
                  <c:v>9</c:v>
                </c:pt>
                <c:pt idx="1741">
                  <c:v>6</c:v>
                </c:pt>
                <c:pt idx="1742">
                  <c:v>4</c:v>
                </c:pt>
                <c:pt idx="1743">
                  <c:v>2</c:v>
                </c:pt>
                <c:pt idx="1744">
                  <c:v>10</c:v>
                </c:pt>
                <c:pt idx="1745">
                  <c:v>6</c:v>
                </c:pt>
                <c:pt idx="1746">
                  <c:v>2</c:v>
                </c:pt>
                <c:pt idx="1747">
                  <c:v>9</c:v>
                </c:pt>
                <c:pt idx="1748">
                  <c:v>8</c:v>
                </c:pt>
                <c:pt idx="1749">
                  <c:v>10</c:v>
                </c:pt>
                <c:pt idx="1750">
                  <c:v>8</c:v>
                </c:pt>
                <c:pt idx="1751">
                  <c:v>9</c:v>
                </c:pt>
                <c:pt idx="1752">
                  <c:v>8</c:v>
                </c:pt>
                <c:pt idx="1753">
                  <c:v>9</c:v>
                </c:pt>
                <c:pt idx="1754">
                  <c:v>9</c:v>
                </c:pt>
                <c:pt idx="1755">
                  <c:v>7</c:v>
                </c:pt>
                <c:pt idx="1756">
                  <c:v>6</c:v>
                </c:pt>
                <c:pt idx="1757">
                  <c:v>3</c:v>
                </c:pt>
                <c:pt idx="1758">
                  <c:v>6</c:v>
                </c:pt>
                <c:pt idx="1759">
                  <c:v>8</c:v>
                </c:pt>
                <c:pt idx="1760">
                  <c:v>2</c:v>
                </c:pt>
                <c:pt idx="1761">
                  <c:v>9</c:v>
                </c:pt>
                <c:pt idx="1762">
                  <c:v>6</c:v>
                </c:pt>
                <c:pt idx="1763">
                  <c:v>6</c:v>
                </c:pt>
                <c:pt idx="1764">
                  <c:v>3</c:v>
                </c:pt>
                <c:pt idx="1765">
                  <c:v>1</c:v>
                </c:pt>
                <c:pt idx="1766">
                  <c:v>9</c:v>
                </c:pt>
                <c:pt idx="1767">
                  <c:v>5</c:v>
                </c:pt>
                <c:pt idx="1768">
                  <c:v>1</c:v>
                </c:pt>
                <c:pt idx="1769">
                  <c:v>8</c:v>
                </c:pt>
                <c:pt idx="1770">
                  <c:v>9</c:v>
                </c:pt>
                <c:pt idx="1771">
                  <c:v>3</c:v>
                </c:pt>
                <c:pt idx="1772">
                  <c:v>3</c:v>
                </c:pt>
                <c:pt idx="1773">
                  <c:v>7</c:v>
                </c:pt>
                <c:pt idx="1774">
                  <c:v>9</c:v>
                </c:pt>
                <c:pt idx="1775">
                  <c:v>8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7</c:v>
                </c:pt>
                <c:pt idx="1780">
                  <c:v>9</c:v>
                </c:pt>
                <c:pt idx="1781">
                  <c:v>2</c:v>
                </c:pt>
                <c:pt idx="1782">
                  <c:v>5</c:v>
                </c:pt>
                <c:pt idx="1783">
                  <c:v>6</c:v>
                </c:pt>
                <c:pt idx="1784">
                  <c:v>10</c:v>
                </c:pt>
                <c:pt idx="1785">
                  <c:v>4</c:v>
                </c:pt>
                <c:pt idx="1786">
                  <c:v>5</c:v>
                </c:pt>
                <c:pt idx="1787">
                  <c:v>9</c:v>
                </c:pt>
                <c:pt idx="1788">
                  <c:v>10</c:v>
                </c:pt>
                <c:pt idx="1789">
                  <c:v>10</c:v>
                </c:pt>
                <c:pt idx="1790">
                  <c:v>6</c:v>
                </c:pt>
                <c:pt idx="1791">
                  <c:v>1</c:v>
                </c:pt>
                <c:pt idx="1792">
                  <c:v>10</c:v>
                </c:pt>
                <c:pt idx="1793">
                  <c:v>8</c:v>
                </c:pt>
                <c:pt idx="1794">
                  <c:v>2</c:v>
                </c:pt>
                <c:pt idx="1795">
                  <c:v>2</c:v>
                </c:pt>
                <c:pt idx="1796">
                  <c:v>8</c:v>
                </c:pt>
                <c:pt idx="1797">
                  <c:v>1</c:v>
                </c:pt>
                <c:pt idx="1798">
                  <c:v>6</c:v>
                </c:pt>
                <c:pt idx="1799">
                  <c:v>5</c:v>
                </c:pt>
                <c:pt idx="1800">
                  <c:v>5</c:v>
                </c:pt>
                <c:pt idx="1801">
                  <c:v>7</c:v>
                </c:pt>
                <c:pt idx="1802">
                  <c:v>3</c:v>
                </c:pt>
                <c:pt idx="1803">
                  <c:v>1</c:v>
                </c:pt>
                <c:pt idx="1804">
                  <c:v>2</c:v>
                </c:pt>
                <c:pt idx="1805">
                  <c:v>3</c:v>
                </c:pt>
                <c:pt idx="1806">
                  <c:v>8</c:v>
                </c:pt>
                <c:pt idx="1807">
                  <c:v>10</c:v>
                </c:pt>
                <c:pt idx="1808">
                  <c:v>4</c:v>
                </c:pt>
                <c:pt idx="1809">
                  <c:v>1</c:v>
                </c:pt>
                <c:pt idx="1810">
                  <c:v>7</c:v>
                </c:pt>
                <c:pt idx="1811">
                  <c:v>8</c:v>
                </c:pt>
                <c:pt idx="1812">
                  <c:v>7</c:v>
                </c:pt>
                <c:pt idx="1813">
                  <c:v>5</c:v>
                </c:pt>
                <c:pt idx="1814">
                  <c:v>1</c:v>
                </c:pt>
                <c:pt idx="1815">
                  <c:v>3</c:v>
                </c:pt>
                <c:pt idx="1816">
                  <c:v>7</c:v>
                </c:pt>
                <c:pt idx="1817">
                  <c:v>5</c:v>
                </c:pt>
                <c:pt idx="1818">
                  <c:v>6</c:v>
                </c:pt>
                <c:pt idx="1819">
                  <c:v>2</c:v>
                </c:pt>
                <c:pt idx="1820">
                  <c:v>1</c:v>
                </c:pt>
                <c:pt idx="1821">
                  <c:v>1</c:v>
                </c:pt>
                <c:pt idx="1822">
                  <c:v>10</c:v>
                </c:pt>
                <c:pt idx="1823">
                  <c:v>7</c:v>
                </c:pt>
                <c:pt idx="1824">
                  <c:v>2</c:v>
                </c:pt>
                <c:pt idx="1825">
                  <c:v>3</c:v>
                </c:pt>
                <c:pt idx="1826">
                  <c:v>8</c:v>
                </c:pt>
                <c:pt idx="1827">
                  <c:v>6</c:v>
                </c:pt>
                <c:pt idx="1828">
                  <c:v>5</c:v>
                </c:pt>
                <c:pt idx="1829">
                  <c:v>5</c:v>
                </c:pt>
                <c:pt idx="1830">
                  <c:v>2</c:v>
                </c:pt>
                <c:pt idx="1831">
                  <c:v>3</c:v>
                </c:pt>
                <c:pt idx="1832">
                  <c:v>7</c:v>
                </c:pt>
                <c:pt idx="1833">
                  <c:v>5</c:v>
                </c:pt>
                <c:pt idx="1834">
                  <c:v>8</c:v>
                </c:pt>
                <c:pt idx="1835">
                  <c:v>1</c:v>
                </c:pt>
                <c:pt idx="1836">
                  <c:v>10</c:v>
                </c:pt>
                <c:pt idx="1837">
                  <c:v>6</c:v>
                </c:pt>
                <c:pt idx="1838">
                  <c:v>7</c:v>
                </c:pt>
                <c:pt idx="1839">
                  <c:v>10</c:v>
                </c:pt>
                <c:pt idx="1840">
                  <c:v>5</c:v>
                </c:pt>
                <c:pt idx="1841">
                  <c:v>4</c:v>
                </c:pt>
                <c:pt idx="1842">
                  <c:v>3</c:v>
                </c:pt>
                <c:pt idx="1843">
                  <c:v>6</c:v>
                </c:pt>
                <c:pt idx="1844">
                  <c:v>8</c:v>
                </c:pt>
                <c:pt idx="1845">
                  <c:v>5</c:v>
                </c:pt>
                <c:pt idx="1846">
                  <c:v>7</c:v>
                </c:pt>
                <c:pt idx="1847">
                  <c:v>10</c:v>
                </c:pt>
                <c:pt idx="1848">
                  <c:v>1</c:v>
                </c:pt>
                <c:pt idx="1849">
                  <c:v>9</c:v>
                </c:pt>
                <c:pt idx="1850">
                  <c:v>2</c:v>
                </c:pt>
                <c:pt idx="1851">
                  <c:v>9</c:v>
                </c:pt>
                <c:pt idx="1852">
                  <c:v>1</c:v>
                </c:pt>
                <c:pt idx="1853">
                  <c:v>9</c:v>
                </c:pt>
                <c:pt idx="1854">
                  <c:v>5</c:v>
                </c:pt>
                <c:pt idx="1855">
                  <c:v>10</c:v>
                </c:pt>
                <c:pt idx="1856">
                  <c:v>10</c:v>
                </c:pt>
                <c:pt idx="1857">
                  <c:v>4</c:v>
                </c:pt>
                <c:pt idx="1858">
                  <c:v>8</c:v>
                </c:pt>
                <c:pt idx="1859">
                  <c:v>5</c:v>
                </c:pt>
                <c:pt idx="1860">
                  <c:v>1</c:v>
                </c:pt>
                <c:pt idx="1861">
                  <c:v>8</c:v>
                </c:pt>
                <c:pt idx="1862">
                  <c:v>4</c:v>
                </c:pt>
                <c:pt idx="1863">
                  <c:v>4</c:v>
                </c:pt>
                <c:pt idx="1864">
                  <c:v>6</c:v>
                </c:pt>
                <c:pt idx="1865">
                  <c:v>3</c:v>
                </c:pt>
                <c:pt idx="1866">
                  <c:v>1</c:v>
                </c:pt>
                <c:pt idx="1867">
                  <c:v>8</c:v>
                </c:pt>
                <c:pt idx="1868">
                  <c:v>7</c:v>
                </c:pt>
                <c:pt idx="1869">
                  <c:v>6</c:v>
                </c:pt>
                <c:pt idx="1870">
                  <c:v>8</c:v>
                </c:pt>
                <c:pt idx="1871">
                  <c:v>1</c:v>
                </c:pt>
                <c:pt idx="1872">
                  <c:v>6</c:v>
                </c:pt>
                <c:pt idx="1873">
                  <c:v>5</c:v>
                </c:pt>
                <c:pt idx="1874">
                  <c:v>1</c:v>
                </c:pt>
                <c:pt idx="1875">
                  <c:v>2</c:v>
                </c:pt>
                <c:pt idx="1876">
                  <c:v>1</c:v>
                </c:pt>
                <c:pt idx="1877">
                  <c:v>9</c:v>
                </c:pt>
                <c:pt idx="1878">
                  <c:v>6</c:v>
                </c:pt>
                <c:pt idx="1879">
                  <c:v>3</c:v>
                </c:pt>
                <c:pt idx="1880">
                  <c:v>5</c:v>
                </c:pt>
                <c:pt idx="1881">
                  <c:v>1</c:v>
                </c:pt>
                <c:pt idx="1882">
                  <c:v>1</c:v>
                </c:pt>
                <c:pt idx="1883">
                  <c:v>4</c:v>
                </c:pt>
                <c:pt idx="1884">
                  <c:v>8</c:v>
                </c:pt>
                <c:pt idx="1885">
                  <c:v>4</c:v>
                </c:pt>
                <c:pt idx="1886">
                  <c:v>10</c:v>
                </c:pt>
                <c:pt idx="1887">
                  <c:v>5</c:v>
                </c:pt>
                <c:pt idx="1888">
                  <c:v>3</c:v>
                </c:pt>
                <c:pt idx="1889">
                  <c:v>4</c:v>
                </c:pt>
                <c:pt idx="1890">
                  <c:v>2</c:v>
                </c:pt>
                <c:pt idx="1891">
                  <c:v>9</c:v>
                </c:pt>
                <c:pt idx="1892">
                  <c:v>1</c:v>
                </c:pt>
                <c:pt idx="1893">
                  <c:v>3</c:v>
                </c:pt>
                <c:pt idx="1894">
                  <c:v>10</c:v>
                </c:pt>
                <c:pt idx="1895">
                  <c:v>2</c:v>
                </c:pt>
                <c:pt idx="1896">
                  <c:v>3</c:v>
                </c:pt>
                <c:pt idx="1897">
                  <c:v>9</c:v>
                </c:pt>
                <c:pt idx="1898">
                  <c:v>3</c:v>
                </c:pt>
                <c:pt idx="1899">
                  <c:v>1</c:v>
                </c:pt>
                <c:pt idx="1900">
                  <c:v>6</c:v>
                </c:pt>
                <c:pt idx="1901">
                  <c:v>2</c:v>
                </c:pt>
                <c:pt idx="1902">
                  <c:v>8</c:v>
                </c:pt>
                <c:pt idx="1903">
                  <c:v>8</c:v>
                </c:pt>
                <c:pt idx="1904">
                  <c:v>6</c:v>
                </c:pt>
                <c:pt idx="1905">
                  <c:v>9</c:v>
                </c:pt>
                <c:pt idx="1906">
                  <c:v>8</c:v>
                </c:pt>
                <c:pt idx="1907">
                  <c:v>4</c:v>
                </c:pt>
                <c:pt idx="1908">
                  <c:v>5</c:v>
                </c:pt>
                <c:pt idx="1909">
                  <c:v>3</c:v>
                </c:pt>
                <c:pt idx="1910">
                  <c:v>7</c:v>
                </c:pt>
                <c:pt idx="1911">
                  <c:v>10</c:v>
                </c:pt>
                <c:pt idx="1912">
                  <c:v>2</c:v>
                </c:pt>
                <c:pt idx="1913">
                  <c:v>1</c:v>
                </c:pt>
                <c:pt idx="1914">
                  <c:v>6</c:v>
                </c:pt>
                <c:pt idx="1915">
                  <c:v>6</c:v>
                </c:pt>
                <c:pt idx="1916">
                  <c:v>2</c:v>
                </c:pt>
                <c:pt idx="1917">
                  <c:v>1</c:v>
                </c:pt>
                <c:pt idx="1918">
                  <c:v>8</c:v>
                </c:pt>
                <c:pt idx="1919">
                  <c:v>2</c:v>
                </c:pt>
                <c:pt idx="1920">
                  <c:v>1</c:v>
                </c:pt>
                <c:pt idx="1921">
                  <c:v>5</c:v>
                </c:pt>
                <c:pt idx="1922">
                  <c:v>1</c:v>
                </c:pt>
                <c:pt idx="1923">
                  <c:v>10</c:v>
                </c:pt>
                <c:pt idx="1924">
                  <c:v>1</c:v>
                </c:pt>
                <c:pt idx="1925">
                  <c:v>4</c:v>
                </c:pt>
                <c:pt idx="1926">
                  <c:v>7</c:v>
                </c:pt>
                <c:pt idx="1927">
                  <c:v>6</c:v>
                </c:pt>
                <c:pt idx="1928">
                  <c:v>1</c:v>
                </c:pt>
                <c:pt idx="1929">
                  <c:v>1</c:v>
                </c:pt>
                <c:pt idx="1930">
                  <c:v>6</c:v>
                </c:pt>
                <c:pt idx="1931">
                  <c:v>5</c:v>
                </c:pt>
                <c:pt idx="1932">
                  <c:v>5</c:v>
                </c:pt>
                <c:pt idx="1933">
                  <c:v>2</c:v>
                </c:pt>
                <c:pt idx="1934">
                  <c:v>1</c:v>
                </c:pt>
                <c:pt idx="1935">
                  <c:v>10</c:v>
                </c:pt>
                <c:pt idx="1936">
                  <c:v>9</c:v>
                </c:pt>
                <c:pt idx="1937">
                  <c:v>3</c:v>
                </c:pt>
                <c:pt idx="1938">
                  <c:v>9</c:v>
                </c:pt>
                <c:pt idx="1939">
                  <c:v>10</c:v>
                </c:pt>
                <c:pt idx="1940">
                  <c:v>6</c:v>
                </c:pt>
                <c:pt idx="1941">
                  <c:v>10</c:v>
                </c:pt>
                <c:pt idx="1942">
                  <c:v>6</c:v>
                </c:pt>
                <c:pt idx="1943">
                  <c:v>10</c:v>
                </c:pt>
                <c:pt idx="1944">
                  <c:v>2</c:v>
                </c:pt>
                <c:pt idx="1945">
                  <c:v>2</c:v>
                </c:pt>
                <c:pt idx="1946">
                  <c:v>8</c:v>
                </c:pt>
                <c:pt idx="1947">
                  <c:v>4</c:v>
                </c:pt>
                <c:pt idx="1948">
                  <c:v>2</c:v>
                </c:pt>
                <c:pt idx="1949">
                  <c:v>9</c:v>
                </c:pt>
                <c:pt idx="1950">
                  <c:v>4</c:v>
                </c:pt>
                <c:pt idx="1951">
                  <c:v>5</c:v>
                </c:pt>
                <c:pt idx="1952">
                  <c:v>4</c:v>
                </c:pt>
                <c:pt idx="1953">
                  <c:v>2</c:v>
                </c:pt>
                <c:pt idx="1954">
                  <c:v>8</c:v>
                </c:pt>
                <c:pt idx="1955">
                  <c:v>3</c:v>
                </c:pt>
                <c:pt idx="1956">
                  <c:v>9</c:v>
                </c:pt>
                <c:pt idx="1957">
                  <c:v>3</c:v>
                </c:pt>
                <c:pt idx="1958">
                  <c:v>9</c:v>
                </c:pt>
                <c:pt idx="1959">
                  <c:v>1</c:v>
                </c:pt>
                <c:pt idx="1960">
                  <c:v>3</c:v>
                </c:pt>
                <c:pt idx="1961">
                  <c:v>3</c:v>
                </c:pt>
                <c:pt idx="1962">
                  <c:v>9</c:v>
                </c:pt>
                <c:pt idx="1963">
                  <c:v>7</c:v>
                </c:pt>
                <c:pt idx="1964">
                  <c:v>4</c:v>
                </c:pt>
                <c:pt idx="1965">
                  <c:v>6</c:v>
                </c:pt>
                <c:pt idx="1966">
                  <c:v>6</c:v>
                </c:pt>
                <c:pt idx="1967">
                  <c:v>2</c:v>
                </c:pt>
                <c:pt idx="1968">
                  <c:v>5</c:v>
                </c:pt>
                <c:pt idx="1969">
                  <c:v>10</c:v>
                </c:pt>
                <c:pt idx="1970">
                  <c:v>9</c:v>
                </c:pt>
                <c:pt idx="1971">
                  <c:v>8</c:v>
                </c:pt>
                <c:pt idx="1972">
                  <c:v>1</c:v>
                </c:pt>
                <c:pt idx="1973">
                  <c:v>7</c:v>
                </c:pt>
                <c:pt idx="1974">
                  <c:v>6</c:v>
                </c:pt>
                <c:pt idx="1975">
                  <c:v>4</c:v>
                </c:pt>
                <c:pt idx="1976">
                  <c:v>1</c:v>
                </c:pt>
                <c:pt idx="1977">
                  <c:v>5</c:v>
                </c:pt>
                <c:pt idx="1978">
                  <c:v>3</c:v>
                </c:pt>
                <c:pt idx="1979">
                  <c:v>9</c:v>
                </c:pt>
                <c:pt idx="1980">
                  <c:v>10</c:v>
                </c:pt>
                <c:pt idx="1981">
                  <c:v>2</c:v>
                </c:pt>
                <c:pt idx="1982">
                  <c:v>5</c:v>
                </c:pt>
                <c:pt idx="1983">
                  <c:v>2</c:v>
                </c:pt>
                <c:pt idx="1984">
                  <c:v>8</c:v>
                </c:pt>
                <c:pt idx="1985">
                  <c:v>5</c:v>
                </c:pt>
                <c:pt idx="1986">
                  <c:v>8</c:v>
                </c:pt>
                <c:pt idx="1987">
                  <c:v>7</c:v>
                </c:pt>
                <c:pt idx="1988">
                  <c:v>7</c:v>
                </c:pt>
                <c:pt idx="1989">
                  <c:v>7</c:v>
                </c:pt>
                <c:pt idx="1990">
                  <c:v>10</c:v>
                </c:pt>
                <c:pt idx="1991">
                  <c:v>8</c:v>
                </c:pt>
                <c:pt idx="1992">
                  <c:v>4</c:v>
                </c:pt>
                <c:pt idx="1993">
                  <c:v>2</c:v>
                </c:pt>
                <c:pt idx="1994">
                  <c:v>5</c:v>
                </c:pt>
                <c:pt idx="1995">
                  <c:v>2</c:v>
                </c:pt>
                <c:pt idx="1996">
                  <c:v>7</c:v>
                </c:pt>
                <c:pt idx="1997">
                  <c:v>9</c:v>
                </c:pt>
                <c:pt idx="1998">
                  <c:v>4</c:v>
                </c:pt>
                <c:pt idx="19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8-A144-8A0F-08AD4723E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987840"/>
        <c:axId val="1461992768"/>
      </c:scatterChart>
      <c:valAx>
        <c:axId val="14619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Sessions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92768"/>
        <c:crosses val="autoZero"/>
        <c:crossBetween val="midCat"/>
      </c:valAx>
      <c:valAx>
        <c:axId val="14619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Feedback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8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FeedbackScore vs TotalSessions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CustomerSubscriptions!$I$1</c:f>
              <c:strCache>
                <c:ptCount val="1"/>
                <c:pt idx="0">
                  <c:v>FeedbackScore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CustomerSubscriptions!$H$2:$H$2001</c:f>
              <c:numCache>
                <c:formatCode>General</c:formatCode>
                <c:ptCount val="2000"/>
                <c:pt idx="0">
                  <c:v>41</c:v>
                </c:pt>
                <c:pt idx="1">
                  <c:v>50</c:v>
                </c:pt>
                <c:pt idx="2">
                  <c:v>55</c:v>
                </c:pt>
                <c:pt idx="3">
                  <c:v>10</c:v>
                </c:pt>
                <c:pt idx="4">
                  <c:v>63</c:v>
                </c:pt>
                <c:pt idx="5">
                  <c:v>22</c:v>
                </c:pt>
                <c:pt idx="6">
                  <c:v>18</c:v>
                </c:pt>
                <c:pt idx="7">
                  <c:v>15</c:v>
                </c:pt>
                <c:pt idx="8">
                  <c:v>38</c:v>
                </c:pt>
                <c:pt idx="9">
                  <c:v>31</c:v>
                </c:pt>
                <c:pt idx="10">
                  <c:v>62</c:v>
                </c:pt>
                <c:pt idx="11">
                  <c:v>0</c:v>
                </c:pt>
                <c:pt idx="12">
                  <c:v>42</c:v>
                </c:pt>
                <c:pt idx="13">
                  <c:v>49</c:v>
                </c:pt>
                <c:pt idx="14">
                  <c:v>73</c:v>
                </c:pt>
                <c:pt idx="15">
                  <c:v>39</c:v>
                </c:pt>
                <c:pt idx="16">
                  <c:v>3</c:v>
                </c:pt>
                <c:pt idx="17">
                  <c:v>52</c:v>
                </c:pt>
                <c:pt idx="18">
                  <c:v>31</c:v>
                </c:pt>
                <c:pt idx="19">
                  <c:v>12</c:v>
                </c:pt>
                <c:pt idx="20">
                  <c:v>63</c:v>
                </c:pt>
                <c:pt idx="21">
                  <c:v>9</c:v>
                </c:pt>
                <c:pt idx="22">
                  <c:v>77</c:v>
                </c:pt>
                <c:pt idx="23">
                  <c:v>47</c:v>
                </c:pt>
                <c:pt idx="24">
                  <c:v>47</c:v>
                </c:pt>
                <c:pt idx="25">
                  <c:v>10</c:v>
                </c:pt>
                <c:pt idx="26">
                  <c:v>71</c:v>
                </c:pt>
                <c:pt idx="27">
                  <c:v>26</c:v>
                </c:pt>
                <c:pt idx="28">
                  <c:v>42</c:v>
                </c:pt>
                <c:pt idx="29">
                  <c:v>26</c:v>
                </c:pt>
                <c:pt idx="30">
                  <c:v>62</c:v>
                </c:pt>
                <c:pt idx="31">
                  <c:v>37</c:v>
                </c:pt>
                <c:pt idx="32">
                  <c:v>27</c:v>
                </c:pt>
                <c:pt idx="33">
                  <c:v>68</c:v>
                </c:pt>
                <c:pt idx="34">
                  <c:v>26</c:v>
                </c:pt>
                <c:pt idx="35">
                  <c:v>38</c:v>
                </c:pt>
                <c:pt idx="36">
                  <c:v>6</c:v>
                </c:pt>
                <c:pt idx="37">
                  <c:v>43</c:v>
                </c:pt>
                <c:pt idx="38">
                  <c:v>79</c:v>
                </c:pt>
                <c:pt idx="39">
                  <c:v>31</c:v>
                </c:pt>
                <c:pt idx="40">
                  <c:v>71</c:v>
                </c:pt>
                <c:pt idx="41">
                  <c:v>71</c:v>
                </c:pt>
                <c:pt idx="42">
                  <c:v>15</c:v>
                </c:pt>
                <c:pt idx="43">
                  <c:v>33</c:v>
                </c:pt>
                <c:pt idx="44">
                  <c:v>45</c:v>
                </c:pt>
                <c:pt idx="45">
                  <c:v>5</c:v>
                </c:pt>
                <c:pt idx="46">
                  <c:v>66</c:v>
                </c:pt>
                <c:pt idx="47">
                  <c:v>1</c:v>
                </c:pt>
                <c:pt idx="48">
                  <c:v>47</c:v>
                </c:pt>
                <c:pt idx="49">
                  <c:v>18</c:v>
                </c:pt>
                <c:pt idx="50">
                  <c:v>68</c:v>
                </c:pt>
                <c:pt idx="51">
                  <c:v>0</c:v>
                </c:pt>
                <c:pt idx="52">
                  <c:v>16</c:v>
                </c:pt>
                <c:pt idx="53">
                  <c:v>30</c:v>
                </c:pt>
                <c:pt idx="54">
                  <c:v>44</c:v>
                </c:pt>
                <c:pt idx="55">
                  <c:v>6</c:v>
                </c:pt>
                <c:pt idx="56">
                  <c:v>18</c:v>
                </c:pt>
                <c:pt idx="57">
                  <c:v>24</c:v>
                </c:pt>
                <c:pt idx="58">
                  <c:v>22</c:v>
                </c:pt>
                <c:pt idx="59">
                  <c:v>71</c:v>
                </c:pt>
                <c:pt idx="60">
                  <c:v>25</c:v>
                </c:pt>
                <c:pt idx="61">
                  <c:v>66</c:v>
                </c:pt>
                <c:pt idx="62">
                  <c:v>57</c:v>
                </c:pt>
                <c:pt idx="63">
                  <c:v>77</c:v>
                </c:pt>
                <c:pt idx="64">
                  <c:v>50</c:v>
                </c:pt>
                <c:pt idx="65">
                  <c:v>38</c:v>
                </c:pt>
                <c:pt idx="66">
                  <c:v>79</c:v>
                </c:pt>
                <c:pt idx="67">
                  <c:v>80</c:v>
                </c:pt>
                <c:pt idx="68">
                  <c:v>58</c:v>
                </c:pt>
                <c:pt idx="69">
                  <c:v>2</c:v>
                </c:pt>
                <c:pt idx="70">
                  <c:v>73</c:v>
                </c:pt>
                <c:pt idx="71">
                  <c:v>6</c:v>
                </c:pt>
                <c:pt idx="72">
                  <c:v>27</c:v>
                </c:pt>
                <c:pt idx="73">
                  <c:v>36</c:v>
                </c:pt>
                <c:pt idx="74">
                  <c:v>76</c:v>
                </c:pt>
                <c:pt idx="75">
                  <c:v>34</c:v>
                </c:pt>
                <c:pt idx="76">
                  <c:v>20</c:v>
                </c:pt>
                <c:pt idx="77">
                  <c:v>43</c:v>
                </c:pt>
                <c:pt idx="78">
                  <c:v>7</c:v>
                </c:pt>
                <c:pt idx="79">
                  <c:v>55</c:v>
                </c:pt>
                <c:pt idx="80">
                  <c:v>72</c:v>
                </c:pt>
                <c:pt idx="81">
                  <c:v>35</c:v>
                </c:pt>
                <c:pt idx="82">
                  <c:v>65</c:v>
                </c:pt>
                <c:pt idx="83">
                  <c:v>70</c:v>
                </c:pt>
                <c:pt idx="84">
                  <c:v>43</c:v>
                </c:pt>
                <c:pt idx="85">
                  <c:v>6</c:v>
                </c:pt>
                <c:pt idx="86">
                  <c:v>11</c:v>
                </c:pt>
                <c:pt idx="87">
                  <c:v>54</c:v>
                </c:pt>
                <c:pt idx="88">
                  <c:v>9</c:v>
                </c:pt>
                <c:pt idx="89">
                  <c:v>60</c:v>
                </c:pt>
                <c:pt idx="90">
                  <c:v>47</c:v>
                </c:pt>
                <c:pt idx="91">
                  <c:v>28</c:v>
                </c:pt>
                <c:pt idx="92">
                  <c:v>35</c:v>
                </c:pt>
                <c:pt idx="93">
                  <c:v>26</c:v>
                </c:pt>
                <c:pt idx="94">
                  <c:v>55</c:v>
                </c:pt>
                <c:pt idx="95">
                  <c:v>27</c:v>
                </c:pt>
                <c:pt idx="96">
                  <c:v>18</c:v>
                </c:pt>
                <c:pt idx="97">
                  <c:v>53</c:v>
                </c:pt>
                <c:pt idx="98">
                  <c:v>72</c:v>
                </c:pt>
                <c:pt idx="99">
                  <c:v>46</c:v>
                </c:pt>
                <c:pt idx="100">
                  <c:v>30</c:v>
                </c:pt>
                <c:pt idx="101">
                  <c:v>43</c:v>
                </c:pt>
                <c:pt idx="102">
                  <c:v>50</c:v>
                </c:pt>
                <c:pt idx="103">
                  <c:v>15</c:v>
                </c:pt>
                <c:pt idx="104">
                  <c:v>24</c:v>
                </c:pt>
                <c:pt idx="105">
                  <c:v>52</c:v>
                </c:pt>
                <c:pt idx="106">
                  <c:v>77</c:v>
                </c:pt>
                <c:pt idx="107">
                  <c:v>45</c:v>
                </c:pt>
                <c:pt idx="108">
                  <c:v>75</c:v>
                </c:pt>
                <c:pt idx="109">
                  <c:v>6</c:v>
                </c:pt>
                <c:pt idx="110">
                  <c:v>0</c:v>
                </c:pt>
                <c:pt idx="111">
                  <c:v>67</c:v>
                </c:pt>
                <c:pt idx="112">
                  <c:v>26</c:v>
                </c:pt>
                <c:pt idx="113">
                  <c:v>3</c:v>
                </c:pt>
                <c:pt idx="114">
                  <c:v>10</c:v>
                </c:pt>
                <c:pt idx="115">
                  <c:v>65</c:v>
                </c:pt>
                <c:pt idx="116">
                  <c:v>78</c:v>
                </c:pt>
                <c:pt idx="117">
                  <c:v>31</c:v>
                </c:pt>
                <c:pt idx="118">
                  <c:v>25</c:v>
                </c:pt>
                <c:pt idx="119">
                  <c:v>57</c:v>
                </c:pt>
                <c:pt idx="120">
                  <c:v>49</c:v>
                </c:pt>
                <c:pt idx="121">
                  <c:v>74</c:v>
                </c:pt>
                <c:pt idx="122">
                  <c:v>16</c:v>
                </c:pt>
                <c:pt idx="123">
                  <c:v>6</c:v>
                </c:pt>
                <c:pt idx="124">
                  <c:v>37</c:v>
                </c:pt>
                <c:pt idx="125">
                  <c:v>39</c:v>
                </c:pt>
                <c:pt idx="126">
                  <c:v>52</c:v>
                </c:pt>
                <c:pt idx="127">
                  <c:v>72</c:v>
                </c:pt>
                <c:pt idx="128">
                  <c:v>11</c:v>
                </c:pt>
                <c:pt idx="129">
                  <c:v>2</c:v>
                </c:pt>
                <c:pt idx="130">
                  <c:v>48</c:v>
                </c:pt>
                <c:pt idx="131">
                  <c:v>10</c:v>
                </c:pt>
                <c:pt idx="132">
                  <c:v>55</c:v>
                </c:pt>
                <c:pt idx="133">
                  <c:v>67</c:v>
                </c:pt>
                <c:pt idx="134">
                  <c:v>2</c:v>
                </c:pt>
                <c:pt idx="135">
                  <c:v>1</c:v>
                </c:pt>
                <c:pt idx="136">
                  <c:v>24</c:v>
                </c:pt>
                <c:pt idx="137">
                  <c:v>57</c:v>
                </c:pt>
                <c:pt idx="138">
                  <c:v>8</c:v>
                </c:pt>
                <c:pt idx="139">
                  <c:v>3</c:v>
                </c:pt>
                <c:pt idx="140">
                  <c:v>69</c:v>
                </c:pt>
                <c:pt idx="141">
                  <c:v>41</c:v>
                </c:pt>
                <c:pt idx="142">
                  <c:v>24</c:v>
                </c:pt>
                <c:pt idx="143">
                  <c:v>35</c:v>
                </c:pt>
                <c:pt idx="144">
                  <c:v>27</c:v>
                </c:pt>
                <c:pt idx="145">
                  <c:v>45</c:v>
                </c:pt>
                <c:pt idx="146">
                  <c:v>48</c:v>
                </c:pt>
                <c:pt idx="147">
                  <c:v>9</c:v>
                </c:pt>
                <c:pt idx="148">
                  <c:v>80</c:v>
                </c:pt>
                <c:pt idx="149">
                  <c:v>14</c:v>
                </c:pt>
                <c:pt idx="150">
                  <c:v>72</c:v>
                </c:pt>
                <c:pt idx="151">
                  <c:v>67</c:v>
                </c:pt>
                <c:pt idx="152">
                  <c:v>14</c:v>
                </c:pt>
                <c:pt idx="153">
                  <c:v>1</c:v>
                </c:pt>
                <c:pt idx="154">
                  <c:v>52</c:v>
                </c:pt>
                <c:pt idx="155">
                  <c:v>32</c:v>
                </c:pt>
                <c:pt idx="156">
                  <c:v>40</c:v>
                </c:pt>
                <c:pt idx="157">
                  <c:v>6</c:v>
                </c:pt>
                <c:pt idx="158">
                  <c:v>29</c:v>
                </c:pt>
                <c:pt idx="159">
                  <c:v>31</c:v>
                </c:pt>
                <c:pt idx="160">
                  <c:v>47</c:v>
                </c:pt>
                <c:pt idx="161">
                  <c:v>70</c:v>
                </c:pt>
                <c:pt idx="162">
                  <c:v>38</c:v>
                </c:pt>
                <c:pt idx="163">
                  <c:v>14</c:v>
                </c:pt>
                <c:pt idx="164">
                  <c:v>13</c:v>
                </c:pt>
                <c:pt idx="165">
                  <c:v>41</c:v>
                </c:pt>
                <c:pt idx="166">
                  <c:v>28</c:v>
                </c:pt>
                <c:pt idx="167">
                  <c:v>80</c:v>
                </c:pt>
                <c:pt idx="168">
                  <c:v>2</c:v>
                </c:pt>
                <c:pt idx="169">
                  <c:v>65</c:v>
                </c:pt>
                <c:pt idx="170">
                  <c:v>53</c:v>
                </c:pt>
                <c:pt idx="171">
                  <c:v>40</c:v>
                </c:pt>
                <c:pt idx="172">
                  <c:v>49</c:v>
                </c:pt>
                <c:pt idx="173">
                  <c:v>78</c:v>
                </c:pt>
                <c:pt idx="174">
                  <c:v>29</c:v>
                </c:pt>
                <c:pt idx="175">
                  <c:v>70</c:v>
                </c:pt>
                <c:pt idx="176">
                  <c:v>10</c:v>
                </c:pt>
                <c:pt idx="177">
                  <c:v>62</c:v>
                </c:pt>
                <c:pt idx="178">
                  <c:v>51</c:v>
                </c:pt>
                <c:pt idx="179">
                  <c:v>56</c:v>
                </c:pt>
                <c:pt idx="180">
                  <c:v>37</c:v>
                </c:pt>
                <c:pt idx="181">
                  <c:v>24</c:v>
                </c:pt>
                <c:pt idx="182">
                  <c:v>9</c:v>
                </c:pt>
                <c:pt idx="183">
                  <c:v>25</c:v>
                </c:pt>
                <c:pt idx="184">
                  <c:v>4</c:v>
                </c:pt>
                <c:pt idx="185">
                  <c:v>73</c:v>
                </c:pt>
                <c:pt idx="186">
                  <c:v>25</c:v>
                </c:pt>
                <c:pt idx="187">
                  <c:v>74</c:v>
                </c:pt>
                <c:pt idx="188">
                  <c:v>74</c:v>
                </c:pt>
                <c:pt idx="189">
                  <c:v>7</c:v>
                </c:pt>
                <c:pt idx="190">
                  <c:v>14</c:v>
                </c:pt>
                <c:pt idx="191">
                  <c:v>31</c:v>
                </c:pt>
                <c:pt idx="192">
                  <c:v>6</c:v>
                </c:pt>
                <c:pt idx="193">
                  <c:v>1</c:v>
                </c:pt>
                <c:pt idx="194">
                  <c:v>73</c:v>
                </c:pt>
                <c:pt idx="195">
                  <c:v>61</c:v>
                </c:pt>
                <c:pt idx="196">
                  <c:v>8</c:v>
                </c:pt>
                <c:pt idx="197">
                  <c:v>2</c:v>
                </c:pt>
                <c:pt idx="198">
                  <c:v>20</c:v>
                </c:pt>
                <c:pt idx="199">
                  <c:v>78</c:v>
                </c:pt>
                <c:pt idx="200">
                  <c:v>2</c:v>
                </c:pt>
                <c:pt idx="201">
                  <c:v>8</c:v>
                </c:pt>
                <c:pt idx="202">
                  <c:v>75</c:v>
                </c:pt>
                <c:pt idx="203">
                  <c:v>6</c:v>
                </c:pt>
                <c:pt idx="204">
                  <c:v>61</c:v>
                </c:pt>
                <c:pt idx="205">
                  <c:v>80</c:v>
                </c:pt>
                <c:pt idx="206">
                  <c:v>37</c:v>
                </c:pt>
                <c:pt idx="207">
                  <c:v>27</c:v>
                </c:pt>
                <c:pt idx="208">
                  <c:v>42</c:v>
                </c:pt>
                <c:pt idx="209">
                  <c:v>72</c:v>
                </c:pt>
                <c:pt idx="210">
                  <c:v>69</c:v>
                </c:pt>
                <c:pt idx="211">
                  <c:v>71</c:v>
                </c:pt>
                <c:pt idx="212">
                  <c:v>5</c:v>
                </c:pt>
                <c:pt idx="213">
                  <c:v>57</c:v>
                </c:pt>
                <c:pt idx="214">
                  <c:v>24</c:v>
                </c:pt>
                <c:pt idx="215">
                  <c:v>28</c:v>
                </c:pt>
                <c:pt idx="216">
                  <c:v>57</c:v>
                </c:pt>
                <c:pt idx="217">
                  <c:v>73</c:v>
                </c:pt>
                <c:pt idx="218">
                  <c:v>58</c:v>
                </c:pt>
                <c:pt idx="219">
                  <c:v>35</c:v>
                </c:pt>
                <c:pt idx="220">
                  <c:v>66</c:v>
                </c:pt>
                <c:pt idx="221">
                  <c:v>7</c:v>
                </c:pt>
                <c:pt idx="222">
                  <c:v>57</c:v>
                </c:pt>
                <c:pt idx="223">
                  <c:v>65</c:v>
                </c:pt>
                <c:pt idx="224">
                  <c:v>1</c:v>
                </c:pt>
                <c:pt idx="225">
                  <c:v>15</c:v>
                </c:pt>
                <c:pt idx="226">
                  <c:v>48</c:v>
                </c:pt>
                <c:pt idx="227">
                  <c:v>37</c:v>
                </c:pt>
                <c:pt idx="228">
                  <c:v>48</c:v>
                </c:pt>
                <c:pt idx="229">
                  <c:v>45</c:v>
                </c:pt>
                <c:pt idx="230">
                  <c:v>2</c:v>
                </c:pt>
                <c:pt idx="231">
                  <c:v>68</c:v>
                </c:pt>
                <c:pt idx="232">
                  <c:v>32</c:v>
                </c:pt>
                <c:pt idx="233">
                  <c:v>25</c:v>
                </c:pt>
                <c:pt idx="234">
                  <c:v>48</c:v>
                </c:pt>
                <c:pt idx="235">
                  <c:v>34</c:v>
                </c:pt>
                <c:pt idx="236">
                  <c:v>15</c:v>
                </c:pt>
                <c:pt idx="237">
                  <c:v>18</c:v>
                </c:pt>
                <c:pt idx="238">
                  <c:v>11</c:v>
                </c:pt>
                <c:pt idx="239">
                  <c:v>14</c:v>
                </c:pt>
                <c:pt idx="240">
                  <c:v>4</c:v>
                </c:pt>
                <c:pt idx="241">
                  <c:v>28</c:v>
                </c:pt>
                <c:pt idx="242">
                  <c:v>25</c:v>
                </c:pt>
                <c:pt idx="243">
                  <c:v>56</c:v>
                </c:pt>
                <c:pt idx="244">
                  <c:v>44</c:v>
                </c:pt>
                <c:pt idx="245">
                  <c:v>48</c:v>
                </c:pt>
                <c:pt idx="246">
                  <c:v>28</c:v>
                </c:pt>
                <c:pt idx="247">
                  <c:v>9</c:v>
                </c:pt>
                <c:pt idx="248">
                  <c:v>1</c:v>
                </c:pt>
                <c:pt idx="249">
                  <c:v>72</c:v>
                </c:pt>
                <c:pt idx="250">
                  <c:v>36</c:v>
                </c:pt>
                <c:pt idx="251">
                  <c:v>2</c:v>
                </c:pt>
                <c:pt idx="252">
                  <c:v>38</c:v>
                </c:pt>
                <c:pt idx="253">
                  <c:v>78</c:v>
                </c:pt>
                <c:pt idx="254">
                  <c:v>65</c:v>
                </c:pt>
                <c:pt idx="255">
                  <c:v>44</c:v>
                </c:pt>
                <c:pt idx="256">
                  <c:v>44</c:v>
                </c:pt>
                <c:pt idx="257">
                  <c:v>19</c:v>
                </c:pt>
                <c:pt idx="258">
                  <c:v>32</c:v>
                </c:pt>
                <c:pt idx="259">
                  <c:v>38</c:v>
                </c:pt>
                <c:pt idx="260">
                  <c:v>79</c:v>
                </c:pt>
                <c:pt idx="261">
                  <c:v>64</c:v>
                </c:pt>
                <c:pt idx="262">
                  <c:v>31</c:v>
                </c:pt>
                <c:pt idx="263">
                  <c:v>54</c:v>
                </c:pt>
                <c:pt idx="264">
                  <c:v>62</c:v>
                </c:pt>
                <c:pt idx="265">
                  <c:v>5</c:v>
                </c:pt>
                <c:pt idx="266">
                  <c:v>44</c:v>
                </c:pt>
                <c:pt idx="267">
                  <c:v>10</c:v>
                </c:pt>
                <c:pt idx="268">
                  <c:v>33</c:v>
                </c:pt>
                <c:pt idx="269">
                  <c:v>77</c:v>
                </c:pt>
                <c:pt idx="270">
                  <c:v>26</c:v>
                </c:pt>
                <c:pt idx="271">
                  <c:v>34</c:v>
                </c:pt>
                <c:pt idx="272">
                  <c:v>27</c:v>
                </c:pt>
                <c:pt idx="273">
                  <c:v>8</c:v>
                </c:pt>
                <c:pt idx="274">
                  <c:v>48</c:v>
                </c:pt>
                <c:pt idx="275">
                  <c:v>22</c:v>
                </c:pt>
                <c:pt idx="276">
                  <c:v>79</c:v>
                </c:pt>
                <c:pt idx="277">
                  <c:v>63</c:v>
                </c:pt>
                <c:pt idx="278">
                  <c:v>58</c:v>
                </c:pt>
                <c:pt idx="279">
                  <c:v>76</c:v>
                </c:pt>
                <c:pt idx="280">
                  <c:v>61</c:v>
                </c:pt>
                <c:pt idx="281">
                  <c:v>55</c:v>
                </c:pt>
                <c:pt idx="282">
                  <c:v>31</c:v>
                </c:pt>
                <c:pt idx="283">
                  <c:v>63</c:v>
                </c:pt>
                <c:pt idx="284">
                  <c:v>14</c:v>
                </c:pt>
                <c:pt idx="285">
                  <c:v>66</c:v>
                </c:pt>
                <c:pt idx="286">
                  <c:v>57</c:v>
                </c:pt>
                <c:pt idx="287">
                  <c:v>26</c:v>
                </c:pt>
                <c:pt idx="288">
                  <c:v>21</c:v>
                </c:pt>
                <c:pt idx="289">
                  <c:v>44</c:v>
                </c:pt>
                <c:pt idx="290">
                  <c:v>74</c:v>
                </c:pt>
                <c:pt idx="291">
                  <c:v>71</c:v>
                </c:pt>
                <c:pt idx="292">
                  <c:v>68</c:v>
                </c:pt>
                <c:pt idx="293">
                  <c:v>75</c:v>
                </c:pt>
                <c:pt idx="294">
                  <c:v>56</c:v>
                </c:pt>
                <c:pt idx="295">
                  <c:v>8</c:v>
                </c:pt>
                <c:pt idx="296">
                  <c:v>18</c:v>
                </c:pt>
                <c:pt idx="297">
                  <c:v>33</c:v>
                </c:pt>
                <c:pt idx="298">
                  <c:v>33</c:v>
                </c:pt>
                <c:pt idx="299">
                  <c:v>41</c:v>
                </c:pt>
                <c:pt idx="300">
                  <c:v>72</c:v>
                </c:pt>
                <c:pt idx="301">
                  <c:v>16</c:v>
                </c:pt>
                <c:pt idx="302">
                  <c:v>16</c:v>
                </c:pt>
                <c:pt idx="303">
                  <c:v>8</c:v>
                </c:pt>
                <c:pt idx="304">
                  <c:v>47</c:v>
                </c:pt>
                <c:pt idx="305">
                  <c:v>55</c:v>
                </c:pt>
                <c:pt idx="306">
                  <c:v>9</c:v>
                </c:pt>
                <c:pt idx="307">
                  <c:v>21</c:v>
                </c:pt>
                <c:pt idx="308">
                  <c:v>74</c:v>
                </c:pt>
                <c:pt idx="309">
                  <c:v>9</c:v>
                </c:pt>
                <c:pt idx="310">
                  <c:v>77</c:v>
                </c:pt>
                <c:pt idx="311">
                  <c:v>16</c:v>
                </c:pt>
                <c:pt idx="312">
                  <c:v>62</c:v>
                </c:pt>
                <c:pt idx="313">
                  <c:v>65</c:v>
                </c:pt>
                <c:pt idx="314">
                  <c:v>62</c:v>
                </c:pt>
                <c:pt idx="315">
                  <c:v>16</c:v>
                </c:pt>
                <c:pt idx="316">
                  <c:v>17</c:v>
                </c:pt>
                <c:pt idx="317">
                  <c:v>11</c:v>
                </c:pt>
                <c:pt idx="318">
                  <c:v>0</c:v>
                </c:pt>
                <c:pt idx="319">
                  <c:v>28</c:v>
                </c:pt>
                <c:pt idx="320">
                  <c:v>28</c:v>
                </c:pt>
                <c:pt idx="321">
                  <c:v>4</c:v>
                </c:pt>
                <c:pt idx="322">
                  <c:v>18</c:v>
                </c:pt>
                <c:pt idx="323">
                  <c:v>78</c:v>
                </c:pt>
                <c:pt idx="324">
                  <c:v>10</c:v>
                </c:pt>
                <c:pt idx="325">
                  <c:v>55</c:v>
                </c:pt>
                <c:pt idx="326">
                  <c:v>22</c:v>
                </c:pt>
                <c:pt idx="327">
                  <c:v>47</c:v>
                </c:pt>
                <c:pt idx="328">
                  <c:v>16</c:v>
                </c:pt>
                <c:pt idx="329">
                  <c:v>71</c:v>
                </c:pt>
                <c:pt idx="330">
                  <c:v>50</c:v>
                </c:pt>
                <c:pt idx="331">
                  <c:v>79</c:v>
                </c:pt>
                <c:pt idx="332">
                  <c:v>32</c:v>
                </c:pt>
                <c:pt idx="333">
                  <c:v>9</c:v>
                </c:pt>
                <c:pt idx="334">
                  <c:v>57</c:v>
                </c:pt>
                <c:pt idx="335">
                  <c:v>77</c:v>
                </c:pt>
                <c:pt idx="336">
                  <c:v>61</c:v>
                </c:pt>
                <c:pt idx="337">
                  <c:v>52</c:v>
                </c:pt>
                <c:pt idx="338">
                  <c:v>38</c:v>
                </c:pt>
                <c:pt idx="339">
                  <c:v>69</c:v>
                </c:pt>
                <c:pt idx="340">
                  <c:v>49</c:v>
                </c:pt>
                <c:pt idx="341">
                  <c:v>71</c:v>
                </c:pt>
                <c:pt idx="342">
                  <c:v>38</c:v>
                </c:pt>
                <c:pt idx="343">
                  <c:v>14</c:v>
                </c:pt>
                <c:pt idx="344">
                  <c:v>13</c:v>
                </c:pt>
                <c:pt idx="345">
                  <c:v>16</c:v>
                </c:pt>
                <c:pt idx="346">
                  <c:v>33</c:v>
                </c:pt>
                <c:pt idx="347">
                  <c:v>5</c:v>
                </c:pt>
                <c:pt idx="348">
                  <c:v>33</c:v>
                </c:pt>
                <c:pt idx="349">
                  <c:v>50</c:v>
                </c:pt>
                <c:pt idx="350">
                  <c:v>71</c:v>
                </c:pt>
                <c:pt idx="351">
                  <c:v>2</c:v>
                </c:pt>
                <c:pt idx="352">
                  <c:v>46</c:v>
                </c:pt>
                <c:pt idx="353">
                  <c:v>55</c:v>
                </c:pt>
                <c:pt idx="354">
                  <c:v>56</c:v>
                </c:pt>
                <c:pt idx="355">
                  <c:v>36</c:v>
                </c:pt>
                <c:pt idx="356">
                  <c:v>53</c:v>
                </c:pt>
                <c:pt idx="357">
                  <c:v>63</c:v>
                </c:pt>
                <c:pt idx="358">
                  <c:v>15</c:v>
                </c:pt>
                <c:pt idx="359">
                  <c:v>60</c:v>
                </c:pt>
                <c:pt idx="360">
                  <c:v>32</c:v>
                </c:pt>
                <c:pt idx="361">
                  <c:v>36</c:v>
                </c:pt>
                <c:pt idx="362">
                  <c:v>39</c:v>
                </c:pt>
                <c:pt idx="363">
                  <c:v>37</c:v>
                </c:pt>
                <c:pt idx="364">
                  <c:v>40</c:v>
                </c:pt>
                <c:pt idx="365">
                  <c:v>45</c:v>
                </c:pt>
                <c:pt idx="366">
                  <c:v>4</c:v>
                </c:pt>
                <c:pt idx="367">
                  <c:v>8</c:v>
                </c:pt>
                <c:pt idx="368">
                  <c:v>56</c:v>
                </c:pt>
                <c:pt idx="369">
                  <c:v>71</c:v>
                </c:pt>
                <c:pt idx="370">
                  <c:v>13</c:v>
                </c:pt>
                <c:pt idx="371">
                  <c:v>49</c:v>
                </c:pt>
                <c:pt idx="372">
                  <c:v>60</c:v>
                </c:pt>
                <c:pt idx="373">
                  <c:v>3</c:v>
                </c:pt>
                <c:pt idx="374">
                  <c:v>53</c:v>
                </c:pt>
                <c:pt idx="375">
                  <c:v>64</c:v>
                </c:pt>
                <c:pt idx="376">
                  <c:v>5</c:v>
                </c:pt>
                <c:pt idx="377">
                  <c:v>39</c:v>
                </c:pt>
                <c:pt idx="378">
                  <c:v>57</c:v>
                </c:pt>
                <c:pt idx="379">
                  <c:v>0</c:v>
                </c:pt>
                <c:pt idx="380">
                  <c:v>9</c:v>
                </c:pt>
                <c:pt idx="381">
                  <c:v>60</c:v>
                </c:pt>
                <c:pt idx="382">
                  <c:v>16</c:v>
                </c:pt>
                <c:pt idx="383">
                  <c:v>61</c:v>
                </c:pt>
                <c:pt idx="384">
                  <c:v>73</c:v>
                </c:pt>
                <c:pt idx="385">
                  <c:v>10</c:v>
                </c:pt>
                <c:pt idx="386">
                  <c:v>52</c:v>
                </c:pt>
                <c:pt idx="387">
                  <c:v>71</c:v>
                </c:pt>
                <c:pt idx="388">
                  <c:v>30</c:v>
                </c:pt>
                <c:pt idx="389">
                  <c:v>17</c:v>
                </c:pt>
                <c:pt idx="390">
                  <c:v>77</c:v>
                </c:pt>
                <c:pt idx="391">
                  <c:v>62</c:v>
                </c:pt>
                <c:pt idx="392">
                  <c:v>32</c:v>
                </c:pt>
                <c:pt idx="393">
                  <c:v>14</c:v>
                </c:pt>
                <c:pt idx="394">
                  <c:v>1</c:v>
                </c:pt>
                <c:pt idx="395">
                  <c:v>71</c:v>
                </c:pt>
                <c:pt idx="396">
                  <c:v>31</c:v>
                </c:pt>
                <c:pt idx="397">
                  <c:v>42</c:v>
                </c:pt>
                <c:pt idx="398">
                  <c:v>34</c:v>
                </c:pt>
                <c:pt idx="399">
                  <c:v>32</c:v>
                </c:pt>
                <c:pt idx="400">
                  <c:v>63</c:v>
                </c:pt>
                <c:pt idx="401">
                  <c:v>76</c:v>
                </c:pt>
                <c:pt idx="402">
                  <c:v>71</c:v>
                </c:pt>
                <c:pt idx="403">
                  <c:v>16</c:v>
                </c:pt>
                <c:pt idx="404">
                  <c:v>80</c:v>
                </c:pt>
                <c:pt idx="405">
                  <c:v>56</c:v>
                </c:pt>
                <c:pt idx="406">
                  <c:v>59</c:v>
                </c:pt>
                <c:pt idx="407">
                  <c:v>18</c:v>
                </c:pt>
                <c:pt idx="408">
                  <c:v>30</c:v>
                </c:pt>
                <c:pt idx="409">
                  <c:v>22</c:v>
                </c:pt>
                <c:pt idx="410">
                  <c:v>29</c:v>
                </c:pt>
                <c:pt idx="411">
                  <c:v>54</c:v>
                </c:pt>
                <c:pt idx="412">
                  <c:v>71</c:v>
                </c:pt>
                <c:pt idx="413">
                  <c:v>78</c:v>
                </c:pt>
                <c:pt idx="414">
                  <c:v>26</c:v>
                </c:pt>
                <c:pt idx="415">
                  <c:v>9</c:v>
                </c:pt>
                <c:pt idx="416">
                  <c:v>63</c:v>
                </c:pt>
                <c:pt idx="417">
                  <c:v>55</c:v>
                </c:pt>
                <c:pt idx="418">
                  <c:v>7</c:v>
                </c:pt>
                <c:pt idx="419">
                  <c:v>68</c:v>
                </c:pt>
                <c:pt idx="420">
                  <c:v>46</c:v>
                </c:pt>
                <c:pt idx="421">
                  <c:v>49</c:v>
                </c:pt>
                <c:pt idx="422">
                  <c:v>15</c:v>
                </c:pt>
                <c:pt idx="423">
                  <c:v>0</c:v>
                </c:pt>
                <c:pt idx="424">
                  <c:v>10</c:v>
                </c:pt>
                <c:pt idx="425">
                  <c:v>32</c:v>
                </c:pt>
                <c:pt idx="426">
                  <c:v>69</c:v>
                </c:pt>
                <c:pt idx="427">
                  <c:v>56</c:v>
                </c:pt>
                <c:pt idx="428">
                  <c:v>18</c:v>
                </c:pt>
                <c:pt idx="429">
                  <c:v>18</c:v>
                </c:pt>
                <c:pt idx="430">
                  <c:v>69</c:v>
                </c:pt>
                <c:pt idx="431">
                  <c:v>73</c:v>
                </c:pt>
                <c:pt idx="432">
                  <c:v>39</c:v>
                </c:pt>
                <c:pt idx="433">
                  <c:v>40</c:v>
                </c:pt>
                <c:pt idx="434">
                  <c:v>41</c:v>
                </c:pt>
                <c:pt idx="435">
                  <c:v>19</c:v>
                </c:pt>
                <c:pt idx="436">
                  <c:v>39</c:v>
                </c:pt>
                <c:pt idx="437">
                  <c:v>23</c:v>
                </c:pt>
                <c:pt idx="438">
                  <c:v>24</c:v>
                </c:pt>
                <c:pt idx="439">
                  <c:v>17</c:v>
                </c:pt>
                <c:pt idx="440">
                  <c:v>14</c:v>
                </c:pt>
                <c:pt idx="441">
                  <c:v>41</c:v>
                </c:pt>
                <c:pt idx="442">
                  <c:v>13</c:v>
                </c:pt>
                <c:pt idx="443">
                  <c:v>34</c:v>
                </c:pt>
                <c:pt idx="444">
                  <c:v>38</c:v>
                </c:pt>
                <c:pt idx="445">
                  <c:v>5</c:v>
                </c:pt>
                <c:pt idx="446">
                  <c:v>18</c:v>
                </c:pt>
                <c:pt idx="447">
                  <c:v>27</c:v>
                </c:pt>
                <c:pt idx="448">
                  <c:v>43</c:v>
                </c:pt>
                <c:pt idx="449">
                  <c:v>3</c:v>
                </c:pt>
                <c:pt idx="450">
                  <c:v>3</c:v>
                </c:pt>
                <c:pt idx="451">
                  <c:v>46</c:v>
                </c:pt>
                <c:pt idx="452">
                  <c:v>33</c:v>
                </c:pt>
                <c:pt idx="453">
                  <c:v>76</c:v>
                </c:pt>
                <c:pt idx="454">
                  <c:v>44</c:v>
                </c:pt>
                <c:pt idx="455">
                  <c:v>35</c:v>
                </c:pt>
                <c:pt idx="456">
                  <c:v>1</c:v>
                </c:pt>
                <c:pt idx="457">
                  <c:v>51</c:v>
                </c:pt>
                <c:pt idx="458">
                  <c:v>3</c:v>
                </c:pt>
                <c:pt idx="459">
                  <c:v>19</c:v>
                </c:pt>
                <c:pt idx="460">
                  <c:v>65</c:v>
                </c:pt>
                <c:pt idx="461">
                  <c:v>79</c:v>
                </c:pt>
                <c:pt idx="462">
                  <c:v>42</c:v>
                </c:pt>
                <c:pt idx="463">
                  <c:v>68</c:v>
                </c:pt>
                <c:pt idx="464">
                  <c:v>4</c:v>
                </c:pt>
                <c:pt idx="465">
                  <c:v>51</c:v>
                </c:pt>
                <c:pt idx="466">
                  <c:v>61</c:v>
                </c:pt>
                <c:pt idx="467">
                  <c:v>39</c:v>
                </c:pt>
                <c:pt idx="468">
                  <c:v>38</c:v>
                </c:pt>
                <c:pt idx="469">
                  <c:v>73</c:v>
                </c:pt>
                <c:pt idx="470">
                  <c:v>67</c:v>
                </c:pt>
                <c:pt idx="471">
                  <c:v>7</c:v>
                </c:pt>
                <c:pt idx="472">
                  <c:v>62</c:v>
                </c:pt>
                <c:pt idx="473">
                  <c:v>50</c:v>
                </c:pt>
                <c:pt idx="474">
                  <c:v>42</c:v>
                </c:pt>
                <c:pt idx="475">
                  <c:v>12</c:v>
                </c:pt>
                <c:pt idx="476">
                  <c:v>1</c:v>
                </c:pt>
                <c:pt idx="477">
                  <c:v>30</c:v>
                </c:pt>
                <c:pt idx="478">
                  <c:v>17</c:v>
                </c:pt>
                <c:pt idx="479">
                  <c:v>35</c:v>
                </c:pt>
                <c:pt idx="480">
                  <c:v>35</c:v>
                </c:pt>
                <c:pt idx="481">
                  <c:v>65</c:v>
                </c:pt>
                <c:pt idx="482">
                  <c:v>6</c:v>
                </c:pt>
                <c:pt idx="483">
                  <c:v>0</c:v>
                </c:pt>
                <c:pt idx="484">
                  <c:v>27</c:v>
                </c:pt>
                <c:pt idx="485">
                  <c:v>25</c:v>
                </c:pt>
                <c:pt idx="486">
                  <c:v>75</c:v>
                </c:pt>
                <c:pt idx="487">
                  <c:v>62</c:v>
                </c:pt>
                <c:pt idx="488">
                  <c:v>17</c:v>
                </c:pt>
                <c:pt idx="489">
                  <c:v>7</c:v>
                </c:pt>
                <c:pt idx="490">
                  <c:v>11</c:v>
                </c:pt>
                <c:pt idx="491">
                  <c:v>65</c:v>
                </c:pt>
                <c:pt idx="492">
                  <c:v>7</c:v>
                </c:pt>
                <c:pt idx="493">
                  <c:v>9</c:v>
                </c:pt>
                <c:pt idx="494">
                  <c:v>20</c:v>
                </c:pt>
                <c:pt idx="495">
                  <c:v>50</c:v>
                </c:pt>
                <c:pt idx="496">
                  <c:v>32</c:v>
                </c:pt>
                <c:pt idx="497">
                  <c:v>5</c:v>
                </c:pt>
                <c:pt idx="498">
                  <c:v>25</c:v>
                </c:pt>
                <c:pt idx="499">
                  <c:v>31</c:v>
                </c:pt>
                <c:pt idx="500">
                  <c:v>45</c:v>
                </c:pt>
                <c:pt idx="501">
                  <c:v>13</c:v>
                </c:pt>
                <c:pt idx="502">
                  <c:v>53</c:v>
                </c:pt>
                <c:pt idx="503">
                  <c:v>28</c:v>
                </c:pt>
                <c:pt idx="504">
                  <c:v>23</c:v>
                </c:pt>
                <c:pt idx="505">
                  <c:v>32</c:v>
                </c:pt>
                <c:pt idx="506">
                  <c:v>42</c:v>
                </c:pt>
                <c:pt idx="507">
                  <c:v>6</c:v>
                </c:pt>
                <c:pt idx="508">
                  <c:v>75</c:v>
                </c:pt>
                <c:pt idx="509">
                  <c:v>29</c:v>
                </c:pt>
                <c:pt idx="510">
                  <c:v>78</c:v>
                </c:pt>
                <c:pt idx="511">
                  <c:v>13</c:v>
                </c:pt>
                <c:pt idx="512">
                  <c:v>41</c:v>
                </c:pt>
                <c:pt idx="513">
                  <c:v>62</c:v>
                </c:pt>
                <c:pt idx="514">
                  <c:v>58</c:v>
                </c:pt>
                <c:pt idx="515">
                  <c:v>68</c:v>
                </c:pt>
                <c:pt idx="516">
                  <c:v>39</c:v>
                </c:pt>
                <c:pt idx="517">
                  <c:v>33</c:v>
                </c:pt>
                <c:pt idx="518">
                  <c:v>41</c:v>
                </c:pt>
                <c:pt idx="519">
                  <c:v>78</c:v>
                </c:pt>
                <c:pt idx="520">
                  <c:v>39</c:v>
                </c:pt>
                <c:pt idx="521">
                  <c:v>70</c:v>
                </c:pt>
                <c:pt idx="522">
                  <c:v>39</c:v>
                </c:pt>
                <c:pt idx="523">
                  <c:v>39</c:v>
                </c:pt>
                <c:pt idx="524">
                  <c:v>24</c:v>
                </c:pt>
                <c:pt idx="525">
                  <c:v>58</c:v>
                </c:pt>
                <c:pt idx="526">
                  <c:v>77</c:v>
                </c:pt>
                <c:pt idx="527">
                  <c:v>76</c:v>
                </c:pt>
                <c:pt idx="528">
                  <c:v>78</c:v>
                </c:pt>
                <c:pt idx="529">
                  <c:v>73</c:v>
                </c:pt>
                <c:pt idx="530">
                  <c:v>58</c:v>
                </c:pt>
                <c:pt idx="531">
                  <c:v>8</c:v>
                </c:pt>
                <c:pt idx="532">
                  <c:v>5</c:v>
                </c:pt>
                <c:pt idx="533">
                  <c:v>56</c:v>
                </c:pt>
                <c:pt idx="534">
                  <c:v>48</c:v>
                </c:pt>
                <c:pt idx="535">
                  <c:v>75</c:v>
                </c:pt>
                <c:pt idx="536">
                  <c:v>76</c:v>
                </c:pt>
                <c:pt idx="537">
                  <c:v>80</c:v>
                </c:pt>
                <c:pt idx="538">
                  <c:v>30</c:v>
                </c:pt>
                <c:pt idx="539">
                  <c:v>69</c:v>
                </c:pt>
                <c:pt idx="540">
                  <c:v>34</c:v>
                </c:pt>
                <c:pt idx="541">
                  <c:v>11</c:v>
                </c:pt>
                <c:pt idx="542">
                  <c:v>68</c:v>
                </c:pt>
                <c:pt idx="543">
                  <c:v>22</c:v>
                </c:pt>
                <c:pt idx="544">
                  <c:v>70</c:v>
                </c:pt>
                <c:pt idx="545">
                  <c:v>80</c:v>
                </c:pt>
                <c:pt idx="546">
                  <c:v>29</c:v>
                </c:pt>
                <c:pt idx="547">
                  <c:v>68</c:v>
                </c:pt>
                <c:pt idx="548">
                  <c:v>33</c:v>
                </c:pt>
                <c:pt idx="549">
                  <c:v>73</c:v>
                </c:pt>
                <c:pt idx="550">
                  <c:v>77</c:v>
                </c:pt>
                <c:pt idx="551">
                  <c:v>45</c:v>
                </c:pt>
                <c:pt idx="552">
                  <c:v>4</c:v>
                </c:pt>
                <c:pt idx="553">
                  <c:v>57</c:v>
                </c:pt>
                <c:pt idx="554">
                  <c:v>12</c:v>
                </c:pt>
                <c:pt idx="555">
                  <c:v>49</c:v>
                </c:pt>
                <c:pt idx="556">
                  <c:v>70</c:v>
                </c:pt>
                <c:pt idx="557">
                  <c:v>12</c:v>
                </c:pt>
                <c:pt idx="558">
                  <c:v>55</c:v>
                </c:pt>
                <c:pt idx="559">
                  <c:v>37</c:v>
                </c:pt>
                <c:pt idx="560">
                  <c:v>34</c:v>
                </c:pt>
                <c:pt idx="561">
                  <c:v>14</c:v>
                </c:pt>
                <c:pt idx="562">
                  <c:v>49</c:v>
                </c:pt>
                <c:pt idx="563">
                  <c:v>70</c:v>
                </c:pt>
                <c:pt idx="564">
                  <c:v>61</c:v>
                </c:pt>
                <c:pt idx="565">
                  <c:v>3</c:v>
                </c:pt>
                <c:pt idx="566">
                  <c:v>8</c:v>
                </c:pt>
                <c:pt idx="567">
                  <c:v>14</c:v>
                </c:pt>
                <c:pt idx="568">
                  <c:v>14</c:v>
                </c:pt>
                <c:pt idx="569">
                  <c:v>74</c:v>
                </c:pt>
                <c:pt idx="570">
                  <c:v>72</c:v>
                </c:pt>
                <c:pt idx="571">
                  <c:v>71</c:v>
                </c:pt>
                <c:pt idx="572">
                  <c:v>56</c:v>
                </c:pt>
                <c:pt idx="573">
                  <c:v>28</c:v>
                </c:pt>
                <c:pt idx="574">
                  <c:v>35</c:v>
                </c:pt>
                <c:pt idx="575">
                  <c:v>47</c:v>
                </c:pt>
                <c:pt idx="576">
                  <c:v>15</c:v>
                </c:pt>
                <c:pt idx="577">
                  <c:v>8</c:v>
                </c:pt>
                <c:pt idx="578">
                  <c:v>67</c:v>
                </c:pt>
                <c:pt idx="579">
                  <c:v>35</c:v>
                </c:pt>
                <c:pt idx="580">
                  <c:v>26</c:v>
                </c:pt>
                <c:pt idx="581">
                  <c:v>6</c:v>
                </c:pt>
                <c:pt idx="582">
                  <c:v>25</c:v>
                </c:pt>
                <c:pt idx="583">
                  <c:v>2</c:v>
                </c:pt>
                <c:pt idx="584">
                  <c:v>50</c:v>
                </c:pt>
                <c:pt idx="585">
                  <c:v>48</c:v>
                </c:pt>
                <c:pt idx="586">
                  <c:v>17</c:v>
                </c:pt>
                <c:pt idx="587">
                  <c:v>56</c:v>
                </c:pt>
                <c:pt idx="588">
                  <c:v>53</c:v>
                </c:pt>
                <c:pt idx="589">
                  <c:v>26</c:v>
                </c:pt>
                <c:pt idx="590">
                  <c:v>65</c:v>
                </c:pt>
                <c:pt idx="591">
                  <c:v>62</c:v>
                </c:pt>
                <c:pt idx="592">
                  <c:v>48</c:v>
                </c:pt>
                <c:pt idx="593">
                  <c:v>27</c:v>
                </c:pt>
                <c:pt idx="594">
                  <c:v>68</c:v>
                </c:pt>
                <c:pt idx="595">
                  <c:v>36</c:v>
                </c:pt>
                <c:pt idx="596">
                  <c:v>76</c:v>
                </c:pt>
                <c:pt idx="597">
                  <c:v>59</c:v>
                </c:pt>
                <c:pt idx="598">
                  <c:v>47</c:v>
                </c:pt>
                <c:pt idx="599">
                  <c:v>11</c:v>
                </c:pt>
                <c:pt idx="600">
                  <c:v>72</c:v>
                </c:pt>
                <c:pt idx="601">
                  <c:v>8</c:v>
                </c:pt>
                <c:pt idx="602">
                  <c:v>34</c:v>
                </c:pt>
                <c:pt idx="603">
                  <c:v>36</c:v>
                </c:pt>
                <c:pt idx="604">
                  <c:v>33</c:v>
                </c:pt>
                <c:pt idx="605">
                  <c:v>79</c:v>
                </c:pt>
                <c:pt idx="606">
                  <c:v>50</c:v>
                </c:pt>
                <c:pt idx="607">
                  <c:v>76</c:v>
                </c:pt>
                <c:pt idx="608">
                  <c:v>22</c:v>
                </c:pt>
                <c:pt idx="609">
                  <c:v>51</c:v>
                </c:pt>
                <c:pt idx="610">
                  <c:v>46</c:v>
                </c:pt>
                <c:pt idx="611">
                  <c:v>5</c:v>
                </c:pt>
                <c:pt idx="612">
                  <c:v>32</c:v>
                </c:pt>
                <c:pt idx="613">
                  <c:v>2</c:v>
                </c:pt>
                <c:pt idx="614">
                  <c:v>69</c:v>
                </c:pt>
                <c:pt idx="615">
                  <c:v>15</c:v>
                </c:pt>
                <c:pt idx="616">
                  <c:v>29</c:v>
                </c:pt>
                <c:pt idx="617">
                  <c:v>15</c:v>
                </c:pt>
                <c:pt idx="618">
                  <c:v>25</c:v>
                </c:pt>
                <c:pt idx="619">
                  <c:v>78</c:v>
                </c:pt>
                <c:pt idx="620">
                  <c:v>52</c:v>
                </c:pt>
                <c:pt idx="621">
                  <c:v>15</c:v>
                </c:pt>
                <c:pt idx="622">
                  <c:v>31</c:v>
                </c:pt>
                <c:pt idx="623">
                  <c:v>53</c:v>
                </c:pt>
                <c:pt idx="624">
                  <c:v>65</c:v>
                </c:pt>
                <c:pt idx="625">
                  <c:v>42</c:v>
                </c:pt>
                <c:pt idx="626">
                  <c:v>28</c:v>
                </c:pt>
                <c:pt idx="627">
                  <c:v>77</c:v>
                </c:pt>
                <c:pt idx="628">
                  <c:v>46</c:v>
                </c:pt>
                <c:pt idx="629">
                  <c:v>6</c:v>
                </c:pt>
                <c:pt idx="630">
                  <c:v>75</c:v>
                </c:pt>
                <c:pt idx="631">
                  <c:v>21</c:v>
                </c:pt>
                <c:pt idx="632">
                  <c:v>71</c:v>
                </c:pt>
                <c:pt idx="633">
                  <c:v>37</c:v>
                </c:pt>
                <c:pt idx="634">
                  <c:v>46</c:v>
                </c:pt>
                <c:pt idx="635">
                  <c:v>60</c:v>
                </c:pt>
                <c:pt idx="636">
                  <c:v>33</c:v>
                </c:pt>
                <c:pt idx="637">
                  <c:v>42</c:v>
                </c:pt>
                <c:pt idx="638">
                  <c:v>6</c:v>
                </c:pt>
                <c:pt idx="639">
                  <c:v>29</c:v>
                </c:pt>
                <c:pt idx="640">
                  <c:v>7</c:v>
                </c:pt>
                <c:pt idx="641">
                  <c:v>11</c:v>
                </c:pt>
                <c:pt idx="642">
                  <c:v>43</c:v>
                </c:pt>
                <c:pt idx="643">
                  <c:v>40</c:v>
                </c:pt>
                <c:pt idx="644">
                  <c:v>55</c:v>
                </c:pt>
                <c:pt idx="645">
                  <c:v>63</c:v>
                </c:pt>
                <c:pt idx="646">
                  <c:v>32</c:v>
                </c:pt>
                <c:pt idx="647">
                  <c:v>21</c:v>
                </c:pt>
                <c:pt idx="648">
                  <c:v>29</c:v>
                </c:pt>
                <c:pt idx="649">
                  <c:v>80</c:v>
                </c:pt>
                <c:pt idx="650">
                  <c:v>12</c:v>
                </c:pt>
                <c:pt idx="651">
                  <c:v>36</c:v>
                </c:pt>
                <c:pt idx="652">
                  <c:v>20</c:v>
                </c:pt>
                <c:pt idx="653">
                  <c:v>12</c:v>
                </c:pt>
                <c:pt idx="654">
                  <c:v>75</c:v>
                </c:pt>
                <c:pt idx="655">
                  <c:v>19</c:v>
                </c:pt>
                <c:pt idx="656">
                  <c:v>59</c:v>
                </c:pt>
                <c:pt idx="657">
                  <c:v>28</c:v>
                </c:pt>
                <c:pt idx="658">
                  <c:v>29</c:v>
                </c:pt>
                <c:pt idx="659">
                  <c:v>49</c:v>
                </c:pt>
                <c:pt idx="660">
                  <c:v>65</c:v>
                </c:pt>
                <c:pt idx="661">
                  <c:v>53</c:v>
                </c:pt>
                <c:pt idx="662">
                  <c:v>44</c:v>
                </c:pt>
                <c:pt idx="663">
                  <c:v>79</c:v>
                </c:pt>
                <c:pt idx="664">
                  <c:v>13</c:v>
                </c:pt>
                <c:pt idx="665">
                  <c:v>1</c:v>
                </c:pt>
                <c:pt idx="666">
                  <c:v>67</c:v>
                </c:pt>
                <c:pt idx="667">
                  <c:v>50</c:v>
                </c:pt>
                <c:pt idx="668">
                  <c:v>6</c:v>
                </c:pt>
                <c:pt idx="669">
                  <c:v>35</c:v>
                </c:pt>
                <c:pt idx="670">
                  <c:v>1</c:v>
                </c:pt>
                <c:pt idx="671">
                  <c:v>17</c:v>
                </c:pt>
                <c:pt idx="672">
                  <c:v>68</c:v>
                </c:pt>
                <c:pt idx="673">
                  <c:v>73</c:v>
                </c:pt>
                <c:pt idx="674">
                  <c:v>67</c:v>
                </c:pt>
                <c:pt idx="675">
                  <c:v>59</c:v>
                </c:pt>
                <c:pt idx="676">
                  <c:v>3</c:v>
                </c:pt>
                <c:pt idx="677">
                  <c:v>6</c:v>
                </c:pt>
                <c:pt idx="678">
                  <c:v>80</c:v>
                </c:pt>
                <c:pt idx="679">
                  <c:v>18</c:v>
                </c:pt>
                <c:pt idx="680">
                  <c:v>23</c:v>
                </c:pt>
                <c:pt idx="681">
                  <c:v>65</c:v>
                </c:pt>
                <c:pt idx="682">
                  <c:v>14</c:v>
                </c:pt>
                <c:pt idx="683">
                  <c:v>17</c:v>
                </c:pt>
                <c:pt idx="684">
                  <c:v>27</c:v>
                </c:pt>
                <c:pt idx="685">
                  <c:v>30</c:v>
                </c:pt>
                <c:pt idx="686">
                  <c:v>14</c:v>
                </c:pt>
                <c:pt idx="687">
                  <c:v>57</c:v>
                </c:pt>
                <c:pt idx="688">
                  <c:v>27</c:v>
                </c:pt>
                <c:pt idx="689">
                  <c:v>69</c:v>
                </c:pt>
                <c:pt idx="690">
                  <c:v>26</c:v>
                </c:pt>
                <c:pt idx="691">
                  <c:v>12</c:v>
                </c:pt>
                <c:pt idx="692">
                  <c:v>12</c:v>
                </c:pt>
                <c:pt idx="693">
                  <c:v>69</c:v>
                </c:pt>
                <c:pt idx="694">
                  <c:v>27</c:v>
                </c:pt>
                <c:pt idx="695">
                  <c:v>37</c:v>
                </c:pt>
                <c:pt idx="696">
                  <c:v>30</c:v>
                </c:pt>
                <c:pt idx="697">
                  <c:v>29</c:v>
                </c:pt>
                <c:pt idx="698">
                  <c:v>60</c:v>
                </c:pt>
                <c:pt idx="699">
                  <c:v>9</c:v>
                </c:pt>
                <c:pt idx="700">
                  <c:v>45</c:v>
                </c:pt>
                <c:pt idx="701">
                  <c:v>74</c:v>
                </c:pt>
                <c:pt idx="702">
                  <c:v>80</c:v>
                </c:pt>
                <c:pt idx="703">
                  <c:v>21</c:v>
                </c:pt>
                <c:pt idx="704">
                  <c:v>77</c:v>
                </c:pt>
                <c:pt idx="705">
                  <c:v>32</c:v>
                </c:pt>
                <c:pt idx="706">
                  <c:v>74</c:v>
                </c:pt>
                <c:pt idx="707">
                  <c:v>15</c:v>
                </c:pt>
                <c:pt idx="708">
                  <c:v>59</c:v>
                </c:pt>
                <c:pt idx="709">
                  <c:v>28</c:v>
                </c:pt>
                <c:pt idx="710">
                  <c:v>15</c:v>
                </c:pt>
                <c:pt idx="711">
                  <c:v>61</c:v>
                </c:pt>
                <c:pt idx="712">
                  <c:v>27</c:v>
                </c:pt>
                <c:pt idx="713">
                  <c:v>60</c:v>
                </c:pt>
                <c:pt idx="714">
                  <c:v>14</c:v>
                </c:pt>
                <c:pt idx="715">
                  <c:v>11</c:v>
                </c:pt>
                <c:pt idx="716">
                  <c:v>53</c:v>
                </c:pt>
                <c:pt idx="717">
                  <c:v>45</c:v>
                </c:pt>
                <c:pt idx="718">
                  <c:v>26</c:v>
                </c:pt>
                <c:pt idx="719">
                  <c:v>24</c:v>
                </c:pt>
                <c:pt idx="720">
                  <c:v>36</c:v>
                </c:pt>
                <c:pt idx="721">
                  <c:v>12</c:v>
                </c:pt>
                <c:pt idx="722">
                  <c:v>22</c:v>
                </c:pt>
                <c:pt idx="723">
                  <c:v>50</c:v>
                </c:pt>
                <c:pt idx="724">
                  <c:v>37</c:v>
                </c:pt>
                <c:pt idx="725">
                  <c:v>45</c:v>
                </c:pt>
                <c:pt idx="726">
                  <c:v>55</c:v>
                </c:pt>
                <c:pt idx="727">
                  <c:v>51</c:v>
                </c:pt>
                <c:pt idx="728">
                  <c:v>65</c:v>
                </c:pt>
                <c:pt idx="729">
                  <c:v>55</c:v>
                </c:pt>
                <c:pt idx="730">
                  <c:v>72</c:v>
                </c:pt>
                <c:pt idx="731">
                  <c:v>78</c:v>
                </c:pt>
                <c:pt idx="732">
                  <c:v>80</c:v>
                </c:pt>
                <c:pt idx="733">
                  <c:v>62</c:v>
                </c:pt>
                <c:pt idx="734">
                  <c:v>58</c:v>
                </c:pt>
                <c:pt idx="735">
                  <c:v>13</c:v>
                </c:pt>
                <c:pt idx="736">
                  <c:v>74</c:v>
                </c:pt>
                <c:pt idx="737">
                  <c:v>18</c:v>
                </c:pt>
                <c:pt idx="738">
                  <c:v>43</c:v>
                </c:pt>
                <c:pt idx="739">
                  <c:v>4</c:v>
                </c:pt>
                <c:pt idx="740">
                  <c:v>48</c:v>
                </c:pt>
                <c:pt idx="741">
                  <c:v>28</c:v>
                </c:pt>
                <c:pt idx="742">
                  <c:v>25</c:v>
                </c:pt>
                <c:pt idx="743">
                  <c:v>9</c:v>
                </c:pt>
                <c:pt idx="744">
                  <c:v>50</c:v>
                </c:pt>
                <c:pt idx="745">
                  <c:v>67</c:v>
                </c:pt>
                <c:pt idx="746">
                  <c:v>2</c:v>
                </c:pt>
                <c:pt idx="747">
                  <c:v>25</c:v>
                </c:pt>
                <c:pt idx="748">
                  <c:v>39</c:v>
                </c:pt>
                <c:pt idx="749">
                  <c:v>13</c:v>
                </c:pt>
                <c:pt idx="750">
                  <c:v>62</c:v>
                </c:pt>
                <c:pt idx="751">
                  <c:v>51</c:v>
                </c:pt>
                <c:pt idx="752">
                  <c:v>51</c:v>
                </c:pt>
                <c:pt idx="753">
                  <c:v>31</c:v>
                </c:pt>
                <c:pt idx="754">
                  <c:v>66</c:v>
                </c:pt>
                <c:pt idx="755">
                  <c:v>17</c:v>
                </c:pt>
                <c:pt idx="756">
                  <c:v>33</c:v>
                </c:pt>
                <c:pt idx="757">
                  <c:v>28</c:v>
                </c:pt>
                <c:pt idx="758">
                  <c:v>47</c:v>
                </c:pt>
                <c:pt idx="759">
                  <c:v>40</c:v>
                </c:pt>
                <c:pt idx="760">
                  <c:v>25</c:v>
                </c:pt>
                <c:pt idx="761">
                  <c:v>17</c:v>
                </c:pt>
                <c:pt idx="762">
                  <c:v>29</c:v>
                </c:pt>
                <c:pt idx="763">
                  <c:v>5</c:v>
                </c:pt>
                <c:pt idx="764">
                  <c:v>68</c:v>
                </c:pt>
                <c:pt idx="765">
                  <c:v>72</c:v>
                </c:pt>
                <c:pt idx="766">
                  <c:v>45</c:v>
                </c:pt>
                <c:pt idx="767">
                  <c:v>20</c:v>
                </c:pt>
                <c:pt idx="768">
                  <c:v>25</c:v>
                </c:pt>
                <c:pt idx="769">
                  <c:v>6</c:v>
                </c:pt>
                <c:pt idx="770">
                  <c:v>13</c:v>
                </c:pt>
                <c:pt idx="771">
                  <c:v>9</c:v>
                </c:pt>
                <c:pt idx="772">
                  <c:v>44</c:v>
                </c:pt>
                <c:pt idx="773">
                  <c:v>68</c:v>
                </c:pt>
                <c:pt idx="774">
                  <c:v>65</c:v>
                </c:pt>
                <c:pt idx="775">
                  <c:v>21</c:v>
                </c:pt>
                <c:pt idx="776">
                  <c:v>59</c:v>
                </c:pt>
                <c:pt idx="777">
                  <c:v>58</c:v>
                </c:pt>
                <c:pt idx="778">
                  <c:v>53</c:v>
                </c:pt>
                <c:pt idx="779">
                  <c:v>31</c:v>
                </c:pt>
                <c:pt idx="780">
                  <c:v>26</c:v>
                </c:pt>
                <c:pt idx="781">
                  <c:v>49</c:v>
                </c:pt>
                <c:pt idx="782">
                  <c:v>30</c:v>
                </c:pt>
                <c:pt idx="783">
                  <c:v>57</c:v>
                </c:pt>
                <c:pt idx="784">
                  <c:v>37</c:v>
                </c:pt>
                <c:pt idx="785">
                  <c:v>56</c:v>
                </c:pt>
                <c:pt idx="786">
                  <c:v>41</c:v>
                </c:pt>
                <c:pt idx="787">
                  <c:v>6</c:v>
                </c:pt>
                <c:pt idx="788">
                  <c:v>47</c:v>
                </c:pt>
                <c:pt idx="789">
                  <c:v>30</c:v>
                </c:pt>
                <c:pt idx="790">
                  <c:v>33</c:v>
                </c:pt>
                <c:pt idx="791">
                  <c:v>50</c:v>
                </c:pt>
                <c:pt idx="792">
                  <c:v>6</c:v>
                </c:pt>
                <c:pt idx="793">
                  <c:v>71</c:v>
                </c:pt>
                <c:pt idx="794">
                  <c:v>35</c:v>
                </c:pt>
                <c:pt idx="795">
                  <c:v>79</c:v>
                </c:pt>
                <c:pt idx="796">
                  <c:v>49</c:v>
                </c:pt>
                <c:pt idx="797">
                  <c:v>69</c:v>
                </c:pt>
                <c:pt idx="798">
                  <c:v>11</c:v>
                </c:pt>
                <c:pt idx="799">
                  <c:v>40</c:v>
                </c:pt>
                <c:pt idx="800">
                  <c:v>23</c:v>
                </c:pt>
                <c:pt idx="801">
                  <c:v>55</c:v>
                </c:pt>
                <c:pt idx="802">
                  <c:v>33</c:v>
                </c:pt>
                <c:pt idx="803">
                  <c:v>33</c:v>
                </c:pt>
                <c:pt idx="804">
                  <c:v>77</c:v>
                </c:pt>
                <c:pt idx="805">
                  <c:v>23</c:v>
                </c:pt>
                <c:pt idx="806">
                  <c:v>70</c:v>
                </c:pt>
                <c:pt idx="807">
                  <c:v>12</c:v>
                </c:pt>
                <c:pt idx="808">
                  <c:v>47</c:v>
                </c:pt>
                <c:pt idx="809">
                  <c:v>79</c:v>
                </c:pt>
                <c:pt idx="810">
                  <c:v>54</c:v>
                </c:pt>
                <c:pt idx="811">
                  <c:v>66</c:v>
                </c:pt>
                <c:pt idx="812">
                  <c:v>28</c:v>
                </c:pt>
                <c:pt idx="813">
                  <c:v>39</c:v>
                </c:pt>
                <c:pt idx="814">
                  <c:v>67</c:v>
                </c:pt>
                <c:pt idx="815">
                  <c:v>12</c:v>
                </c:pt>
                <c:pt idx="816">
                  <c:v>28</c:v>
                </c:pt>
                <c:pt idx="817">
                  <c:v>46</c:v>
                </c:pt>
                <c:pt idx="818">
                  <c:v>71</c:v>
                </c:pt>
                <c:pt idx="819">
                  <c:v>66</c:v>
                </c:pt>
                <c:pt idx="820">
                  <c:v>46</c:v>
                </c:pt>
                <c:pt idx="821">
                  <c:v>66</c:v>
                </c:pt>
                <c:pt idx="822">
                  <c:v>32</c:v>
                </c:pt>
                <c:pt idx="823">
                  <c:v>19</c:v>
                </c:pt>
                <c:pt idx="824">
                  <c:v>77</c:v>
                </c:pt>
                <c:pt idx="825">
                  <c:v>79</c:v>
                </c:pt>
                <c:pt idx="826">
                  <c:v>14</c:v>
                </c:pt>
                <c:pt idx="827">
                  <c:v>71</c:v>
                </c:pt>
                <c:pt idx="828">
                  <c:v>73</c:v>
                </c:pt>
                <c:pt idx="829">
                  <c:v>10</c:v>
                </c:pt>
                <c:pt idx="830">
                  <c:v>71</c:v>
                </c:pt>
                <c:pt idx="831">
                  <c:v>37</c:v>
                </c:pt>
                <c:pt idx="832">
                  <c:v>50</c:v>
                </c:pt>
                <c:pt idx="833">
                  <c:v>69</c:v>
                </c:pt>
                <c:pt idx="834">
                  <c:v>26</c:v>
                </c:pt>
                <c:pt idx="835">
                  <c:v>13</c:v>
                </c:pt>
                <c:pt idx="836">
                  <c:v>32</c:v>
                </c:pt>
                <c:pt idx="837">
                  <c:v>31</c:v>
                </c:pt>
                <c:pt idx="838">
                  <c:v>41</c:v>
                </c:pt>
                <c:pt idx="839">
                  <c:v>35</c:v>
                </c:pt>
                <c:pt idx="840">
                  <c:v>5</c:v>
                </c:pt>
                <c:pt idx="841">
                  <c:v>35</c:v>
                </c:pt>
                <c:pt idx="842">
                  <c:v>59</c:v>
                </c:pt>
                <c:pt idx="843">
                  <c:v>64</c:v>
                </c:pt>
                <c:pt idx="844">
                  <c:v>57</c:v>
                </c:pt>
                <c:pt idx="845">
                  <c:v>52</c:v>
                </c:pt>
                <c:pt idx="846">
                  <c:v>1</c:v>
                </c:pt>
                <c:pt idx="847">
                  <c:v>4</c:v>
                </c:pt>
                <c:pt idx="848">
                  <c:v>55</c:v>
                </c:pt>
                <c:pt idx="849">
                  <c:v>36</c:v>
                </c:pt>
                <c:pt idx="850">
                  <c:v>13</c:v>
                </c:pt>
                <c:pt idx="851">
                  <c:v>55</c:v>
                </c:pt>
                <c:pt idx="852">
                  <c:v>53</c:v>
                </c:pt>
                <c:pt idx="853">
                  <c:v>37</c:v>
                </c:pt>
                <c:pt idx="854">
                  <c:v>3</c:v>
                </c:pt>
                <c:pt idx="855">
                  <c:v>14</c:v>
                </c:pt>
                <c:pt idx="856">
                  <c:v>28</c:v>
                </c:pt>
                <c:pt idx="857">
                  <c:v>35</c:v>
                </c:pt>
                <c:pt idx="858">
                  <c:v>9</c:v>
                </c:pt>
                <c:pt idx="859">
                  <c:v>36</c:v>
                </c:pt>
                <c:pt idx="860">
                  <c:v>34</c:v>
                </c:pt>
                <c:pt idx="861">
                  <c:v>21</c:v>
                </c:pt>
                <c:pt idx="862">
                  <c:v>24</c:v>
                </c:pt>
                <c:pt idx="863">
                  <c:v>7</c:v>
                </c:pt>
                <c:pt idx="864">
                  <c:v>7</c:v>
                </c:pt>
                <c:pt idx="865">
                  <c:v>79</c:v>
                </c:pt>
                <c:pt idx="866">
                  <c:v>21</c:v>
                </c:pt>
                <c:pt idx="867">
                  <c:v>56</c:v>
                </c:pt>
                <c:pt idx="868">
                  <c:v>44</c:v>
                </c:pt>
                <c:pt idx="869">
                  <c:v>77</c:v>
                </c:pt>
                <c:pt idx="870">
                  <c:v>4</c:v>
                </c:pt>
                <c:pt idx="871">
                  <c:v>49</c:v>
                </c:pt>
                <c:pt idx="872">
                  <c:v>17</c:v>
                </c:pt>
                <c:pt idx="873">
                  <c:v>43</c:v>
                </c:pt>
                <c:pt idx="874">
                  <c:v>72</c:v>
                </c:pt>
                <c:pt idx="875">
                  <c:v>14</c:v>
                </c:pt>
                <c:pt idx="876">
                  <c:v>77</c:v>
                </c:pt>
                <c:pt idx="877">
                  <c:v>31</c:v>
                </c:pt>
                <c:pt idx="878">
                  <c:v>51</c:v>
                </c:pt>
                <c:pt idx="879">
                  <c:v>9</c:v>
                </c:pt>
                <c:pt idx="880">
                  <c:v>70</c:v>
                </c:pt>
                <c:pt idx="881">
                  <c:v>36</c:v>
                </c:pt>
                <c:pt idx="882">
                  <c:v>61</c:v>
                </c:pt>
                <c:pt idx="883">
                  <c:v>1</c:v>
                </c:pt>
                <c:pt idx="884">
                  <c:v>35</c:v>
                </c:pt>
                <c:pt idx="885">
                  <c:v>31</c:v>
                </c:pt>
                <c:pt idx="886">
                  <c:v>37</c:v>
                </c:pt>
                <c:pt idx="887">
                  <c:v>52</c:v>
                </c:pt>
                <c:pt idx="888">
                  <c:v>17</c:v>
                </c:pt>
                <c:pt idx="889">
                  <c:v>18</c:v>
                </c:pt>
                <c:pt idx="890">
                  <c:v>39</c:v>
                </c:pt>
                <c:pt idx="891">
                  <c:v>19</c:v>
                </c:pt>
                <c:pt idx="892">
                  <c:v>13</c:v>
                </c:pt>
                <c:pt idx="893">
                  <c:v>62</c:v>
                </c:pt>
                <c:pt idx="894">
                  <c:v>45</c:v>
                </c:pt>
                <c:pt idx="895">
                  <c:v>25</c:v>
                </c:pt>
                <c:pt idx="896">
                  <c:v>30</c:v>
                </c:pt>
                <c:pt idx="897">
                  <c:v>28</c:v>
                </c:pt>
                <c:pt idx="898">
                  <c:v>39</c:v>
                </c:pt>
                <c:pt idx="899">
                  <c:v>0</c:v>
                </c:pt>
                <c:pt idx="900">
                  <c:v>61</c:v>
                </c:pt>
                <c:pt idx="901">
                  <c:v>74</c:v>
                </c:pt>
                <c:pt idx="902">
                  <c:v>57</c:v>
                </c:pt>
                <c:pt idx="903">
                  <c:v>37</c:v>
                </c:pt>
                <c:pt idx="904">
                  <c:v>18</c:v>
                </c:pt>
                <c:pt idx="905">
                  <c:v>23</c:v>
                </c:pt>
                <c:pt idx="906">
                  <c:v>55</c:v>
                </c:pt>
                <c:pt idx="907">
                  <c:v>15</c:v>
                </c:pt>
                <c:pt idx="908">
                  <c:v>19</c:v>
                </c:pt>
                <c:pt idx="909">
                  <c:v>37</c:v>
                </c:pt>
                <c:pt idx="910">
                  <c:v>15</c:v>
                </c:pt>
                <c:pt idx="911">
                  <c:v>32</c:v>
                </c:pt>
                <c:pt idx="912">
                  <c:v>15</c:v>
                </c:pt>
                <c:pt idx="913">
                  <c:v>4</c:v>
                </c:pt>
                <c:pt idx="914">
                  <c:v>43</c:v>
                </c:pt>
                <c:pt idx="915">
                  <c:v>34</c:v>
                </c:pt>
                <c:pt idx="916">
                  <c:v>27</c:v>
                </c:pt>
                <c:pt idx="917">
                  <c:v>41</c:v>
                </c:pt>
                <c:pt idx="918">
                  <c:v>52</c:v>
                </c:pt>
                <c:pt idx="919">
                  <c:v>23</c:v>
                </c:pt>
                <c:pt idx="920">
                  <c:v>43</c:v>
                </c:pt>
                <c:pt idx="921">
                  <c:v>69</c:v>
                </c:pt>
                <c:pt idx="922">
                  <c:v>50</c:v>
                </c:pt>
                <c:pt idx="923">
                  <c:v>17</c:v>
                </c:pt>
                <c:pt idx="924">
                  <c:v>72</c:v>
                </c:pt>
                <c:pt idx="925">
                  <c:v>64</c:v>
                </c:pt>
                <c:pt idx="926">
                  <c:v>11</c:v>
                </c:pt>
                <c:pt idx="927">
                  <c:v>38</c:v>
                </c:pt>
                <c:pt idx="928">
                  <c:v>53</c:v>
                </c:pt>
                <c:pt idx="929">
                  <c:v>51</c:v>
                </c:pt>
                <c:pt idx="930">
                  <c:v>50</c:v>
                </c:pt>
                <c:pt idx="931">
                  <c:v>39</c:v>
                </c:pt>
                <c:pt idx="932">
                  <c:v>1</c:v>
                </c:pt>
                <c:pt idx="933">
                  <c:v>28</c:v>
                </c:pt>
                <c:pt idx="934">
                  <c:v>1</c:v>
                </c:pt>
                <c:pt idx="935">
                  <c:v>46</c:v>
                </c:pt>
                <c:pt idx="936">
                  <c:v>2</c:v>
                </c:pt>
                <c:pt idx="937">
                  <c:v>39</c:v>
                </c:pt>
                <c:pt idx="938">
                  <c:v>51</c:v>
                </c:pt>
                <c:pt idx="939">
                  <c:v>6</c:v>
                </c:pt>
                <c:pt idx="940">
                  <c:v>46</c:v>
                </c:pt>
                <c:pt idx="941">
                  <c:v>29</c:v>
                </c:pt>
                <c:pt idx="942">
                  <c:v>42</c:v>
                </c:pt>
                <c:pt idx="943">
                  <c:v>79</c:v>
                </c:pt>
                <c:pt idx="944">
                  <c:v>51</c:v>
                </c:pt>
                <c:pt idx="945">
                  <c:v>21</c:v>
                </c:pt>
                <c:pt idx="946">
                  <c:v>28</c:v>
                </c:pt>
                <c:pt idx="947">
                  <c:v>2</c:v>
                </c:pt>
                <c:pt idx="948">
                  <c:v>27</c:v>
                </c:pt>
                <c:pt idx="949">
                  <c:v>6</c:v>
                </c:pt>
                <c:pt idx="950">
                  <c:v>23</c:v>
                </c:pt>
                <c:pt idx="951">
                  <c:v>60</c:v>
                </c:pt>
                <c:pt idx="952">
                  <c:v>59</c:v>
                </c:pt>
                <c:pt idx="953">
                  <c:v>43</c:v>
                </c:pt>
                <c:pt idx="954">
                  <c:v>25</c:v>
                </c:pt>
                <c:pt idx="955">
                  <c:v>70</c:v>
                </c:pt>
                <c:pt idx="956">
                  <c:v>9</c:v>
                </c:pt>
                <c:pt idx="957">
                  <c:v>31</c:v>
                </c:pt>
                <c:pt idx="958">
                  <c:v>57</c:v>
                </c:pt>
                <c:pt idx="959">
                  <c:v>60</c:v>
                </c:pt>
                <c:pt idx="960">
                  <c:v>7</c:v>
                </c:pt>
                <c:pt idx="961">
                  <c:v>43</c:v>
                </c:pt>
                <c:pt idx="962">
                  <c:v>43</c:v>
                </c:pt>
                <c:pt idx="963">
                  <c:v>37</c:v>
                </c:pt>
                <c:pt idx="964">
                  <c:v>77</c:v>
                </c:pt>
                <c:pt idx="965">
                  <c:v>43</c:v>
                </c:pt>
                <c:pt idx="966">
                  <c:v>57</c:v>
                </c:pt>
                <c:pt idx="967">
                  <c:v>43</c:v>
                </c:pt>
                <c:pt idx="968">
                  <c:v>39</c:v>
                </c:pt>
                <c:pt idx="969">
                  <c:v>60</c:v>
                </c:pt>
                <c:pt idx="970">
                  <c:v>58</c:v>
                </c:pt>
                <c:pt idx="971">
                  <c:v>2</c:v>
                </c:pt>
                <c:pt idx="972">
                  <c:v>36</c:v>
                </c:pt>
                <c:pt idx="973">
                  <c:v>43</c:v>
                </c:pt>
                <c:pt idx="974">
                  <c:v>25</c:v>
                </c:pt>
                <c:pt idx="975">
                  <c:v>39</c:v>
                </c:pt>
                <c:pt idx="976">
                  <c:v>19</c:v>
                </c:pt>
                <c:pt idx="977">
                  <c:v>0</c:v>
                </c:pt>
                <c:pt idx="978">
                  <c:v>74</c:v>
                </c:pt>
                <c:pt idx="979">
                  <c:v>51</c:v>
                </c:pt>
                <c:pt idx="980">
                  <c:v>1</c:v>
                </c:pt>
                <c:pt idx="981">
                  <c:v>7</c:v>
                </c:pt>
                <c:pt idx="982">
                  <c:v>1</c:v>
                </c:pt>
                <c:pt idx="983">
                  <c:v>69</c:v>
                </c:pt>
                <c:pt idx="984">
                  <c:v>39</c:v>
                </c:pt>
                <c:pt idx="985">
                  <c:v>42</c:v>
                </c:pt>
                <c:pt idx="986">
                  <c:v>35</c:v>
                </c:pt>
                <c:pt idx="987">
                  <c:v>8</c:v>
                </c:pt>
                <c:pt idx="988">
                  <c:v>22</c:v>
                </c:pt>
                <c:pt idx="989">
                  <c:v>10</c:v>
                </c:pt>
                <c:pt idx="990">
                  <c:v>30</c:v>
                </c:pt>
                <c:pt idx="991">
                  <c:v>77</c:v>
                </c:pt>
                <c:pt idx="992">
                  <c:v>70</c:v>
                </c:pt>
                <c:pt idx="993">
                  <c:v>38</c:v>
                </c:pt>
                <c:pt idx="994">
                  <c:v>67</c:v>
                </c:pt>
                <c:pt idx="995">
                  <c:v>62</c:v>
                </c:pt>
                <c:pt idx="996">
                  <c:v>13</c:v>
                </c:pt>
                <c:pt idx="997">
                  <c:v>42</c:v>
                </c:pt>
                <c:pt idx="998">
                  <c:v>4</c:v>
                </c:pt>
                <c:pt idx="999">
                  <c:v>48</c:v>
                </c:pt>
                <c:pt idx="1000">
                  <c:v>70</c:v>
                </c:pt>
                <c:pt idx="1001">
                  <c:v>66</c:v>
                </c:pt>
                <c:pt idx="1002">
                  <c:v>40</c:v>
                </c:pt>
                <c:pt idx="1003">
                  <c:v>47</c:v>
                </c:pt>
                <c:pt idx="1004">
                  <c:v>73</c:v>
                </c:pt>
                <c:pt idx="1005">
                  <c:v>76</c:v>
                </c:pt>
                <c:pt idx="1006">
                  <c:v>49</c:v>
                </c:pt>
                <c:pt idx="1007">
                  <c:v>65</c:v>
                </c:pt>
                <c:pt idx="1008">
                  <c:v>80</c:v>
                </c:pt>
                <c:pt idx="1009">
                  <c:v>54</c:v>
                </c:pt>
                <c:pt idx="1010">
                  <c:v>32</c:v>
                </c:pt>
                <c:pt idx="1011">
                  <c:v>44</c:v>
                </c:pt>
                <c:pt idx="1012">
                  <c:v>4</c:v>
                </c:pt>
                <c:pt idx="1013">
                  <c:v>64</c:v>
                </c:pt>
                <c:pt idx="1014">
                  <c:v>65</c:v>
                </c:pt>
                <c:pt idx="1015">
                  <c:v>57</c:v>
                </c:pt>
                <c:pt idx="1016">
                  <c:v>54</c:v>
                </c:pt>
                <c:pt idx="1017">
                  <c:v>70</c:v>
                </c:pt>
                <c:pt idx="1018">
                  <c:v>20</c:v>
                </c:pt>
                <c:pt idx="1019">
                  <c:v>51</c:v>
                </c:pt>
                <c:pt idx="1020">
                  <c:v>47</c:v>
                </c:pt>
                <c:pt idx="1021">
                  <c:v>43</c:v>
                </c:pt>
                <c:pt idx="1022">
                  <c:v>72</c:v>
                </c:pt>
                <c:pt idx="1023">
                  <c:v>60</c:v>
                </c:pt>
                <c:pt idx="1024">
                  <c:v>51</c:v>
                </c:pt>
                <c:pt idx="1025">
                  <c:v>60</c:v>
                </c:pt>
                <c:pt idx="1026">
                  <c:v>2</c:v>
                </c:pt>
                <c:pt idx="1027">
                  <c:v>16</c:v>
                </c:pt>
                <c:pt idx="1028">
                  <c:v>14</c:v>
                </c:pt>
                <c:pt idx="1029">
                  <c:v>17</c:v>
                </c:pt>
                <c:pt idx="1030">
                  <c:v>33</c:v>
                </c:pt>
                <c:pt idx="1031">
                  <c:v>36</c:v>
                </c:pt>
                <c:pt idx="1032">
                  <c:v>70</c:v>
                </c:pt>
                <c:pt idx="1033">
                  <c:v>58</c:v>
                </c:pt>
                <c:pt idx="1034">
                  <c:v>66</c:v>
                </c:pt>
                <c:pt idx="1035">
                  <c:v>78</c:v>
                </c:pt>
                <c:pt idx="1036">
                  <c:v>17</c:v>
                </c:pt>
                <c:pt idx="1037">
                  <c:v>74</c:v>
                </c:pt>
                <c:pt idx="1038">
                  <c:v>39</c:v>
                </c:pt>
                <c:pt idx="1039">
                  <c:v>31</c:v>
                </c:pt>
                <c:pt idx="1040">
                  <c:v>61</c:v>
                </c:pt>
                <c:pt idx="1041">
                  <c:v>74</c:v>
                </c:pt>
                <c:pt idx="1042">
                  <c:v>7</c:v>
                </c:pt>
                <c:pt idx="1043">
                  <c:v>7</c:v>
                </c:pt>
                <c:pt idx="1044">
                  <c:v>11</c:v>
                </c:pt>
                <c:pt idx="1045">
                  <c:v>30</c:v>
                </c:pt>
                <c:pt idx="1046">
                  <c:v>2</c:v>
                </c:pt>
                <c:pt idx="1047">
                  <c:v>40</c:v>
                </c:pt>
                <c:pt idx="1048">
                  <c:v>22</c:v>
                </c:pt>
                <c:pt idx="1049">
                  <c:v>76</c:v>
                </c:pt>
                <c:pt idx="1050">
                  <c:v>60</c:v>
                </c:pt>
                <c:pt idx="1051">
                  <c:v>12</c:v>
                </c:pt>
                <c:pt idx="1052">
                  <c:v>73</c:v>
                </c:pt>
                <c:pt idx="1053">
                  <c:v>75</c:v>
                </c:pt>
                <c:pt idx="1054">
                  <c:v>72</c:v>
                </c:pt>
                <c:pt idx="1055">
                  <c:v>68</c:v>
                </c:pt>
                <c:pt idx="1056">
                  <c:v>61</c:v>
                </c:pt>
                <c:pt idx="1057">
                  <c:v>24</c:v>
                </c:pt>
                <c:pt idx="1058">
                  <c:v>32</c:v>
                </c:pt>
                <c:pt idx="1059">
                  <c:v>2</c:v>
                </c:pt>
                <c:pt idx="1060">
                  <c:v>2</c:v>
                </c:pt>
                <c:pt idx="1061">
                  <c:v>37</c:v>
                </c:pt>
                <c:pt idx="1062">
                  <c:v>28</c:v>
                </c:pt>
                <c:pt idx="1063">
                  <c:v>49</c:v>
                </c:pt>
                <c:pt idx="1064">
                  <c:v>43</c:v>
                </c:pt>
                <c:pt idx="1065">
                  <c:v>67</c:v>
                </c:pt>
                <c:pt idx="1066">
                  <c:v>18</c:v>
                </c:pt>
                <c:pt idx="1067">
                  <c:v>35</c:v>
                </c:pt>
                <c:pt idx="1068">
                  <c:v>50</c:v>
                </c:pt>
                <c:pt idx="1069">
                  <c:v>53</c:v>
                </c:pt>
                <c:pt idx="1070">
                  <c:v>33</c:v>
                </c:pt>
                <c:pt idx="1071">
                  <c:v>75</c:v>
                </c:pt>
                <c:pt idx="1072">
                  <c:v>42</c:v>
                </c:pt>
                <c:pt idx="1073">
                  <c:v>12</c:v>
                </c:pt>
                <c:pt idx="1074">
                  <c:v>33</c:v>
                </c:pt>
                <c:pt idx="1075">
                  <c:v>35</c:v>
                </c:pt>
                <c:pt idx="1076">
                  <c:v>68</c:v>
                </c:pt>
                <c:pt idx="1077">
                  <c:v>8</c:v>
                </c:pt>
                <c:pt idx="1078">
                  <c:v>8</c:v>
                </c:pt>
                <c:pt idx="1079">
                  <c:v>25</c:v>
                </c:pt>
                <c:pt idx="1080">
                  <c:v>61</c:v>
                </c:pt>
                <c:pt idx="1081">
                  <c:v>59</c:v>
                </c:pt>
                <c:pt idx="1082">
                  <c:v>65</c:v>
                </c:pt>
                <c:pt idx="1083">
                  <c:v>15</c:v>
                </c:pt>
                <c:pt idx="1084">
                  <c:v>72</c:v>
                </c:pt>
                <c:pt idx="1085">
                  <c:v>14</c:v>
                </c:pt>
                <c:pt idx="1086">
                  <c:v>72</c:v>
                </c:pt>
                <c:pt idx="1087">
                  <c:v>70</c:v>
                </c:pt>
                <c:pt idx="1088">
                  <c:v>50</c:v>
                </c:pt>
                <c:pt idx="1089">
                  <c:v>26</c:v>
                </c:pt>
                <c:pt idx="1090">
                  <c:v>71</c:v>
                </c:pt>
                <c:pt idx="1091">
                  <c:v>14</c:v>
                </c:pt>
                <c:pt idx="1092">
                  <c:v>65</c:v>
                </c:pt>
                <c:pt idx="1093">
                  <c:v>43</c:v>
                </c:pt>
                <c:pt idx="1094">
                  <c:v>4</c:v>
                </c:pt>
                <c:pt idx="1095">
                  <c:v>75</c:v>
                </c:pt>
                <c:pt idx="1096">
                  <c:v>77</c:v>
                </c:pt>
                <c:pt idx="1097">
                  <c:v>38</c:v>
                </c:pt>
                <c:pt idx="1098">
                  <c:v>79</c:v>
                </c:pt>
                <c:pt idx="1099">
                  <c:v>42</c:v>
                </c:pt>
                <c:pt idx="1100">
                  <c:v>6</c:v>
                </c:pt>
                <c:pt idx="1101">
                  <c:v>49</c:v>
                </c:pt>
                <c:pt idx="1102">
                  <c:v>66</c:v>
                </c:pt>
                <c:pt idx="1103">
                  <c:v>46</c:v>
                </c:pt>
                <c:pt idx="1104">
                  <c:v>65</c:v>
                </c:pt>
                <c:pt idx="1105">
                  <c:v>12</c:v>
                </c:pt>
                <c:pt idx="1106">
                  <c:v>34</c:v>
                </c:pt>
                <c:pt idx="1107">
                  <c:v>67</c:v>
                </c:pt>
                <c:pt idx="1108">
                  <c:v>15</c:v>
                </c:pt>
                <c:pt idx="1109">
                  <c:v>69</c:v>
                </c:pt>
                <c:pt idx="1110">
                  <c:v>66</c:v>
                </c:pt>
                <c:pt idx="1111">
                  <c:v>26</c:v>
                </c:pt>
                <c:pt idx="1112">
                  <c:v>54</c:v>
                </c:pt>
                <c:pt idx="1113">
                  <c:v>56</c:v>
                </c:pt>
                <c:pt idx="1114">
                  <c:v>30</c:v>
                </c:pt>
                <c:pt idx="1115">
                  <c:v>15</c:v>
                </c:pt>
                <c:pt idx="1116">
                  <c:v>2</c:v>
                </c:pt>
                <c:pt idx="1117">
                  <c:v>21</c:v>
                </c:pt>
                <c:pt idx="1118">
                  <c:v>39</c:v>
                </c:pt>
                <c:pt idx="1119">
                  <c:v>36</c:v>
                </c:pt>
                <c:pt idx="1120">
                  <c:v>7</c:v>
                </c:pt>
                <c:pt idx="1121">
                  <c:v>39</c:v>
                </c:pt>
                <c:pt idx="1122">
                  <c:v>79</c:v>
                </c:pt>
                <c:pt idx="1123">
                  <c:v>1</c:v>
                </c:pt>
                <c:pt idx="1124">
                  <c:v>52</c:v>
                </c:pt>
                <c:pt idx="1125">
                  <c:v>51</c:v>
                </c:pt>
                <c:pt idx="1126">
                  <c:v>0</c:v>
                </c:pt>
                <c:pt idx="1127">
                  <c:v>40</c:v>
                </c:pt>
                <c:pt idx="1128">
                  <c:v>76</c:v>
                </c:pt>
                <c:pt idx="1129">
                  <c:v>77</c:v>
                </c:pt>
                <c:pt idx="1130">
                  <c:v>15</c:v>
                </c:pt>
                <c:pt idx="1131">
                  <c:v>25</c:v>
                </c:pt>
                <c:pt idx="1132">
                  <c:v>57</c:v>
                </c:pt>
                <c:pt idx="1133">
                  <c:v>76</c:v>
                </c:pt>
                <c:pt idx="1134">
                  <c:v>71</c:v>
                </c:pt>
                <c:pt idx="1135">
                  <c:v>71</c:v>
                </c:pt>
                <c:pt idx="1136">
                  <c:v>53</c:v>
                </c:pt>
                <c:pt idx="1137">
                  <c:v>10</c:v>
                </c:pt>
                <c:pt idx="1138">
                  <c:v>5</c:v>
                </c:pt>
                <c:pt idx="1139">
                  <c:v>56</c:v>
                </c:pt>
                <c:pt idx="1140">
                  <c:v>30</c:v>
                </c:pt>
                <c:pt idx="1141">
                  <c:v>58</c:v>
                </c:pt>
                <c:pt idx="1142">
                  <c:v>23</c:v>
                </c:pt>
                <c:pt idx="1143">
                  <c:v>41</c:v>
                </c:pt>
                <c:pt idx="1144">
                  <c:v>26</c:v>
                </c:pt>
                <c:pt idx="1145">
                  <c:v>15</c:v>
                </c:pt>
                <c:pt idx="1146">
                  <c:v>73</c:v>
                </c:pt>
                <c:pt idx="1147">
                  <c:v>62</c:v>
                </c:pt>
                <c:pt idx="1148">
                  <c:v>27</c:v>
                </c:pt>
                <c:pt idx="1149">
                  <c:v>58</c:v>
                </c:pt>
                <c:pt idx="1150">
                  <c:v>76</c:v>
                </c:pt>
                <c:pt idx="1151">
                  <c:v>29</c:v>
                </c:pt>
                <c:pt idx="1152">
                  <c:v>51</c:v>
                </c:pt>
                <c:pt idx="1153">
                  <c:v>7</c:v>
                </c:pt>
                <c:pt idx="1154">
                  <c:v>12</c:v>
                </c:pt>
                <c:pt idx="1155">
                  <c:v>72</c:v>
                </c:pt>
                <c:pt idx="1156">
                  <c:v>66</c:v>
                </c:pt>
                <c:pt idx="1157">
                  <c:v>62</c:v>
                </c:pt>
                <c:pt idx="1158">
                  <c:v>22</c:v>
                </c:pt>
                <c:pt idx="1159">
                  <c:v>77</c:v>
                </c:pt>
                <c:pt idx="1160">
                  <c:v>49</c:v>
                </c:pt>
                <c:pt idx="1161">
                  <c:v>51</c:v>
                </c:pt>
                <c:pt idx="1162">
                  <c:v>21</c:v>
                </c:pt>
                <c:pt idx="1163">
                  <c:v>75</c:v>
                </c:pt>
                <c:pt idx="1164">
                  <c:v>60</c:v>
                </c:pt>
                <c:pt idx="1165">
                  <c:v>74</c:v>
                </c:pt>
                <c:pt idx="1166">
                  <c:v>47</c:v>
                </c:pt>
                <c:pt idx="1167">
                  <c:v>58</c:v>
                </c:pt>
                <c:pt idx="1168">
                  <c:v>16</c:v>
                </c:pt>
                <c:pt idx="1169">
                  <c:v>63</c:v>
                </c:pt>
                <c:pt idx="1170">
                  <c:v>19</c:v>
                </c:pt>
                <c:pt idx="1171">
                  <c:v>36</c:v>
                </c:pt>
                <c:pt idx="1172">
                  <c:v>5</c:v>
                </c:pt>
                <c:pt idx="1173">
                  <c:v>6</c:v>
                </c:pt>
                <c:pt idx="1174">
                  <c:v>15</c:v>
                </c:pt>
                <c:pt idx="1175">
                  <c:v>50</c:v>
                </c:pt>
                <c:pt idx="1176">
                  <c:v>28</c:v>
                </c:pt>
                <c:pt idx="1177">
                  <c:v>61</c:v>
                </c:pt>
                <c:pt idx="1178">
                  <c:v>27</c:v>
                </c:pt>
                <c:pt idx="1179">
                  <c:v>15</c:v>
                </c:pt>
                <c:pt idx="1180">
                  <c:v>27</c:v>
                </c:pt>
                <c:pt idx="1181">
                  <c:v>20</c:v>
                </c:pt>
                <c:pt idx="1182">
                  <c:v>20</c:v>
                </c:pt>
                <c:pt idx="1183">
                  <c:v>24</c:v>
                </c:pt>
                <c:pt idx="1184">
                  <c:v>26</c:v>
                </c:pt>
                <c:pt idx="1185">
                  <c:v>64</c:v>
                </c:pt>
                <c:pt idx="1186">
                  <c:v>42</c:v>
                </c:pt>
                <c:pt idx="1187">
                  <c:v>11</c:v>
                </c:pt>
                <c:pt idx="1188">
                  <c:v>62</c:v>
                </c:pt>
                <c:pt idx="1189">
                  <c:v>78</c:v>
                </c:pt>
                <c:pt idx="1190">
                  <c:v>68</c:v>
                </c:pt>
                <c:pt idx="1191">
                  <c:v>74</c:v>
                </c:pt>
                <c:pt idx="1192">
                  <c:v>35</c:v>
                </c:pt>
                <c:pt idx="1193">
                  <c:v>17</c:v>
                </c:pt>
                <c:pt idx="1194">
                  <c:v>43</c:v>
                </c:pt>
                <c:pt idx="1195">
                  <c:v>15</c:v>
                </c:pt>
                <c:pt idx="1196">
                  <c:v>69</c:v>
                </c:pt>
                <c:pt idx="1197">
                  <c:v>13</c:v>
                </c:pt>
                <c:pt idx="1198">
                  <c:v>76</c:v>
                </c:pt>
                <c:pt idx="1199">
                  <c:v>3</c:v>
                </c:pt>
                <c:pt idx="1200">
                  <c:v>68</c:v>
                </c:pt>
                <c:pt idx="1201">
                  <c:v>40</c:v>
                </c:pt>
                <c:pt idx="1202">
                  <c:v>52</c:v>
                </c:pt>
                <c:pt idx="1203">
                  <c:v>22</c:v>
                </c:pt>
                <c:pt idx="1204">
                  <c:v>26</c:v>
                </c:pt>
                <c:pt idx="1205">
                  <c:v>64</c:v>
                </c:pt>
                <c:pt idx="1206">
                  <c:v>52</c:v>
                </c:pt>
                <c:pt idx="1207">
                  <c:v>76</c:v>
                </c:pt>
                <c:pt idx="1208">
                  <c:v>50</c:v>
                </c:pt>
                <c:pt idx="1209">
                  <c:v>10</c:v>
                </c:pt>
                <c:pt idx="1210">
                  <c:v>37</c:v>
                </c:pt>
                <c:pt idx="1211">
                  <c:v>47</c:v>
                </c:pt>
                <c:pt idx="1212">
                  <c:v>44</c:v>
                </c:pt>
                <c:pt idx="1213">
                  <c:v>76</c:v>
                </c:pt>
                <c:pt idx="1214">
                  <c:v>3</c:v>
                </c:pt>
                <c:pt idx="1215">
                  <c:v>39</c:v>
                </c:pt>
                <c:pt idx="1216">
                  <c:v>37</c:v>
                </c:pt>
                <c:pt idx="1217">
                  <c:v>74</c:v>
                </c:pt>
                <c:pt idx="1218">
                  <c:v>30</c:v>
                </c:pt>
                <c:pt idx="1219">
                  <c:v>71</c:v>
                </c:pt>
                <c:pt idx="1220">
                  <c:v>38</c:v>
                </c:pt>
                <c:pt idx="1221">
                  <c:v>15</c:v>
                </c:pt>
                <c:pt idx="1222">
                  <c:v>46</c:v>
                </c:pt>
                <c:pt idx="1223">
                  <c:v>22</c:v>
                </c:pt>
                <c:pt idx="1224">
                  <c:v>38</c:v>
                </c:pt>
                <c:pt idx="1225">
                  <c:v>9</c:v>
                </c:pt>
                <c:pt idx="1226">
                  <c:v>39</c:v>
                </c:pt>
                <c:pt idx="1227">
                  <c:v>55</c:v>
                </c:pt>
                <c:pt idx="1228">
                  <c:v>35</c:v>
                </c:pt>
                <c:pt idx="1229">
                  <c:v>49</c:v>
                </c:pt>
                <c:pt idx="1230">
                  <c:v>38</c:v>
                </c:pt>
                <c:pt idx="1231">
                  <c:v>65</c:v>
                </c:pt>
                <c:pt idx="1232">
                  <c:v>56</c:v>
                </c:pt>
                <c:pt idx="1233">
                  <c:v>26</c:v>
                </c:pt>
                <c:pt idx="1234">
                  <c:v>72</c:v>
                </c:pt>
                <c:pt idx="1235">
                  <c:v>11</c:v>
                </c:pt>
                <c:pt idx="1236">
                  <c:v>12</c:v>
                </c:pt>
                <c:pt idx="1237">
                  <c:v>73</c:v>
                </c:pt>
                <c:pt idx="1238">
                  <c:v>46</c:v>
                </c:pt>
                <c:pt idx="1239">
                  <c:v>64</c:v>
                </c:pt>
                <c:pt idx="1240">
                  <c:v>3</c:v>
                </c:pt>
                <c:pt idx="1241">
                  <c:v>63</c:v>
                </c:pt>
                <c:pt idx="1242">
                  <c:v>50</c:v>
                </c:pt>
                <c:pt idx="1243">
                  <c:v>2</c:v>
                </c:pt>
                <c:pt idx="1244">
                  <c:v>76</c:v>
                </c:pt>
                <c:pt idx="1245">
                  <c:v>49</c:v>
                </c:pt>
                <c:pt idx="1246">
                  <c:v>65</c:v>
                </c:pt>
                <c:pt idx="1247">
                  <c:v>54</c:v>
                </c:pt>
                <c:pt idx="1248">
                  <c:v>13</c:v>
                </c:pt>
                <c:pt idx="1249">
                  <c:v>66</c:v>
                </c:pt>
                <c:pt idx="1250">
                  <c:v>54</c:v>
                </c:pt>
                <c:pt idx="1251">
                  <c:v>24</c:v>
                </c:pt>
                <c:pt idx="1252">
                  <c:v>54</c:v>
                </c:pt>
                <c:pt idx="1253">
                  <c:v>43</c:v>
                </c:pt>
                <c:pt idx="1254">
                  <c:v>19</c:v>
                </c:pt>
                <c:pt idx="1255">
                  <c:v>59</c:v>
                </c:pt>
                <c:pt idx="1256">
                  <c:v>7</c:v>
                </c:pt>
                <c:pt idx="1257">
                  <c:v>77</c:v>
                </c:pt>
                <c:pt idx="1258">
                  <c:v>43</c:v>
                </c:pt>
                <c:pt idx="1259">
                  <c:v>33</c:v>
                </c:pt>
                <c:pt idx="1260">
                  <c:v>27</c:v>
                </c:pt>
                <c:pt idx="1261">
                  <c:v>29</c:v>
                </c:pt>
                <c:pt idx="1262">
                  <c:v>50</c:v>
                </c:pt>
                <c:pt idx="1263">
                  <c:v>24</c:v>
                </c:pt>
                <c:pt idx="1264">
                  <c:v>32</c:v>
                </c:pt>
                <c:pt idx="1265">
                  <c:v>53</c:v>
                </c:pt>
                <c:pt idx="1266">
                  <c:v>68</c:v>
                </c:pt>
                <c:pt idx="1267">
                  <c:v>28</c:v>
                </c:pt>
                <c:pt idx="1268">
                  <c:v>34</c:v>
                </c:pt>
                <c:pt idx="1269">
                  <c:v>18</c:v>
                </c:pt>
                <c:pt idx="1270">
                  <c:v>36</c:v>
                </c:pt>
                <c:pt idx="1271">
                  <c:v>47</c:v>
                </c:pt>
                <c:pt idx="1272">
                  <c:v>37</c:v>
                </c:pt>
                <c:pt idx="1273">
                  <c:v>76</c:v>
                </c:pt>
                <c:pt idx="1274">
                  <c:v>73</c:v>
                </c:pt>
                <c:pt idx="1275">
                  <c:v>2</c:v>
                </c:pt>
                <c:pt idx="1276">
                  <c:v>60</c:v>
                </c:pt>
                <c:pt idx="1277">
                  <c:v>46</c:v>
                </c:pt>
                <c:pt idx="1278">
                  <c:v>29</c:v>
                </c:pt>
                <c:pt idx="1279">
                  <c:v>50</c:v>
                </c:pt>
                <c:pt idx="1280">
                  <c:v>53</c:v>
                </c:pt>
                <c:pt idx="1281">
                  <c:v>45</c:v>
                </c:pt>
                <c:pt idx="1282">
                  <c:v>42</c:v>
                </c:pt>
                <c:pt idx="1283">
                  <c:v>31</c:v>
                </c:pt>
                <c:pt idx="1284">
                  <c:v>71</c:v>
                </c:pt>
                <c:pt idx="1285">
                  <c:v>16</c:v>
                </c:pt>
                <c:pt idx="1286">
                  <c:v>22</c:v>
                </c:pt>
                <c:pt idx="1287">
                  <c:v>58</c:v>
                </c:pt>
                <c:pt idx="1288">
                  <c:v>49</c:v>
                </c:pt>
                <c:pt idx="1289">
                  <c:v>80</c:v>
                </c:pt>
                <c:pt idx="1290">
                  <c:v>58</c:v>
                </c:pt>
                <c:pt idx="1291">
                  <c:v>35</c:v>
                </c:pt>
                <c:pt idx="1292">
                  <c:v>0</c:v>
                </c:pt>
                <c:pt idx="1293">
                  <c:v>15</c:v>
                </c:pt>
                <c:pt idx="1294">
                  <c:v>0</c:v>
                </c:pt>
                <c:pt idx="1295">
                  <c:v>26</c:v>
                </c:pt>
                <c:pt idx="1296">
                  <c:v>62</c:v>
                </c:pt>
                <c:pt idx="1297">
                  <c:v>15</c:v>
                </c:pt>
                <c:pt idx="1298">
                  <c:v>17</c:v>
                </c:pt>
                <c:pt idx="1299">
                  <c:v>44</c:v>
                </c:pt>
                <c:pt idx="1300">
                  <c:v>20</c:v>
                </c:pt>
                <c:pt idx="1301">
                  <c:v>19</c:v>
                </c:pt>
                <c:pt idx="1302">
                  <c:v>74</c:v>
                </c:pt>
                <c:pt idx="1303">
                  <c:v>37</c:v>
                </c:pt>
                <c:pt idx="1304">
                  <c:v>16</c:v>
                </c:pt>
                <c:pt idx="1305">
                  <c:v>35</c:v>
                </c:pt>
                <c:pt idx="1306">
                  <c:v>77</c:v>
                </c:pt>
                <c:pt idx="1307">
                  <c:v>19</c:v>
                </c:pt>
                <c:pt idx="1308">
                  <c:v>55</c:v>
                </c:pt>
                <c:pt idx="1309">
                  <c:v>6</c:v>
                </c:pt>
                <c:pt idx="1310">
                  <c:v>50</c:v>
                </c:pt>
                <c:pt idx="1311">
                  <c:v>17</c:v>
                </c:pt>
                <c:pt idx="1312">
                  <c:v>25</c:v>
                </c:pt>
                <c:pt idx="1313">
                  <c:v>41</c:v>
                </c:pt>
                <c:pt idx="1314">
                  <c:v>61</c:v>
                </c:pt>
                <c:pt idx="1315">
                  <c:v>63</c:v>
                </c:pt>
                <c:pt idx="1316">
                  <c:v>47</c:v>
                </c:pt>
                <c:pt idx="1317">
                  <c:v>10</c:v>
                </c:pt>
                <c:pt idx="1318">
                  <c:v>51</c:v>
                </c:pt>
                <c:pt idx="1319">
                  <c:v>5</c:v>
                </c:pt>
                <c:pt idx="1320">
                  <c:v>69</c:v>
                </c:pt>
                <c:pt idx="1321">
                  <c:v>45</c:v>
                </c:pt>
                <c:pt idx="1322">
                  <c:v>44</c:v>
                </c:pt>
                <c:pt idx="1323">
                  <c:v>13</c:v>
                </c:pt>
                <c:pt idx="1324">
                  <c:v>34</c:v>
                </c:pt>
                <c:pt idx="1325">
                  <c:v>77</c:v>
                </c:pt>
                <c:pt idx="1326">
                  <c:v>5</c:v>
                </c:pt>
                <c:pt idx="1327">
                  <c:v>46</c:v>
                </c:pt>
                <c:pt idx="1328">
                  <c:v>68</c:v>
                </c:pt>
                <c:pt idx="1329">
                  <c:v>12</c:v>
                </c:pt>
                <c:pt idx="1330">
                  <c:v>55</c:v>
                </c:pt>
                <c:pt idx="1331">
                  <c:v>58</c:v>
                </c:pt>
                <c:pt idx="1332">
                  <c:v>48</c:v>
                </c:pt>
                <c:pt idx="1333">
                  <c:v>14</c:v>
                </c:pt>
                <c:pt idx="1334">
                  <c:v>47</c:v>
                </c:pt>
                <c:pt idx="1335">
                  <c:v>9</c:v>
                </c:pt>
                <c:pt idx="1336">
                  <c:v>52</c:v>
                </c:pt>
                <c:pt idx="1337">
                  <c:v>56</c:v>
                </c:pt>
                <c:pt idx="1338">
                  <c:v>5</c:v>
                </c:pt>
                <c:pt idx="1339">
                  <c:v>23</c:v>
                </c:pt>
                <c:pt idx="1340">
                  <c:v>23</c:v>
                </c:pt>
                <c:pt idx="1341">
                  <c:v>8</c:v>
                </c:pt>
                <c:pt idx="1342">
                  <c:v>65</c:v>
                </c:pt>
                <c:pt idx="1343">
                  <c:v>65</c:v>
                </c:pt>
                <c:pt idx="1344">
                  <c:v>23</c:v>
                </c:pt>
                <c:pt idx="1345">
                  <c:v>79</c:v>
                </c:pt>
                <c:pt idx="1346">
                  <c:v>69</c:v>
                </c:pt>
                <c:pt idx="1347">
                  <c:v>65</c:v>
                </c:pt>
                <c:pt idx="1348">
                  <c:v>21</c:v>
                </c:pt>
                <c:pt idx="1349">
                  <c:v>8</c:v>
                </c:pt>
                <c:pt idx="1350">
                  <c:v>24</c:v>
                </c:pt>
                <c:pt idx="1351">
                  <c:v>51</c:v>
                </c:pt>
                <c:pt idx="1352">
                  <c:v>5</c:v>
                </c:pt>
                <c:pt idx="1353">
                  <c:v>24</c:v>
                </c:pt>
                <c:pt idx="1354">
                  <c:v>52</c:v>
                </c:pt>
                <c:pt idx="1355">
                  <c:v>6</c:v>
                </c:pt>
                <c:pt idx="1356">
                  <c:v>73</c:v>
                </c:pt>
                <c:pt idx="1357">
                  <c:v>61</c:v>
                </c:pt>
                <c:pt idx="1358">
                  <c:v>62</c:v>
                </c:pt>
                <c:pt idx="1359">
                  <c:v>54</c:v>
                </c:pt>
                <c:pt idx="1360">
                  <c:v>41</c:v>
                </c:pt>
                <c:pt idx="1361">
                  <c:v>20</c:v>
                </c:pt>
                <c:pt idx="1362">
                  <c:v>67</c:v>
                </c:pt>
                <c:pt idx="1363">
                  <c:v>46</c:v>
                </c:pt>
                <c:pt idx="1364">
                  <c:v>19</c:v>
                </c:pt>
                <c:pt idx="1365">
                  <c:v>18</c:v>
                </c:pt>
                <c:pt idx="1366">
                  <c:v>79</c:v>
                </c:pt>
                <c:pt idx="1367">
                  <c:v>72</c:v>
                </c:pt>
                <c:pt idx="1368">
                  <c:v>24</c:v>
                </c:pt>
                <c:pt idx="1369">
                  <c:v>29</c:v>
                </c:pt>
                <c:pt idx="1370">
                  <c:v>21</c:v>
                </c:pt>
                <c:pt idx="1371">
                  <c:v>3</c:v>
                </c:pt>
                <c:pt idx="1372">
                  <c:v>80</c:v>
                </c:pt>
                <c:pt idx="1373">
                  <c:v>45</c:v>
                </c:pt>
                <c:pt idx="1374">
                  <c:v>70</c:v>
                </c:pt>
                <c:pt idx="1375">
                  <c:v>6</c:v>
                </c:pt>
                <c:pt idx="1376">
                  <c:v>11</c:v>
                </c:pt>
                <c:pt idx="1377">
                  <c:v>79</c:v>
                </c:pt>
                <c:pt idx="1378">
                  <c:v>43</c:v>
                </c:pt>
                <c:pt idx="1379">
                  <c:v>5</c:v>
                </c:pt>
                <c:pt idx="1380">
                  <c:v>9</c:v>
                </c:pt>
                <c:pt idx="1381">
                  <c:v>59</c:v>
                </c:pt>
                <c:pt idx="1382">
                  <c:v>13</c:v>
                </c:pt>
                <c:pt idx="1383">
                  <c:v>10</c:v>
                </c:pt>
                <c:pt idx="1384">
                  <c:v>35</c:v>
                </c:pt>
                <c:pt idx="1385">
                  <c:v>45</c:v>
                </c:pt>
                <c:pt idx="1386">
                  <c:v>71</c:v>
                </c:pt>
                <c:pt idx="1387">
                  <c:v>20</c:v>
                </c:pt>
                <c:pt idx="1388">
                  <c:v>75</c:v>
                </c:pt>
                <c:pt idx="1389">
                  <c:v>72</c:v>
                </c:pt>
                <c:pt idx="1390">
                  <c:v>9</c:v>
                </c:pt>
                <c:pt idx="1391">
                  <c:v>69</c:v>
                </c:pt>
                <c:pt idx="1392">
                  <c:v>63</c:v>
                </c:pt>
                <c:pt idx="1393">
                  <c:v>58</c:v>
                </c:pt>
                <c:pt idx="1394">
                  <c:v>37</c:v>
                </c:pt>
                <c:pt idx="1395">
                  <c:v>33</c:v>
                </c:pt>
                <c:pt idx="1396">
                  <c:v>63</c:v>
                </c:pt>
                <c:pt idx="1397">
                  <c:v>25</c:v>
                </c:pt>
                <c:pt idx="1398">
                  <c:v>24</c:v>
                </c:pt>
                <c:pt idx="1399">
                  <c:v>42</c:v>
                </c:pt>
                <c:pt idx="1400">
                  <c:v>10</c:v>
                </c:pt>
                <c:pt idx="1401">
                  <c:v>79</c:v>
                </c:pt>
                <c:pt idx="1402">
                  <c:v>3</c:v>
                </c:pt>
                <c:pt idx="1403">
                  <c:v>12</c:v>
                </c:pt>
                <c:pt idx="1404">
                  <c:v>27</c:v>
                </c:pt>
                <c:pt idx="1405">
                  <c:v>26</c:v>
                </c:pt>
                <c:pt idx="1406">
                  <c:v>24</c:v>
                </c:pt>
                <c:pt idx="1407">
                  <c:v>1</c:v>
                </c:pt>
                <c:pt idx="1408">
                  <c:v>78</c:v>
                </c:pt>
                <c:pt idx="1409">
                  <c:v>4</c:v>
                </c:pt>
                <c:pt idx="1410">
                  <c:v>77</c:v>
                </c:pt>
                <c:pt idx="1411">
                  <c:v>72</c:v>
                </c:pt>
                <c:pt idx="1412">
                  <c:v>18</c:v>
                </c:pt>
                <c:pt idx="1413">
                  <c:v>32</c:v>
                </c:pt>
                <c:pt idx="1414">
                  <c:v>0</c:v>
                </c:pt>
                <c:pt idx="1415">
                  <c:v>30</c:v>
                </c:pt>
                <c:pt idx="1416">
                  <c:v>11</c:v>
                </c:pt>
                <c:pt idx="1417">
                  <c:v>38</c:v>
                </c:pt>
                <c:pt idx="1418">
                  <c:v>80</c:v>
                </c:pt>
                <c:pt idx="1419">
                  <c:v>77</c:v>
                </c:pt>
                <c:pt idx="1420">
                  <c:v>15</c:v>
                </c:pt>
                <c:pt idx="1421">
                  <c:v>71</c:v>
                </c:pt>
                <c:pt idx="1422">
                  <c:v>9</c:v>
                </c:pt>
                <c:pt idx="1423">
                  <c:v>79</c:v>
                </c:pt>
                <c:pt idx="1424">
                  <c:v>54</c:v>
                </c:pt>
                <c:pt idx="1425">
                  <c:v>22</c:v>
                </c:pt>
                <c:pt idx="1426">
                  <c:v>70</c:v>
                </c:pt>
                <c:pt idx="1427">
                  <c:v>61</c:v>
                </c:pt>
                <c:pt idx="1428">
                  <c:v>14</c:v>
                </c:pt>
                <c:pt idx="1429">
                  <c:v>45</c:v>
                </c:pt>
                <c:pt idx="1430">
                  <c:v>49</c:v>
                </c:pt>
                <c:pt idx="1431">
                  <c:v>42</c:v>
                </c:pt>
                <c:pt idx="1432">
                  <c:v>16</c:v>
                </c:pt>
                <c:pt idx="1433">
                  <c:v>8</c:v>
                </c:pt>
                <c:pt idx="1434">
                  <c:v>41</c:v>
                </c:pt>
                <c:pt idx="1435">
                  <c:v>5</c:v>
                </c:pt>
                <c:pt idx="1436">
                  <c:v>80</c:v>
                </c:pt>
                <c:pt idx="1437">
                  <c:v>25</c:v>
                </c:pt>
                <c:pt idx="1438">
                  <c:v>0</c:v>
                </c:pt>
                <c:pt idx="1439">
                  <c:v>2</c:v>
                </c:pt>
                <c:pt idx="1440">
                  <c:v>5</c:v>
                </c:pt>
                <c:pt idx="1441">
                  <c:v>7</c:v>
                </c:pt>
                <c:pt idx="1442">
                  <c:v>62</c:v>
                </c:pt>
                <c:pt idx="1443">
                  <c:v>55</c:v>
                </c:pt>
                <c:pt idx="1444">
                  <c:v>31</c:v>
                </c:pt>
                <c:pt idx="1445">
                  <c:v>33</c:v>
                </c:pt>
                <c:pt idx="1446">
                  <c:v>77</c:v>
                </c:pt>
                <c:pt idx="1447">
                  <c:v>20</c:v>
                </c:pt>
                <c:pt idx="1448">
                  <c:v>55</c:v>
                </c:pt>
                <c:pt idx="1449">
                  <c:v>48</c:v>
                </c:pt>
                <c:pt idx="1450">
                  <c:v>42</c:v>
                </c:pt>
                <c:pt idx="1451">
                  <c:v>43</c:v>
                </c:pt>
                <c:pt idx="1452">
                  <c:v>55</c:v>
                </c:pt>
                <c:pt idx="1453">
                  <c:v>70</c:v>
                </c:pt>
                <c:pt idx="1454">
                  <c:v>34</c:v>
                </c:pt>
                <c:pt idx="1455">
                  <c:v>25</c:v>
                </c:pt>
                <c:pt idx="1456">
                  <c:v>24</c:v>
                </c:pt>
                <c:pt idx="1457">
                  <c:v>65</c:v>
                </c:pt>
                <c:pt idx="1458">
                  <c:v>77</c:v>
                </c:pt>
                <c:pt idx="1459">
                  <c:v>22</c:v>
                </c:pt>
                <c:pt idx="1460">
                  <c:v>43</c:v>
                </c:pt>
                <c:pt idx="1461">
                  <c:v>78</c:v>
                </c:pt>
                <c:pt idx="1462">
                  <c:v>20</c:v>
                </c:pt>
                <c:pt idx="1463">
                  <c:v>66</c:v>
                </c:pt>
                <c:pt idx="1464">
                  <c:v>60</c:v>
                </c:pt>
                <c:pt idx="1465">
                  <c:v>66</c:v>
                </c:pt>
                <c:pt idx="1466">
                  <c:v>27</c:v>
                </c:pt>
                <c:pt idx="1467">
                  <c:v>24</c:v>
                </c:pt>
                <c:pt idx="1468">
                  <c:v>68</c:v>
                </c:pt>
                <c:pt idx="1469">
                  <c:v>70</c:v>
                </c:pt>
                <c:pt idx="1470">
                  <c:v>65</c:v>
                </c:pt>
                <c:pt idx="1471">
                  <c:v>76</c:v>
                </c:pt>
                <c:pt idx="1472">
                  <c:v>36</c:v>
                </c:pt>
                <c:pt idx="1473">
                  <c:v>49</c:v>
                </c:pt>
                <c:pt idx="1474">
                  <c:v>62</c:v>
                </c:pt>
                <c:pt idx="1475">
                  <c:v>19</c:v>
                </c:pt>
                <c:pt idx="1476">
                  <c:v>19</c:v>
                </c:pt>
                <c:pt idx="1477">
                  <c:v>63</c:v>
                </c:pt>
                <c:pt idx="1478">
                  <c:v>59</c:v>
                </c:pt>
                <c:pt idx="1479">
                  <c:v>72</c:v>
                </c:pt>
                <c:pt idx="1480">
                  <c:v>35</c:v>
                </c:pt>
                <c:pt idx="1481">
                  <c:v>66</c:v>
                </c:pt>
                <c:pt idx="1482">
                  <c:v>63</c:v>
                </c:pt>
                <c:pt idx="1483">
                  <c:v>40</c:v>
                </c:pt>
                <c:pt idx="1484">
                  <c:v>12</c:v>
                </c:pt>
                <c:pt idx="1485">
                  <c:v>8</c:v>
                </c:pt>
                <c:pt idx="1486">
                  <c:v>74</c:v>
                </c:pt>
                <c:pt idx="1487">
                  <c:v>0</c:v>
                </c:pt>
                <c:pt idx="1488">
                  <c:v>60</c:v>
                </c:pt>
                <c:pt idx="1489">
                  <c:v>69</c:v>
                </c:pt>
                <c:pt idx="1490">
                  <c:v>18</c:v>
                </c:pt>
                <c:pt idx="1491">
                  <c:v>51</c:v>
                </c:pt>
                <c:pt idx="1492">
                  <c:v>38</c:v>
                </c:pt>
                <c:pt idx="1493">
                  <c:v>18</c:v>
                </c:pt>
                <c:pt idx="1494">
                  <c:v>19</c:v>
                </c:pt>
                <c:pt idx="1495">
                  <c:v>20</c:v>
                </c:pt>
                <c:pt idx="1496">
                  <c:v>48</c:v>
                </c:pt>
                <c:pt idx="1497">
                  <c:v>18</c:v>
                </c:pt>
                <c:pt idx="1498">
                  <c:v>46</c:v>
                </c:pt>
                <c:pt idx="1499">
                  <c:v>73</c:v>
                </c:pt>
                <c:pt idx="1500">
                  <c:v>26</c:v>
                </c:pt>
                <c:pt idx="1501">
                  <c:v>65</c:v>
                </c:pt>
                <c:pt idx="1502">
                  <c:v>38</c:v>
                </c:pt>
                <c:pt idx="1503">
                  <c:v>34</c:v>
                </c:pt>
                <c:pt idx="1504">
                  <c:v>64</c:v>
                </c:pt>
                <c:pt idx="1505">
                  <c:v>71</c:v>
                </c:pt>
                <c:pt idx="1506">
                  <c:v>43</c:v>
                </c:pt>
                <c:pt idx="1507">
                  <c:v>31</c:v>
                </c:pt>
                <c:pt idx="1508">
                  <c:v>29</c:v>
                </c:pt>
                <c:pt idx="1509">
                  <c:v>34</c:v>
                </c:pt>
                <c:pt idx="1510">
                  <c:v>9</c:v>
                </c:pt>
                <c:pt idx="1511">
                  <c:v>10</c:v>
                </c:pt>
                <c:pt idx="1512">
                  <c:v>34</c:v>
                </c:pt>
                <c:pt idx="1513">
                  <c:v>11</c:v>
                </c:pt>
                <c:pt idx="1514">
                  <c:v>31</c:v>
                </c:pt>
                <c:pt idx="1515">
                  <c:v>32</c:v>
                </c:pt>
                <c:pt idx="1516">
                  <c:v>61</c:v>
                </c:pt>
                <c:pt idx="1517">
                  <c:v>43</c:v>
                </c:pt>
                <c:pt idx="1518">
                  <c:v>24</c:v>
                </c:pt>
                <c:pt idx="1519">
                  <c:v>47</c:v>
                </c:pt>
                <c:pt idx="1520">
                  <c:v>24</c:v>
                </c:pt>
                <c:pt idx="1521">
                  <c:v>11</c:v>
                </c:pt>
                <c:pt idx="1522">
                  <c:v>44</c:v>
                </c:pt>
                <c:pt idx="1523">
                  <c:v>18</c:v>
                </c:pt>
                <c:pt idx="1524">
                  <c:v>52</c:v>
                </c:pt>
                <c:pt idx="1525">
                  <c:v>47</c:v>
                </c:pt>
                <c:pt idx="1526">
                  <c:v>26</c:v>
                </c:pt>
                <c:pt idx="1527">
                  <c:v>7</c:v>
                </c:pt>
                <c:pt idx="1528">
                  <c:v>32</c:v>
                </c:pt>
                <c:pt idx="1529">
                  <c:v>44</c:v>
                </c:pt>
                <c:pt idx="1530">
                  <c:v>39</c:v>
                </c:pt>
                <c:pt idx="1531">
                  <c:v>20</c:v>
                </c:pt>
                <c:pt idx="1532">
                  <c:v>20</c:v>
                </c:pt>
                <c:pt idx="1533">
                  <c:v>36</c:v>
                </c:pt>
                <c:pt idx="1534">
                  <c:v>79</c:v>
                </c:pt>
                <c:pt idx="1535">
                  <c:v>79</c:v>
                </c:pt>
                <c:pt idx="1536">
                  <c:v>17</c:v>
                </c:pt>
                <c:pt idx="1537">
                  <c:v>10</c:v>
                </c:pt>
                <c:pt idx="1538">
                  <c:v>4</c:v>
                </c:pt>
                <c:pt idx="1539">
                  <c:v>42</c:v>
                </c:pt>
                <c:pt idx="1540">
                  <c:v>47</c:v>
                </c:pt>
                <c:pt idx="1541">
                  <c:v>7</c:v>
                </c:pt>
                <c:pt idx="1542">
                  <c:v>13</c:v>
                </c:pt>
                <c:pt idx="1543">
                  <c:v>43</c:v>
                </c:pt>
                <c:pt idx="1544">
                  <c:v>62</c:v>
                </c:pt>
                <c:pt idx="1545">
                  <c:v>25</c:v>
                </c:pt>
                <c:pt idx="1546">
                  <c:v>79</c:v>
                </c:pt>
                <c:pt idx="1547">
                  <c:v>74</c:v>
                </c:pt>
                <c:pt idx="1548">
                  <c:v>79</c:v>
                </c:pt>
                <c:pt idx="1549">
                  <c:v>76</c:v>
                </c:pt>
                <c:pt idx="1550">
                  <c:v>9</c:v>
                </c:pt>
                <c:pt idx="1551">
                  <c:v>33</c:v>
                </c:pt>
                <c:pt idx="1552">
                  <c:v>2</c:v>
                </c:pt>
                <c:pt idx="1553">
                  <c:v>23</c:v>
                </c:pt>
                <c:pt idx="1554">
                  <c:v>54</c:v>
                </c:pt>
                <c:pt idx="1555">
                  <c:v>37</c:v>
                </c:pt>
                <c:pt idx="1556">
                  <c:v>67</c:v>
                </c:pt>
                <c:pt idx="1557">
                  <c:v>15</c:v>
                </c:pt>
                <c:pt idx="1558">
                  <c:v>38</c:v>
                </c:pt>
                <c:pt idx="1559">
                  <c:v>27</c:v>
                </c:pt>
                <c:pt idx="1560">
                  <c:v>27</c:v>
                </c:pt>
                <c:pt idx="1561">
                  <c:v>6</c:v>
                </c:pt>
                <c:pt idx="1562">
                  <c:v>17</c:v>
                </c:pt>
                <c:pt idx="1563">
                  <c:v>77</c:v>
                </c:pt>
                <c:pt idx="1564">
                  <c:v>43</c:v>
                </c:pt>
                <c:pt idx="1565">
                  <c:v>33</c:v>
                </c:pt>
                <c:pt idx="1566">
                  <c:v>52</c:v>
                </c:pt>
                <c:pt idx="1567">
                  <c:v>50</c:v>
                </c:pt>
                <c:pt idx="1568">
                  <c:v>42</c:v>
                </c:pt>
                <c:pt idx="1569">
                  <c:v>66</c:v>
                </c:pt>
                <c:pt idx="1570">
                  <c:v>11</c:v>
                </c:pt>
                <c:pt idx="1571">
                  <c:v>18</c:v>
                </c:pt>
                <c:pt idx="1572">
                  <c:v>28</c:v>
                </c:pt>
                <c:pt idx="1573">
                  <c:v>24</c:v>
                </c:pt>
                <c:pt idx="1574">
                  <c:v>60</c:v>
                </c:pt>
                <c:pt idx="1575">
                  <c:v>23</c:v>
                </c:pt>
                <c:pt idx="1576">
                  <c:v>65</c:v>
                </c:pt>
                <c:pt idx="1577">
                  <c:v>80</c:v>
                </c:pt>
                <c:pt idx="1578">
                  <c:v>18</c:v>
                </c:pt>
                <c:pt idx="1579">
                  <c:v>36</c:v>
                </c:pt>
                <c:pt idx="1580">
                  <c:v>49</c:v>
                </c:pt>
                <c:pt idx="1581">
                  <c:v>52</c:v>
                </c:pt>
                <c:pt idx="1582">
                  <c:v>49</c:v>
                </c:pt>
                <c:pt idx="1583">
                  <c:v>68</c:v>
                </c:pt>
                <c:pt idx="1584">
                  <c:v>39</c:v>
                </c:pt>
                <c:pt idx="1585">
                  <c:v>11</c:v>
                </c:pt>
                <c:pt idx="1586">
                  <c:v>75</c:v>
                </c:pt>
                <c:pt idx="1587">
                  <c:v>40</c:v>
                </c:pt>
                <c:pt idx="1588">
                  <c:v>53</c:v>
                </c:pt>
                <c:pt idx="1589">
                  <c:v>32</c:v>
                </c:pt>
                <c:pt idx="1590">
                  <c:v>18</c:v>
                </c:pt>
                <c:pt idx="1591">
                  <c:v>73</c:v>
                </c:pt>
                <c:pt idx="1592">
                  <c:v>55</c:v>
                </c:pt>
                <c:pt idx="1593">
                  <c:v>64</c:v>
                </c:pt>
                <c:pt idx="1594">
                  <c:v>50</c:v>
                </c:pt>
                <c:pt idx="1595">
                  <c:v>26</c:v>
                </c:pt>
                <c:pt idx="1596">
                  <c:v>79</c:v>
                </c:pt>
                <c:pt idx="1597">
                  <c:v>68</c:v>
                </c:pt>
                <c:pt idx="1598">
                  <c:v>59</c:v>
                </c:pt>
                <c:pt idx="1599">
                  <c:v>62</c:v>
                </c:pt>
                <c:pt idx="1600">
                  <c:v>78</c:v>
                </c:pt>
                <c:pt idx="1601">
                  <c:v>59</c:v>
                </c:pt>
                <c:pt idx="1602">
                  <c:v>8</c:v>
                </c:pt>
                <c:pt idx="1603">
                  <c:v>33</c:v>
                </c:pt>
                <c:pt idx="1604">
                  <c:v>54</c:v>
                </c:pt>
                <c:pt idx="1605">
                  <c:v>29</c:v>
                </c:pt>
                <c:pt idx="1606">
                  <c:v>41</c:v>
                </c:pt>
                <c:pt idx="1607">
                  <c:v>49</c:v>
                </c:pt>
                <c:pt idx="1608">
                  <c:v>56</c:v>
                </c:pt>
                <c:pt idx="1609">
                  <c:v>51</c:v>
                </c:pt>
                <c:pt idx="1610">
                  <c:v>56</c:v>
                </c:pt>
                <c:pt idx="1611">
                  <c:v>57</c:v>
                </c:pt>
                <c:pt idx="1612">
                  <c:v>16</c:v>
                </c:pt>
                <c:pt idx="1613">
                  <c:v>72</c:v>
                </c:pt>
                <c:pt idx="1614">
                  <c:v>36</c:v>
                </c:pt>
                <c:pt idx="1615">
                  <c:v>26</c:v>
                </c:pt>
                <c:pt idx="1616">
                  <c:v>8</c:v>
                </c:pt>
                <c:pt idx="1617">
                  <c:v>73</c:v>
                </c:pt>
                <c:pt idx="1618">
                  <c:v>72</c:v>
                </c:pt>
                <c:pt idx="1619">
                  <c:v>65</c:v>
                </c:pt>
                <c:pt idx="1620">
                  <c:v>46</c:v>
                </c:pt>
                <c:pt idx="1621">
                  <c:v>27</c:v>
                </c:pt>
                <c:pt idx="1622">
                  <c:v>66</c:v>
                </c:pt>
                <c:pt idx="1623">
                  <c:v>17</c:v>
                </c:pt>
                <c:pt idx="1624">
                  <c:v>25</c:v>
                </c:pt>
                <c:pt idx="1625">
                  <c:v>41</c:v>
                </c:pt>
                <c:pt idx="1626">
                  <c:v>49</c:v>
                </c:pt>
                <c:pt idx="1627">
                  <c:v>11</c:v>
                </c:pt>
                <c:pt idx="1628">
                  <c:v>80</c:v>
                </c:pt>
                <c:pt idx="1629">
                  <c:v>79</c:v>
                </c:pt>
                <c:pt idx="1630">
                  <c:v>35</c:v>
                </c:pt>
                <c:pt idx="1631">
                  <c:v>46</c:v>
                </c:pt>
                <c:pt idx="1632">
                  <c:v>1</c:v>
                </c:pt>
                <c:pt idx="1633">
                  <c:v>2</c:v>
                </c:pt>
                <c:pt idx="1634">
                  <c:v>13</c:v>
                </c:pt>
                <c:pt idx="1635">
                  <c:v>60</c:v>
                </c:pt>
                <c:pt idx="1636">
                  <c:v>73</c:v>
                </c:pt>
                <c:pt idx="1637">
                  <c:v>42</c:v>
                </c:pt>
                <c:pt idx="1638">
                  <c:v>47</c:v>
                </c:pt>
                <c:pt idx="1639">
                  <c:v>46</c:v>
                </c:pt>
                <c:pt idx="1640">
                  <c:v>51</c:v>
                </c:pt>
                <c:pt idx="1641">
                  <c:v>24</c:v>
                </c:pt>
                <c:pt idx="1642">
                  <c:v>69</c:v>
                </c:pt>
                <c:pt idx="1643">
                  <c:v>6</c:v>
                </c:pt>
                <c:pt idx="1644">
                  <c:v>74</c:v>
                </c:pt>
                <c:pt idx="1645">
                  <c:v>62</c:v>
                </c:pt>
                <c:pt idx="1646">
                  <c:v>46</c:v>
                </c:pt>
                <c:pt idx="1647">
                  <c:v>80</c:v>
                </c:pt>
                <c:pt idx="1648">
                  <c:v>44</c:v>
                </c:pt>
                <c:pt idx="1649">
                  <c:v>9</c:v>
                </c:pt>
                <c:pt idx="1650">
                  <c:v>76</c:v>
                </c:pt>
                <c:pt idx="1651">
                  <c:v>28</c:v>
                </c:pt>
                <c:pt idx="1652">
                  <c:v>72</c:v>
                </c:pt>
                <c:pt idx="1653">
                  <c:v>60</c:v>
                </c:pt>
                <c:pt idx="1654">
                  <c:v>29</c:v>
                </c:pt>
                <c:pt idx="1655">
                  <c:v>22</c:v>
                </c:pt>
                <c:pt idx="1656">
                  <c:v>43</c:v>
                </c:pt>
                <c:pt idx="1657">
                  <c:v>19</c:v>
                </c:pt>
                <c:pt idx="1658">
                  <c:v>6</c:v>
                </c:pt>
                <c:pt idx="1659">
                  <c:v>29</c:v>
                </c:pt>
                <c:pt idx="1660">
                  <c:v>20</c:v>
                </c:pt>
                <c:pt idx="1661">
                  <c:v>48</c:v>
                </c:pt>
                <c:pt idx="1662">
                  <c:v>9</c:v>
                </c:pt>
                <c:pt idx="1663">
                  <c:v>37</c:v>
                </c:pt>
                <c:pt idx="1664">
                  <c:v>78</c:v>
                </c:pt>
                <c:pt idx="1665">
                  <c:v>57</c:v>
                </c:pt>
                <c:pt idx="1666">
                  <c:v>77</c:v>
                </c:pt>
                <c:pt idx="1667">
                  <c:v>21</c:v>
                </c:pt>
                <c:pt idx="1668">
                  <c:v>9</c:v>
                </c:pt>
                <c:pt idx="1669">
                  <c:v>70</c:v>
                </c:pt>
                <c:pt idx="1670">
                  <c:v>50</c:v>
                </c:pt>
                <c:pt idx="1671">
                  <c:v>0</c:v>
                </c:pt>
                <c:pt idx="1672">
                  <c:v>45</c:v>
                </c:pt>
                <c:pt idx="1673">
                  <c:v>26</c:v>
                </c:pt>
                <c:pt idx="1674">
                  <c:v>41</c:v>
                </c:pt>
                <c:pt idx="1675">
                  <c:v>78</c:v>
                </c:pt>
                <c:pt idx="1676">
                  <c:v>18</c:v>
                </c:pt>
                <c:pt idx="1677">
                  <c:v>46</c:v>
                </c:pt>
                <c:pt idx="1678">
                  <c:v>50</c:v>
                </c:pt>
                <c:pt idx="1679">
                  <c:v>79</c:v>
                </c:pt>
                <c:pt idx="1680">
                  <c:v>10</c:v>
                </c:pt>
                <c:pt idx="1681">
                  <c:v>59</c:v>
                </c:pt>
                <c:pt idx="1682">
                  <c:v>78</c:v>
                </c:pt>
                <c:pt idx="1683">
                  <c:v>35</c:v>
                </c:pt>
                <c:pt idx="1684">
                  <c:v>43</c:v>
                </c:pt>
                <c:pt idx="1685">
                  <c:v>1</c:v>
                </c:pt>
                <c:pt idx="1686">
                  <c:v>62</c:v>
                </c:pt>
                <c:pt idx="1687">
                  <c:v>55</c:v>
                </c:pt>
                <c:pt idx="1688">
                  <c:v>13</c:v>
                </c:pt>
                <c:pt idx="1689">
                  <c:v>69</c:v>
                </c:pt>
                <c:pt idx="1690">
                  <c:v>74</c:v>
                </c:pt>
                <c:pt idx="1691">
                  <c:v>41</c:v>
                </c:pt>
                <c:pt idx="1692">
                  <c:v>65</c:v>
                </c:pt>
                <c:pt idx="1693">
                  <c:v>14</c:v>
                </c:pt>
                <c:pt idx="1694">
                  <c:v>65</c:v>
                </c:pt>
                <c:pt idx="1695">
                  <c:v>68</c:v>
                </c:pt>
                <c:pt idx="1696">
                  <c:v>67</c:v>
                </c:pt>
                <c:pt idx="1697">
                  <c:v>22</c:v>
                </c:pt>
                <c:pt idx="1698">
                  <c:v>20</c:v>
                </c:pt>
                <c:pt idx="1699">
                  <c:v>64</c:v>
                </c:pt>
                <c:pt idx="1700">
                  <c:v>25</c:v>
                </c:pt>
                <c:pt idx="1701">
                  <c:v>37</c:v>
                </c:pt>
                <c:pt idx="1702">
                  <c:v>74</c:v>
                </c:pt>
                <c:pt idx="1703">
                  <c:v>79</c:v>
                </c:pt>
                <c:pt idx="1704">
                  <c:v>56</c:v>
                </c:pt>
                <c:pt idx="1705">
                  <c:v>0</c:v>
                </c:pt>
                <c:pt idx="1706">
                  <c:v>77</c:v>
                </c:pt>
                <c:pt idx="1707">
                  <c:v>43</c:v>
                </c:pt>
                <c:pt idx="1708">
                  <c:v>50</c:v>
                </c:pt>
                <c:pt idx="1709">
                  <c:v>75</c:v>
                </c:pt>
                <c:pt idx="1710">
                  <c:v>15</c:v>
                </c:pt>
                <c:pt idx="1711">
                  <c:v>6</c:v>
                </c:pt>
                <c:pt idx="1712">
                  <c:v>54</c:v>
                </c:pt>
                <c:pt idx="1713">
                  <c:v>43</c:v>
                </c:pt>
                <c:pt idx="1714">
                  <c:v>47</c:v>
                </c:pt>
                <c:pt idx="1715">
                  <c:v>30</c:v>
                </c:pt>
                <c:pt idx="1716">
                  <c:v>25</c:v>
                </c:pt>
                <c:pt idx="1717">
                  <c:v>50</c:v>
                </c:pt>
                <c:pt idx="1718">
                  <c:v>36</c:v>
                </c:pt>
                <c:pt idx="1719">
                  <c:v>15</c:v>
                </c:pt>
                <c:pt idx="1720">
                  <c:v>29</c:v>
                </c:pt>
                <c:pt idx="1721">
                  <c:v>17</c:v>
                </c:pt>
                <c:pt idx="1722">
                  <c:v>69</c:v>
                </c:pt>
                <c:pt idx="1723">
                  <c:v>76</c:v>
                </c:pt>
                <c:pt idx="1724">
                  <c:v>22</c:v>
                </c:pt>
                <c:pt idx="1725">
                  <c:v>79</c:v>
                </c:pt>
                <c:pt idx="1726">
                  <c:v>54</c:v>
                </c:pt>
                <c:pt idx="1727">
                  <c:v>14</c:v>
                </c:pt>
                <c:pt idx="1728">
                  <c:v>55</c:v>
                </c:pt>
                <c:pt idx="1729">
                  <c:v>65</c:v>
                </c:pt>
                <c:pt idx="1730">
                  <c:v>56</c:v>
                </c:pt>
                <c:pt idx="1731">
                  <c:v>20</c:v>
                </c:pt>
                <c:pt idx="1732">
                  <c:v>37</c:v>
                </c:pt>
                <c:pt idx="1733">
                  <c:v>17</c:v>
                </c:pt>
                <c:pt idx="1734">
                  <c:v>50</c:v>
                </c:pt>
                <c:pt idx="1735">
                  <c:v>22</c:v>
                </c:pt>
                <c:pt idx="1736">
                  <c:v>43</c:v>
                </c:pt>
                <c:pt idx="1737">
                  <c:v>26</c:v>
                </c:pt>
                <c:pt idx="1738">
                  <c:v>57</c:v>
                </c:pt>
                <c:pt idx="1739">
                  <c:v>12</c:v>
                </c:pt>
                <c:pt idx="1740">
                  <c:v>26</c:v>
                </c:pt>
                <c:pt idx="1741">
                  <c:v>19</c:v>
                </c:pt>
                <c:pt idx="1742">
                  <c:v>42</c:v>
                </c:pt>
                <c:pt idx="1743">
                  <c:v>50</c:v>
                </c:pt>
                <c:pt idx="1744">
                  <c:v>71</c:v>
                </c:pt>
                <c:pt idx="1745">
                  <c:v>32</c:v>
                </c:pt>
                <c:pt idx="1746">
                  <c:v>65</c:v>
                </c:pt>
                <c:pt idx="1747">
                  <c:v>16</c:v>
                </c:pt>
                <c:pt idx="1748">
                  <c:v>4</c:v>
                </c:pt>
                <c:pt idx="1749">
                  <c:v>69</c:v>
                </c:pt>
                <c:pt idx="1750">
                  <c:v>46</c:v>
                </c:pt>
                <c:pt idx="1751">
                  <c:v>10</c:v>
                </c:pt>
                <c:pt idx="1752">
                  <c:v>79</c:v>
                </c:pt>
                <c:pt idx="1753">
                  <c:v>78</c:v>
                </c:pt>
                <c:pt idx="1754">
                  <c:v>63</c:v>
                </c:pt>
                <c:pt idx="1755">
                  <c:v>56</c:v>
                </c:pt>
                <c:pt idx="1756">
                  <c:v>19</c:v>
                </c:pt>
                <c:pt idx="1757">
                  <c:v>77</c:v>
                </c:pt>
                <c:pt idx="1758">
                  <c:v>25</c:v>
                </c:pt>
                <c:pt idx="1759">
                  <c:v>11</c:v>
                </c:pt>
                <c:pt idx="1760">
                  <c:v>6</c:v>
                </c:pt>
                <c:pt idx="1761">
                  <c:v>40</c:v>
                </c:pt>
                <c:pt idx="1762">
                  <c:v>37</c:v>
                </c:pt>
                <c:pt idx="1763">
                  <c:v>69</c:v>
                </c:pt>
                <c:pt idx="1764">
                  <c:v>50</c:v>
                </c:pt>
                <c:pt idx="1765">
                  <c:v>29</c:v>
                </c:pt>
                <c:pt idx="1766">
                  <c:v>19</c:v>
                </c:pt>
                <c:pt idx="1767">
                  <c:v>30</c:v>
                </c:pt>
                <c:pt idx="1768">
                  <c:v>73</c:v>
                </c:pt>
                <c:pt idx="1769">
                  <c:v>8</c:v>
                </c:pt>
                <c:pt idx="1770">
                  <c:v>63</c:v>
                </c:pt>
                <c:pt idx="1771">
                  <c:v>59</c:v>
                </c:pt>
                <c:pt idx="1772">
                  <c:v>13</c:v>
                </c:pt>
                <c:pt idx="1773">
                  <c:v>57</c:v>
                </c:pt>
                <c:pt idx="1774">
                  <c:v>32</c:v>
                </c:pt>
                <c:pt idx="1775">
                  <c:v>27</c:v>
                </c:pt>
                <c:pt idx="1776">
                  <c:v>76</c:v>
                </c:pt>
                <c:pt idx="1777">
                  <c:v>73</c:v>
                </c:pt>
                <c:pt idx="1778">
                  <c:v>20</c:v>
                </c:pt>
                <c:pt idx="1779">
                  <c:v>48</c:v>
                </c:pt>
                <c:pt idx="1780">
                  <c:v>13</c:v>
                </c:pt>
                <c:pt idx="1781">
                  <c:v>24</c:v>
                </c:pt>
                <c:pt idx="1782">
                  <c:v>20</c:v>
                </c:pt>
                <c:pt idx="1783">
                  <c:v>6</c:v>
                </c:pt>
                <c:pt idx="1784">
                  <c:v>9</c:v>
                </c:pt>
                <c:pt idx="1785">
                  <c:v>44</c:v>
                </c:pt>
                <c:pt idx="1786">
                  <c:v>68</c:v>
                </c:pt>
                <c:pt idx="1787">
                  <c:v>65</c:v>
                </c:pt>
                <c:pt idx="1788">
                  <c:v>34</c:v>
                </c:pt>
                <c:pt idx="1789">
                  <c:v>79</c:v>
                </c:pt>
                <c:pt idx="1790">
                  <c:v>26</c:v>
                </c:pt>
                <c:pt idx="1791">
                  <c:v>19</c:v>
                </c:pt>
                <c:pt idx="1792">
                  <c:v>40</c:v>
                </c:pt>
                <c:pt idx="1793">
                  <c:v>55</c:v>
                </c:pt>
                <c:pt idx="1794">
                  <c:v>46</c:v>
                </c:pt>
                <c:pt idx="1795">
                  <c:v>20</c:v>
                </c:pt>
                <c:pt idx="1796">
                  <c:v>48</c:v>
                </c:pt>
                <c:pt idx="1797">
                  <c:v>9</c:v>
                </c:pt>
                <c:pt idx="1798">
                  <c:v>18</c:v>
                </c:pt>
                <c:pt idx="1799">
                  <c:v>9</c:v>
                </c:pt>
                <c:pt idx="1800">
                  <c:v>3</c:v>
                </c:pt>
                <c:pt idx="1801">
                  <c:v>41</c:v>
                </c:pt>
                <c:pt idx="1802">
                  <c:v>40</c:v>
                </c:pt>
                <c:pt idx="1803">
                  <c:v>10</c:v>
                </c:pt>
                <c:pt idx="1804">
                  <c:v>2</c:v>
                </c:pt>
                <c:pt idx="1805">
                  <c:v>28</c:v>
                </c:pt>
                <c:pt idx="1806">
                  <c:v>18</c:v>
                </c:pt>
                <c:pt idx="1807">
                  <c:v>79</c:v>
                </c:pt>
                <c:pt idx="1808">
                  <c:v>63</c:v>
                </c:pt>
                <c:pt idx="1809">
                  <c:v>17</c:v>
                </c:pt>
                <c:pt idx="1810">
                  <c:v>12</c:v>
                </c:pt>
                <c:pt idx="1811">
                  <c:v>80</c:v>
                </c:pt>
                <c:pt idx="1812">
                  <c:v>29</c:v>
                </c:pt>
                <c:pt idx="1813">
                  <c:v>11</c:v>
                </c:pt>
                <c:pt idx="1814">
                  <c:v>18</c:v>
                </c:pt>
                <c:pt idx="1815">
                  <c:v>60</c:v>
                </c:pt>
                <c:pt idx="1816">
                  <c:v>51</c:v>
                </c:pt>
                <c:pt idx="1817">
                  <c:v>7</c:v>
                </c:pt>
                <c:pt idx="1818">
                  <c:v>8</c:v>
                </c:pt>
                <c:pt idx="1819">
                  <c:v>61</c:v>
                </c:pt>
                <c:pt idx="1820">
                  <c:v>68</c:v>
                </c:pt>
                <c:pt idx="1821">
                  <c:v>63</c:v>
                </c:pt>
                <c:pt idx="1822">
                  <c:v>62</c:v>
                </c:pt>
                <c:pt idx="1823">
                  <c:v>33</c:v>
                </c:pt>
                <c:pt idx="1824">
                  <c:v>77</c:v>
                </c:pt>
                <c:pt idx="1825">
                  <c:v>37</c:v>
                </c:pt>
                <c:pt idx="1826">
                  <c:v>31</c:v>
                </c:pt>
                <c:pt idx="1827">
                  <c:v>71</c:v>
                </c:pt>
                <c:pt idx="1828">
                  <c:v>9</c:v>
                </c:pt>
                <c:pt idx="1829">
                  <c:v>64</c:v>
                </c:pt>
                <c:pt idx="1830">
                  <c:v>13</c:v>
                </c:pt>
                <c:pt idx="1831">
                  <c:v>56</c:v>
                </c:pt>
                <c:pt idx="1832">
                  <c:v>38</c:v>
                </c:pt>
                <c:pt idx="1833">
                  <c:v>53</c:v>
                </c:pt>
                <c:pt idx="1834">
                  <c:v>49</c:v>
                </c:pt>
                <c:pt idx="1835">
                  <c:v>15</c:v>
                </c:pt>
                <c:pt idx="1836">
                  <c:v>67</c:v>
                </c:pt>
                <c:pt idx="1837">
                  <c:v>16</c:v>
                </c:pt>
                <c:pt idx="1838">
                  <c:v>41</c:v>
                </c:pt>
                <c:pt idx="1839">
                  <c:v>18</c:v>
                </c:pt>
                <c:pt idx="1840">
                  <c:v>78</c:v>
                </c:pt>
                <c:pt idx="1841">
                  <c:v>68</c:v>
                </c:pt>
                <c:pt idx="1842">
                  <c:v>40</c:v>
                </c:pt>
                <c:pt idx="1843">
                  <c:v>16</c:v>
                </c:pt>
                <c:pt idx="1844">
                  <c:v>73</c:v>
                </c:pt>
                <c:pt idx="1845">
                  <c:v>55</c:v>
                </c:pt>
                <c:pt idx="1846">
                  <c:v>8</c:v>
                </c:pt>
                <c:pt idx="1847">
                  <c:v>77</c:v>
                </c:pt>
                <c:pt idx="1848">
                  <c:v>7</c:v>
                </c:pt>
                <c:pt idx="1849">
                  <c:v>54</c:v>
                </c:pt>
                <c:pt idx="1850">
                  <c:v>4</c:v>
                </c:pt>
                <c:pt idx="1851">
                  <c:v>53</c:v>
                </c:pt>
                <c:pt idx="1852">
                  <c:v>58</c:v>
                </c:pt>
                <c:pt idx="1853">
                  <c:v>40</c:v>
                </c:pt>
                <c:pt idx="1854">
                  <c:v>28</c:v>
                </c:pt>
                <c:pt idx="1855">
                  <c:v>37</c:v>
                </c:pt>
                <c:pt idx="1856">
                  <c:v>17</c:v>
                </c:pt>
                <c:pt idx="1857">
                  <c:v>57</c:v>
                </c:pt>
                <c:pt idx="1858">
                  <c:v>78</c:v>
                </c:pt>
                <c:pt idx="1859">
                  <c:v>50</c:v>
                </c:pt>
                <c:pt idx="1860">
                  <c:v>15</c:v>
                </c:pt>
                <c:pt idx="1861">
                  <c:v>0</c:v>
                </c:pt>
                <c:pt idx="1862">
                  <c:v>22</c:v>
                </c:pt>
                <c:pt idx="1863">
                  <c:v>42</c:v>
                </c:pt>
                <c:pt idx="1864">
                  <c:v>2</c:v>
                </c:pt>
                <c:pt idx="1865">
                  <c:v>61</c:v>
                </c:pt>
                <c:pt idx="1866">
                  <c:v>5</c:v>
                </c:pt>
                <c:pt idx="1867">
                  <c:v>58</c:v>
                </c:pt>
                <c:pt idx="1868">
                  <c:v>15</c:v>
                </c:pt>
                <c:pt idx="1869">
                  <c:v>60</c:v>
                </c:pt>
                <c:pt idx="1870">
                  <c:v>17</c:v>
                </c:pt>
                <c:pt idx="1871">
                  <c:v>69</c:v>
                </c:pt>
                <c:pt idx="1872">
                  <c:v>70</c:v>
                </c:pt>
                <c:pt idx="1873">
                  <c:v>11</c:v>
                </c:pt>
                <c:pt idx="1874">
                  <c:v>53</c:v>
                </c:pt>
                <c:pt idx="1875">
                  <c:v>8</c:v>
                </c:pt>
                <c:pt idx="1876">
                  <c:v>52</c:v>
                </c:pt>
                <c:pt idx="1877">
                  <c:v>24</c:v>
                </c:pt>
                <c:pt idx="1878">
                  <c:v>43</c:v>
                </c:pt>
                <c:pt idx="1879">
                  <c:v>27</c:v>
                </c:pt>
                <c:pt idx="1880">
                  <c:v>72</c:v>
                </c:pt>
                <c:pt idx="1881">
                  <c:v>17</c:v>
                </c:pt>
                <c:pt idx="1882">
                  <c:v>12</c:v>
                </c:pt>
                <c:pt idx="1883">
                  <c:v>7</c:v>
                </c:pt>
                <c:pt idx="1884">
                  <c:v>38</c:v>
                </c:pt>
                <c:pt idx="1885">
                  <c:v>73</c:v>
                </c:pt>
                <c:pt idx="1886">
                  <c:v>6</c:v>
                </c:pt>
                <c:pt idx="1887">
                  <c:v>46</c:v>
                </c:pt>
                <c:pt idx="1888">
                  <c:v>57</c:v>
                </c:pt>
                <c:pt idx="1889">
                  <c:v>75</c:v>
                </c:pt>
                <c:pt idx="1890">
                  <c:v>64</c:v>
                </c:pt>
                <c:pt idx="1891">
                  <c:v>62</c:v>
                </c:pt>
                <c:pt idx="1892">
                  <c:v>2</c:v>
                </c:pt>
                <c:pt idx="1893">
                  <c:v>7</c:v>
                </c:pt>
                <c:pt idx="1894">
                  <c:v>62</c:v>
                </c:pt>
                <c:pt idx="1895">
                  <c:v>1</c:v>
                </c:pt>
                <c:pt idx="1896">
                  <c:v>67</c:v>
                </c:pt>
                <c:pt idx="1897">
                  <c:v>65</c:v>
                </c:pt>
                <c:pt idx="1898">
                  <c:v>54</c:v>
                </c:pt>
                <c:pt idx="1899">
                  <c:v>66</c:v>
                </c:pt>
                <c:pt idx="1900">
                  <c:v>9</c:v>
                </c:pt>
                <c:pt idx="1901">
                  <c:v>66</c:v>
                </c:pt>
                <c:pt idx="1902">
                  <c:v>54</c:v>
                </c:pt>
                <c:pt idx="1903">
                  <c:v>15</c:v>
                </c:pt>
                <c:pt idx="1904">
                  <c:v>80</c:v>
                </c:pt>
                <c:pt idx="1905">
                  <c:v>75</c:v>
                </c:pt>
                <c:pt idx="1906">
                  <c:v>70</c:v>
                </c:pt>
                <c:pt idx="1907">
                  <c:v>46</c:v>
                </c:pt>
                <c:pt idx="1908">
                  <c:v>30</c:v>
                </c:pt>
                <c:pt idx="1909">
                  <c:v>76</c:v>
                </c:pt>
                <c:pt idx="1910">
                  <c:v>66</c:v>
                </c:pt>
                <c:pt idx="1911">
                  <c:v>14</c:v>
                </c:pt>
                <c:pt idx="1912">
                  <c:v>19</c:v>
                </c:pt>
                <c:pt idx="1913">
                  <c:v>24</c:v>
                </c:pt>
                <c:pt idx="1914">
                  <c:v>1</c:v>
                </c:pt>
                <c:pt idx="1915">
                  <c:v>71</c:v>
                </c:pt>
                <c:pt idx="1916">
                  <c:v>6</c:v>
                </c:pt>
                <c:pt idx="1917">
                  <c:v>4</c:v>
                </c:pt>
                <c:pt idx="1918">
                  <c:v>68</c:v>
                </c:pt>
                <c:pt idx="1919">
                  <c:v>60</c:v>
                </c:pt>
                <c:pt idx="1920">
                  <c:v>16</c:v>
                </c:pt>
                <c:pt idx="1921">
                  <c:v>9</c:v>
                </c:pt>
                <c:pt idx="1922">
                  <c:v>58</c:v>
                </c:pt>
                <c:pt idx="1923">
                  <c:v>17</c:v>
                </c:pt>
                <c:pt idx="1924">
                  <c:v>28</c:v>
                </c:pt>
                <c:pt idx="1925">
                  <c:v>62</c:v>
                </c:pt>
                <c:pt idx="1926">
                  <c:v>14</c:v>
                </c:pt>
                <c:pt idx="1927">
                  <c:v>29</c:v>
                </c:pt>
                <c:pt idx="1928">
                  <c:v>48</c:v>
                </c:pt>
                <c:pt idx="1929">
                  <c:v>20</c:v>
                </c:pt>
                <c:pt idx="1930">
                  <c:v>43</c:v>
                </c:pt>
                <c:pt idx="1931">
                  <c:v>43</c:v>
                </c:pt>
                <c:pt idx="1932">
                  <c:v>62</c:v>
                </c:pt>
                <c:pt idx="1933">
                  <c:v>29</c:v>
                </c:pt>
                <c:pt idx="1934">
                  <c:v>69</c:v>
                </c:pt>
                <c:pt idx="1935">
                  <c:v>2</c:v>
                </c:pt>
                <c:pt idx="1936">
                  <c:v>31</c:v>
                </c:pt>
                <c:pt idx="1937">
                  <c:v>48</c:v>
                </c:pt>
                <c:pt idx="1938">
                  <c:v>71</c:v>
                </c:pt>
                <c:pt idx="1939">
                  <c:v>61</c:v>
                </c:pt>
                <c:pt idx="1940">
                  <c:v>38</c:v>
                </c:pt>
                <c:pt idx="1941">
                  <c:v>56</c:v>
                </c:pt>
                <c:pt idx="1942">
                  <c:v>25</c:v>
                </c:pt>
                <c:pt idx="1943">
                  <c:v>7</c:v>
                </c:pt>
                <c:pt idx="1944">
                  <c:v>64</c:v>
                </c:pt>
                <c:pt idx="1945">
                  <c:v>48</c:v>
                </c:pt>
                <c:pt idx="1946">
                  <c:v>50</c:v>
                </c:pt>
                <c:pt idx="1947">
                  <c:v>13</c:v>
                </c:pt>
                <c:pt idx="1948">
                  <c:v>14</c:v>
                </c:pt>
                <c:pt idx="1949">
                  <c:v>6</c:v>
                </c:pt>
                <c:pt idx="1950">
                  <c:v>70</c:v>
                </c:pt>
                <c:pt idx="1951">
                  <c:v>17</c:v>
                </c:pt>
                <c:pt idx="1952">
                  <c:v>67</c:v>
                </c:pt>
                <c:pt idx="1953">
                  <c:v>37</c:v>
                </c:pt>
                <c:pt idx="1954">
                  <c:v>0</c:v>
                </c:pt>
                <c:pt idx="1955">
                  <c:v>13</c:v>
                </c:pt>
                <c:pt idx="1956">
                  <c:v>12</c:v>
                </c:pt>
                <c:pt idx="1957">
                  <c:v>48</c:v>
                </c:pt>
                <c:pt idx="1958">
                  <c:v>35</c:v>
                </c:pt>
                <c:pt idx="1959">
                  <c:v>59</c:v>
                </c:pt>
                <c:pt idx="1960">
                  <c:v>32</c:v>
                </c:pt>
                <c:pt idx="1961">
                  <c:v>22</c:v>
                </c:pt>
                <c:pt idx="1962">
                  <c:v>54</c:v>
                </c:pt>
                <c:pt idx="1963">
                  <c:v>59</c:v>
                </c:pt>
                <c:pt idx="1964">
                  <c:v>9</c:v>
                </c:pt>
                <c:pt idx="1965">
                  <c:v>53</c:v>
                </c:pt>
                <c:pt idx="1966">
                  <c:v>19</c:v>
                </c:pt>
                <c:pt idx="1967">
                  <c:v>44</c:v>
                </c:pt>
                <c:pt idx="1968">
                  <c:v>60</c:v>
                </c:pt>
                <c:pt idx="1969">
                  <c:v>35</c:v>
                </c:pt>
                <c:pt idx="1970">
                  <c:v>58</c:v>
                </c:pt>
                <c:pt idx="1971">
                  <c:v>46</c:v>
                </c:pt>
                <c:pt idx="1972">
                  <c:v>64</c:v>
                </c:pt>
                <c:pt idx="1973">
                  <c:v>74</c:v>
                </c:pt>
                <c:pt idx="1974">
                  <c:v>35</c:v>
                </c:pt>
                <c:pt idx="1975">
                  <c:v>67</c:v>
                </c:pt>
                <c:pt idx="1976">
                  <c:v>71</c:v>
                </c:pt>
                <c:pt idx="1977">
                  <c:v>42</c:v>
                </c:pt>
                <c:pt idx="1978">
                  <c:v>61</c:v>
                </c:pt>
                <c:pt idx="1979">
                  <c:v>27</c:v>
                </c:pt>
                <c:pt idx="1980">
                  <c:v>80</c:v>
                </c:pt>
                <c:pt idx="1981">
                  <c:v>21</c:v>
                </c:pt>
                <c:pt idx="1982">
                  <c:v>47</c:v>
                </c:pt>
                <c:pt idx="1983">
                  <c:v>51</c:v>
                </c:pt>
                <c:pt idx="1984">
                  <c:v>30</c:v>
                </c:pt>
                <c:pt idx="1985">
                  <c:v>36</c:v>
                </c:pt>
                <c:pt idx="1986">
                  <c:v>33</c:v>
                </c:pt>
                <c:pt idx="1987">
                  <c:v>14</c:v>
                </c:pt>
                <c:pt idx="1988">
                  <c:v>61</c:v>
                </c:pt>
                <c:pt idx="1989">
                  <c:v>37</c:v>
                </c:pt>
                <c:pt idx="1990">
                  <c:v>20</c:v>
                </c:pt>
                <c:pt idx="1991">
                  <c:v>32</c:v>
                </c:pt>
                <c:pt idx="1992">
                  <c:v>70</c:v>
                </c:pt>
                <c:pt idx="1993">
                  <c:v>50</c:v>
                </c:pt>
                <c:pt idx="1994">
                  <c:v>5</c:v>
                </c:pt>
                <c:pt idx="1995">
                  <c:v>42</c:v>
                </c:pt>
                <c:pt idx="1996">
                  <c:v>53</c:v>
                </c:pt>
                <c:pt idx="1997">
                  <c:v>47</c:v>
                </c:pt>
                <c:pt idx="1998">
                  <c:v>39</c:v>
                </c:pt>
                <c:pt idx="1999">
                  <c:v>10</c:v>
                </c:pt>
              </c:numCache>
            </c:numRef>
          </c:xVal>
          <c:yVal>
            <c:numRef>
              <c:f>CustomerSubscriptions!$I$2:$I$2001</c:f>
              <c:numCache>
                <c:formatCode>General</c:formatCode>
                <c:ptCount val="2000"/>
                <c:pt idx="0">
                  <c:v>8</c:v>
                </c:pt>
                <c:pt idx="1">
                  <c:v>2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6</c:v>
                </c:pt>
                <c:pt idx="10">
                  <c:v>8</c:v>
                </c:pt>
                <c:pt idx="11">
                  <c:v>5</c:v>
                </c:pt>
                <c:pt idx="12">
                  <c:v>1</c:v>
                </c:pt>
                <c:pt idx="13">
                  <c:v>10</c:v>
                </c:pt>
                <c:pt idx="14">
                  <c:v>6</c:v>
                </c:pt>
                <c:pt idx="15">
                  <c:v>7</c:v>
                </c:pt>
                <c:pt idx="16">
                  <c:v>3</c:v>
                </c:pt>
                <c:pt idx="17">
                  <c:v>10</c:v>
                </c:pt>
                <c:pt idx="18">
                  <c:v>3</c:v>
                </c:pt>
                <c:pt idx="19">
                  <c:v>10</c:v>
                </c:pt>
                <c:pt idx="20">
                  <c:v>10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  <c:pt idx="26">
                  <c:v>8</c:v>
                </c:pt>
                <c:pt idx="27">
                  <c:v>7</c:v>
                </c:pt>
                <c:pt idx="28">
                  <c:v>1</c:v>
                </c:pt>
                <c:pt idx="29">
                  <c:v>7</c:v>
                </c:pt>
                <c:pt idx="30">
                  <c:v>5</c:v>
                </c:pt>
                <c:pt idx="31">
                  <c:v>7</c:v>
                </c:pt>
                <c:pt idx="32">
                  <c:v>4</c:v>
                </c:pt>
                <c:pt idx="33">
                  <c:v>8</c:v>
                </c:pt>
                <c:pt idx="34">
                  <c:v>5</c:v>
                </c:pt>
                <c:pt idx="35">
                  <c:v>3</c:v>
                </c:pt>
                <c:pt idx="36">
                  <c:v>4</c:v>
                </c:pt>
                <c:pt idx="37">
                  <c:v>6</c:v>
                </c:pt>
                <c:pt idx="38">
                  <c:v>3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10</c:v>
                </c:pt>
                <c:pt idx="43">
                  <c:v>1</c:v>
                </c:pt>
                <c:pt idx="44">
                  <c:v>6</c:v>
                </c:pt>
                <c:pt idx="45">
                  <c:v>3</c:v>
                </c:pt>
                <c:pt idx="46">
                  <c:v>2</c:v>
                </c:pt>
                <c:pt idx="47">
                  <c:v>5</c:v>
                </c:pt>
                <c:pt idx="48">
                  <c:v>3</c:v>
                </c:pt>
                <c:pt idx="49">
                  <c:v>5</c:v>
                </c:pt>
                <c:pt idx="50">
                  <c:v>4</c:v>
                </c:pt>
                <c:pt idx="51">
                  <c:v>8</c:v>
                </c:pt>
                <c:pt idx="52">
                  <c:v>6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  <c:pt idx="57">
                  <c:v>10</c:v>
                </c:pt>
                <c:pt idx="58">
                  <c:v>2</c:v>
                </c:pt>
                <c:pt idx="59">
                  <c:v>3</c:v>
                </c:pt>
                <c:pt idx="60">
                  <c:v>6</c:v>
                </c:pt>
                <c:pt idx="61">
                  <c:v>10</c:v>
                </c:pt>
                <c:pt idx="62">
                  <c:v>2</c:v>
                </c:pt>
                <c:pt idx="63">
                  <c:v>7</c:v>
                </c:pt>
                <c:pt idx="64">
                  <c:v>6</c:v>
                </c:pt>
                <c:pt idx="65">
                  <c:v>10</c:v>
                </c:pt>
                <c:pt idx="66">
                  <c:v>4</c:v>
                </c:pt>
                <c:pt idx="67">
                  <c:v>9</c:v>
                </c:pt>
                <c:pt idx="68">
                  <c:v>8</c:v>
                </c:pt>
                <c:pt idx="69">
                  <c:v>9</c:v>
                </c:pt>
                <c:pt idx="70">
                  <c:v>6</c:v>
                </c:pt>
                <c:pt idx="71">
                  <c:v>9</c:v>
                </c:pt>
                <c:pt idx="72">
                  <c:v>6</c:v>
                </c:pt>
                <c:pt idx="73">
                  <c:v>9</c:v>
                </c:pt>
                <c:pt idx="74">
                  <c:v>6</c:v>
                </c:pt>
                <c:pt idx="75">
                  <c:v>8</c:v>
                </c:pt>
                <c:pt idx="76">
                  <c:v>6</c:v>
                </c:pt>
                <c:pt idx="77">
                  <c:v>8</c:v>
                </c:pt>
                <c:pt idx="78">
                  <c:v>6</c:v>
                </c:pt>
                <c:pt idx="79">
                  <c:v>5</c:v>
                </c:pt>
                <c:pt idx="80">
                  <c:v>6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8</c:v>
                </c:pt>
                <c:pt idx="85">
                  <c:v>4</c:v>
                </c:pt>
                <c:pt idx="86">
                  <c:v>4</c:v>
                </c:pt>
                <c:pt idx="87">
                  <c:v>8</c:v>
                </c:pt>
                <c:pt idx="88">
                  <c:v>7</c:v>
                </c:pt>
                <c:pt idx="89">
                  <c:v>3</c:v>
                </c:pt>
                <c:pt idx="90">
                  <c:v>8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1</c:v>
                </c:pt>
                <c:pt idx="95">
                  <c:v>6</c:v>
                </c:pt>
                <c:pt idx="96">
                  <c:v>4</c:v>
                </c:pt>
                <c:pt idx="97">
                  <c:v>5</c:v>
                </c:pt>
                <c:pt idx="98">
                  <c:v>9</c:v>
                </c:pt>
                <c:pt idx="99">
                  <c:v>1</c:v>
                </c:pt>
                <c:pt idx="100">
                  <c:v>9</c:v>
                </c:pt>
                <c:pt idx="101">
                  <c:v>8</c:v>
                </c:pt>
                <c:pt idx="102">
                  <c:v>6</c:v>
                </c:pt>
                <c:pt idx="103">
                  <c:v>3</c:v>
                </c:pt>
                <c:pt idx="104">
                  <c:v>2</c:v>
                </c:pt>
                <c:pt idx="105">
                  <c:v>9</c:v>
                </c:pt>
                <c:pt idx="106">
                  <c:v>10</c:v>
                </c:pt>
                <c:pt idx="107">
                  <c:v>5</c:v>
                </c:pt>
                <c:pt idx="108">
                  <c:v>8</c:v>
                </c:pt>
                <c:pt idx="109">
                  <c:v>2</c:v>
                </c:pt>
                <c:pt idx="110">
                  <c:v>6</c:v>
                </c:pt>
                <c:pt idx="111">
                  <c:v>4</c:v>
                </c:pt>
                <c:pt idx="112">
                  <c:v>5</c:v>
                </c:pt>
                <c:pt idx="113">
                  <c:v>9</c:v>
                </c:pt>
                <c:pt idx="114">
                  <c:v>9</c:v>
                </c:pt>
                <c:pt idx="115">
                  <c:v>3</c:v>
                </c:pt>
                <c:pt idx="116">
                  <c:v>1</c:v>
                </c:pt>
                <c:pt idx="117">
                  <c:v>10</c:v>
                </c:pt>
                <c:pt idx="118">
                  <c:v>8</c:v>
                </c:pt>
                <c:pt idx="119">
                  <c:v>2</c:v>
                </c:pt>
                <c:pt idx="120">
                  <c:v>2</c:v>
                </c:pt>
                <c:pt idx="121">
                  <c:v>5</c:v>
                </c:pt>
                <c:pt idx="122">
                  <c:v>9</c:v>
                </c:pt>
                <c:pt idx="123">
                  <c:v>9</c:v>
                </c:pt>
                <c:pt idx="124">
                  <c:v>1</c:v>
                </c:pt>
                <c:pt idx="125">
                  <c:v>6</c:v>
                </c:pt>
                <c:pt idx="126">
                  <c:v>7</c:v>
                </c:pt>
                <c:pt idx="127">
                  <c:v>6</c:v>
                </c:pt>
                <c:pt idx="128">
                  <c:v>2</c:v>
                </c:pt>
                <c:pt idx="129">
                  <c:v>7</c:v>
                </c:pt>
                <c:pt idx="130">
                  <c:v>3</c:v>
                </c:pt>
                <c:pt idx="131">
                  <c:v>2</c:v>
                </c:pt>
                <c:pt idx="132">
                  <c:v>5</c:v>
                </c:pt>
                <c:pt idx="133">
                  <c:v>7</c:v>
                </c:pt>
                <c:pt idx="134">
                  <c:v>8</c:v>
                </c:pt>
                <c:pt idx="135">
                  <c:v>9</c:v>
                </c:pt>
                <c:pt idx="136">
                  <c:v>5</c:v>
                </c:pt>
                <c:pt idx="137">
                  <c:v>5</c:v>
                </c:pt>
                <c:pt idx="138">
                  <c:v>3</c:v>
                </c:pt>
                <c:pt idx="139">
                  <c:v>8</c:v>
                </c:pt>
                <c:pt idx="140">
                  <c:v>8</c:v>
                </c:pt>
                <c:pt idx="141">
                  <c:v>6</c:v>
                </c:pt>
                <c:pt idx="142">
                  <c:v>3</c:v>
                </c:pt>
                <c:pt idx="143">
                  <c:v>6</c:v>
                </c:pt>
                <c:pt idx="144">
                  <c:v>2</c:v>
                </c:pt>
                <c:pt idx="145">
                  <c:v>7</c:v>
                </c:pt>
                <c:pt idx="146">
                  <c:v>8</c:v>
                </c:pt>
                <c:pt idx="147">
                  <c:v>8</c:v>
                </c:pt>
                <c:pt idx="148">
                  <c:v>7</c:v>
                </c:pt>
                <c:pt idx="149">
                  <c:v>6</c:v>
                </c:pt>
                <c:pt idx="150">
                  <c:v>4</c:v>
                </c:pt>
                <c:pt idx="151">
                  <c:v>9</c:v>
                </c:pt>
                <c:pt idx="152">
                  <c:v>9</c:v>
                </c:pt>
                <c:pt idx="153">
                  <c:v>10</c:v>
                </c:pt>
                <c:pt idx="154">
                  <c:v>4</c:v>
                </c:pt>
                <c:pt idx="155">
                  <c:v>5</c:v>
                </c:pt>
                <c:pt idx="156">
                  <c:v>10</c:v>
                </c:pt>
                <c:pt idx="157">
                  <c:v>7</c:v>
                </c:pt>
                <c:pt idx="158">
                  <c:v>5</c:v>
                </c:pt>
                <c:pt idx="159">
                  <c:v>3</c:v>
                </c:pt>
                <c:pt idx="160">
                  <c:v>4</c:v>
                </c:pt>
                <c:pt idx="161">
                  <c:v>7</c:v>
                </c:pt>
                <c:pt idx="162">
                  <c:v>6</c:v>
                </c:pt>
                <c:pt idx="163">
                  <c:v>4</c:v>
                </c:pt>
                <c:pt idx="164">
                  <c:v>5</c:v>
                </c:pt>
                <c:pt idx="165">
                  <c:v>10</c:v>
                </c:pt>
                <c:pt idx="166">
                  <c:v>7</c:v>
                </c:pt>
                <c:pt idx="167">
                  <c:v>10</c:v>
                </c:pt>
                <c:pt idx="168">
                  <c:v>4</c:v>
                </c:pt>
                <c:pt idx="169">
                  <c:v>4</c:v>
                </c:pt>
                <c:pt idx="170">
                  <c:v>1</c:v>
                </c:pt>
                <c:pt idx="171">
                  <c:v>4</c:v>
                </c:pt>
                <c:pt idx="172">
                  <c:v>5</c:v>
                </c:pt>
                <c:pt idx="173">
                  <c:v>10</c:v>
                </c:pt>
                <c:pt idx="174">
                  <c:v>10</c:v>
                </c:pt>
                <c:pt idx="175">
                  <c:v>6</c:v>
                </c:pt>
                <c:pt idx="176">
                  <c:v>8</c:v>
                </c:pt>
                <c:pt idx="177">
                  <c:v>2</c:v>
                </c:pt>
                <c:pt idx="178">
                  <c:v>4</c:v>
                </c:pt>
                <c:pt idx="179">
                  <c:v>1</c:v>
                </c:pt>
                <c:pt idx="180">
                  <c:v>6</c:v>
                </c:pt>
                <c:pt idx="181">
                  <c:v>8</c:v>
                </c:pt>
                <c:pt idx="182">
                  <c:v>2</c:v>
                </c:pt>
                <c:pt idx="183">
                  <c:v>10</c:v>
                </c:pt>
                <c:pt idx="184">
                  <c:v>1</c:v>
                </c:pt>
                <c:pt idx="185">
                  <c:v>8</c:v>
                </c:pt>
                <c:pt idx="186">
                  <c:v>8</c:v>
                </c:pt>
                <c:pt idx="187">
                  <c:v>5</c:v>
                </c:pt>
                <c:pt idx="188">
                  <c:v>6</c:v>
                </c:pt>
                <c:pt idx="189">
                  <c:v>7</c:v>
                </c:pt>
                <c:pt idx="190">
                  <c:v>1</c:v>
                </c:pt>
                <c:pt idx="191">
                  <c:v>3</c:v>
                </c:pt>
                <c:pt idx="192">
                  <c:v>7</c:v>
                </c:pt>
                <c:pt idx="193">
                  <c:v>4</c:v>
                </c:pt>
                <c:pt idx="194">
                  <c:v>6</c:v>
                </c:pt>
                <c:pt idx="195">
                  <c:v>10</c:v>
                </c:pt>
                <c:pt idx="196">
                  <c:v>9</c:v>
                </c:pt>
                <c:pt idx="197">
                  <c:v>7</c:v>
                </c:pt>
                <c:pt idx="198">
                  <c:v>6</c:v>
                </c:pt>
                <c:pt idx="199">
                  <c:v>9</c:v>
                </c:pt>
                <c:pt idx="200">
                  <c:v>3</c:v>
                </c:pt>
                <c:pt idx="201">
                  <c:v>1</c:v>
                </c:pt>
                <c:pt idx="202">
                  <c:v>8</c:v>
                </c:pt>
                <c:pt idx="203">
                  <c:v>6</c:v>
                </c:pt>
                <c:pt idx="204">
                  <c:v>8</c:v>
                </c:pt>
                <c:pt idx="205">
                  <c:v>6</c:v>
                </c:pt>
                <c:pt idx="206">
                  <c:v>1</c:v>
                </c:pt>
                <c:pt idx="207">
                  <c:v>5</c:v>
                </c:pt>
                <c:pt idx="208">
                  <c:v>6</c:v>
                </c:pt>
                <c:pt idx="209">
                  <c:v>7</c:v>
                </c:pt>
                <c:pt idx="210">
                  <c:v>5</c:v>
                </c:pt>
                <c:pt idx="211">
                  <c:v>8</c:v>
                </c:pt>
                <c:pt idx="212">
                  <c:v>1</c:v>
                </c:pt>
                <c:pt idx="213">
                  <c:v>9</c:v>
                </c:pt>
                <c:pt idx="214">
                  <c:v>9</c:v>
                </c:pt>
                <c:pt idx="215">
                  <c:v>7</c:v>
                </c:pt>
                <c:pt idx="216">
                  <c:v>8</c:v>
                </c:pt>
                <c:pt idx="217">
                  <c:v>5</c:v>
                </c:pt>
                <c:pt idx="218">
                  <c:v>5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7</c:v>
                </c:pt>
                <c:pt idx="223">
                  <c:v>5</c:v>
                </c:pt>
                <c:pt idx="224">
                  <c:v>7</c:v>
                </c:pt>
                <c:pt idx="225">
                  <c:v>8</c:v>
                </c:pt>
                <c:pt idx="226">
                  <c:v>10</c:v>
                </c:pt>
                <c:pt idx="227">
                  <c:v>10</c:v>
                </c:pt>
                <c:pt idx="228">
                  <c:v>4</c:v>
                </c:pt>
                <c:pt idx="229">
                  <c:v>8</c:v>
                </c:pt>
                <c:pt idx="230">
                  <c:v>2</c:v>
                </c:pt>
                <c:pt idx="231">
                  <c:v>2</c:v>
                </c:pt>
                <c:pt idx="232">
                  <c:v>8</c:v>
                </c:pt>
                <c:pt idx="233">
                  <c:v>6</c:v>
                </c:pt>
                <c:pt idx="234">
                  <c:v>3</c:v>
                </c:pt>
                <c:pt idx="235">
                  <c:v>10</c:v>
                </c:pt>
                <c:pt idx="236">
                  <c:v>3</c:v>
                </c:pt>
                <c:pt idx="237">
                  <c:v>9</c:v>
                </c:pt>
                <c:pt idx="238">
                  <c:v>6</c:v>
                </c:pt>
                <c:pt idx="239">
                  <c:v>2</c:v>
                </c:pt>
                <c:pt idx="240">
                  <c:v>1</c:v>
                </c:pt>
                <c:pt idx="241">
                  <c:v>8</c:v>
                </c:pt>
                <c:pt idx="242">
                  <c:v>6</c:v>
                </c:pt>
                <c:pt idx="243">
                  <c:v>9</c:v>
                </c:pt>
                <c:pt idx="244">
                  <c:v>7</c:v>
                </c:pt>
                <c:pt idx="245">
                  <c:v>3</c:v>
                </c:pt>
                <c:pt idx="246">
                  <c:v>9</c:v>
                </c:pt>
                <c:pt idx="247">
                  <c:v>6</c:v>
                </c:pt>
                <c:pt idx="248">
                  <c:v>3</c:v>
                </c:pt>
                <c:pt idx="249">
                  <c:v>5</c:v>
                </c:pt>
                <c:pt idx="250">
                  <c:v>6</c:v>
                </c:pt>
                <c:pt idx="251">
                  <c:v>9</c:v>
                </c:pt>
                <c:pt idx="252">
                  <c:v>3</c:v>
                </c:pt>
                <c:pt idx="253">
                  <c:v>7</c:v>
                </c:pt>
                <c:pt idx="254">
                  <c:v>8</c:v>
                </c:pt>
                <c:pt idx="255">
                  <c:v>2</c:v>
                </c:pt>
                <c:pt idx="256">
                  <c:v>6</c:v>
                </c:pt>
                <c:pt idx="257">
                  <c:v>4</c:v>
                </c:pt>
                <c:pt idx="258">
                  <c:v>3</c:v>
                </c:pt>
                <c:pt idx="259">
                  <c:v>2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7</c:v>
                </c:pt>
                <c:pt idx="264">
                  <c:v>4</c:v>
                </c:pt>
                <c:pt idx="265">
                  <c:v>5</c:v>
                </c:pt>
                <c:pt idx="266">
                  <c:v>9</c:v>
                </c:pt>
                <c:pt idx="267">
                  <c:v>10</c:v>
                </c:pt>
                <c:pt idx="268">
                  <c:v>9</c:v>
                </c:pt>
                <c:pt idx="269">
                  <c:v>8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5</c:v>
                </c:pt>
                <c:pt idx="274">
                  <c:v>9</c:v>
                </c:pt>
                <c:pt idx="275">
                  <c:v>7</c:v>
                </c:pt>
                <c:pt idx="276">
                  <c:v>3</c:v>
                </c:pt>
                <c:pt idx="277">
                  <c:v>8</c:v>
                </c:pt>
                <c:pt idx="278">
                  <c:v>10</c:v>
                </c:pt>
                <c:pt idx="279">
                  <c:v>6</c:v>
                </c:pt>
                <c:pt idx="280">
                  <c:v>7</c:v>
                </c:pt>
                <c:pt idx="281">
                  <c:v>10</c:v>
                </c:pt>
                <c:pt idx="282">
                  <c:v>10</c:v>
                </c:pt>
                <c:pt idx="283">
                  <c:v>5</c:v>
                </c:pt>
                <c:pt idx="284">
                  <c:v>4</c:v>
                </c:pt>
                <c:pt idx="285">
                  <c:v>10</c:v>
                </c:pt>
                <c:pt idx="286">
                  <c:v>1</c:v>
                </c:pt>
                <c:pt idx="287">
                  <c:v>9</c:v>
                </c:pt>
                <c:pt idx="288">
                  <c:v>1</c:v>
                </c:pt>
                <c:pt idx="289">
                  <c:v>10</c:v>
                </c:pt>
                <c:pt idx="290">
                  <c:v>3</c:v>
                </c:pt>
                <c:pt idx="291">
                  <c:v>3</c:v>
                </c:pt>
                <c:pt idx="292">
                  <c:v>7</c:v>
                </c:pt>
                <c:pt idx="293">
                  <c:v>10</c:v>
                </c:pt>
                <c:pt idx="294">
                  <c:v>5</c:v>
                </c:pt>
                <c:pt idx="295">
                  <c:v>6</c:v>
                </c:pt>
                <c:pt idx="296">
                  <c:v>1</c:v>
                </c:pt>
                <c:pt idx="297">
                  <c:v>6</c:v>
                </c:pt>
                <c:pt idx="298">
                  <c:v>4</c:v>
                </c:pt>
                <c:pt idx="299">
                  <c:v>10</c:v>
                </c:pt>
                <c:pt idx="300">
                  <c:v>6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8</c:v>
                </c:pt>
                <c:pt idx="305">
                  <c:v>7</c:v>
                </c:pt>
                <c:pt idx="306">
                  <c:v>2</c:v>
                </c:pt>
                <c:pt idx="307">
                  <c:v>1</c:v>
                </c:pt>
                <c:pt idx="308">
                  <c:v>10</c:v>
                </c:pt>
                <c:pt idx="309">
                  <c:v>1</c:v>
                </c:pt>
                <c:pt idx="310">
                  <c:v>10</c:v>
                </c:pt>
                <c:pt idx="311">
                  <c:v>9</c:v>
                </c:pt>
                <c:pt idx="312">
                  <c:v>4</c:v>
                </c:pt>
                <c:pt idx="313">
                  <c:v>2</c:v>
                </c:pt>
                <c:pt idx="314">
                  <c:v>6</c:v>
                </c:pt>
                <c:pt idx="315">
                  <c:v>8</c:v>
                </c:pt>
                <c:pt idx="316">
                  <c:v>9</c:v>
                </c:pt>
                <c:pt idx="317">
                  <c:v>7</c:v>
                </c:pt>
                <c:pt idx="318">
                  <c:v>2</c:v>
                </c:pt>
                <c:pt idx="319">
                  <c:v>8</c:v>
                </c:pt>
                <c:pt idx="320">
                  <c:v>9</c:v>
                </c:pt>
                <c:pt idx="321">
                  <c:v>10</c:v>
                </c:pt>
                <c:pt idx="322">
                  <c:v>1</c:v>
                </c:pt>
                <c:pt idx="323">
                  <c:v>6</c:v>
                </c:pt>
                <c:pt idx="324">
                  <c:v>6</c:v>
                </c:pt>
                <c:pt idx="325">
                  <c:v>2</c:v>
                </c:pt>
                <c:pt idx="326">
                  <c:v>2</c:v>
                </c:pt>
                <c:pt idx="327">
                  <c:v>4</c:v>
                </c:pt>
                <c:pt idx="328">
                  <c:v>2</c:v>
                </c:pt>
                <c:pt idx="329">
                  <c:v>3</c:v>
                </c:pt>
                <c:pt idx="330">
                  <c:v>5</c:v>
                </c:pt>
                <c:pt idx="331">
                  <c:v>9</c:v>
                </c:pt>
                <c:pt idx="332">
                  <c:v>3</c:v>
                </c:pt>
                <c:pt idx="333">
                  <c:v>6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8</c:v>
                </c:pt>
                <c:pt idx="338">
                  <c:v>6</c:v>
                </c:pt>
                <c:pt idx="339">
                  <c:v>9</c:v>
                </c:pt>
                <c:pt idx="340">
                  <c:v>1</c:v>
                </c:pt>
                <c:pt idx="341">
                  <c:v>8</c:v>
                </c:pt>
                <c:pt idx="342">
                  <c:v>4</c:v>
                </c:pt>
                <c:pt idx="343">
                  <c:v>6</c:v>
                </c:pt>
                <c:pt idx="344">
                  <c:v>9</c:v>
                </c:pt>
                <c:pt idx="345">
                  <c:v>5</c:v>
                </c:pt>
                <c:pt idx="346">
                  <c:v>4</c:v>
                </c:pt>
                <c:pt idx="347">
                  <c:v>9</c:v>
                </c:pt>
                <c:pt idx="348">
                  <c:v>7</c:v>
                </c:pt>
                <c:pt idx="349">
                  <c:v>4</c:v>
                </c:pt>
                <c:pt idx="350">
                  <c:v>9</c:v>
                </c:pt>
                <c:pt idx="351">
                  <c:v>4</c:v>
                </c:pt>
                <c:pt idx="352">
                  <c:v>4</c:v>
                </c:pt>
                <c:pt idx="353">
                  <c:v>2</c:v>
                </c:pt>
                <c:pt idx="354">
                  <c:v>9</c:v>
                </c:pt>
                <c:pt idx="355">
                  <c:v>7</c:v>
                </c:pt>
                <c:pt idx="356">
                  <c:v>7</c:v>
                </c:pt>
                <c:pt idx="357">
                  <c:v>3</c:v>
                </c:pt>
                <c:pt idx="358">
                  <c:v>7</c:v>
                </c:pt>
                <c:pt idx="359">
                  <c:v>9</c:v>
                </c:pt>
                <c:pt idx="360">
                  <c:v>4</c:v>
                </c:pt>
                <c:pt idx="361">
                  <c:v>1</c:v>
                </c:pt>
                <c:pt idx="362">
                  <c:v>1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7</c:v>
                </c:pt>
                <c:pt idx="370">
                  <c:v>2</c:v>
                </c:pt>
                <c:pt idx="371">
                  <c:v>10</c:v>
                </c:pt>
                <c:pt idx="372">
                  <c:v>5</c:v>
                </c:pt>
                <c:pt idx="373">
                  <c:v>10</c:v>
                </c:pt>
                <c:pt idx="374">
                  <c:v>9</c:v>
                </c:pt>
                <c:pt idx="375">
                  <c:v>3</c:v>
                </c:pt>
                <c:pt idx="376">
                  <c:v>8</c:v>
                </c:pt>
                <c:pt idx="377">
                  <c:v>9</c:v>
                </c:pt>
                <c:pt idx="378">
                  <c:v>2</c:v>
                </c:pt>
                <c:pt idx="379">
                  <c:v>1</c:v>
                </c:pt>
                <c:pt idx="380">
                  <c:v>10</c:v>
                </c:pt>
                <c:pt idx="381">
                  <c:v>8</c:v>
                </c:pt>
                <c:pt idx="382">
                  <c:v>7</c:v>
                </c:pt>
                <c:pt idx="383">
                  <c:v>3</c:v>
                </c:pt>
                <c:pt idx="384">
                  <c:v>4</c:v>
                </c:pt>
                <c:pt idx="385">
                  <c:v>8</c:v>
                </c:pt>
                <c:pt idx="386">
                  <c:v>7</c:v>
                </c:pt>
                <c:pt idx="387">
                  <c:v>8</c:v>
                </c:pt>
                <c:pt idx="388">
                  <c:v>6</c:v>
                </c:pt>
                <c:pt idx="389">
                  <c:v>8</c:v>
                </c:pt>
                <c:pt idx="390">
                  <c:v>4</c:v>
                </c:pt>
                <c:pt idx="391">
                  <c:v>5</c:v>
                </c:pt>
                <c:pt idx="392">
                  <c:v>6</c:v>
                </c:pt>
                <c:pt idx="393">
                  <c:v>1</c:v>
                </c:pt>
                <c:pt idx="394">
                  <c:v>7</c:v>
                </c:pt>
                <c:pt idx="395">
                  <c:v>9</c:v>
                </c:pt>
                <c:pt idx="396">
                  <c:v>4</c:v>
                </c:pt>
                <c:pt idx="397">
                  <c:v>8</c:v>
                </c:pt>
                <c:pt idx="398">
                  <c:v>9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6</c:v>
                </c:pt>
                <c:pt idx="403">
                  <c:v>6</c:v>
                </c:pt>
                <c:pt idx="404">
                  <c:v>10</c:v>
                </c:pt>
                <c:pt idx="405">
                  <c:v>2</c:v>
                </c:pt>
                <c:pt idx="406">
                  <c:v>1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6</c:v>
                </c:pt>
                <c:pt idx="411">
                  <c:v>10</c:v>
                </c:pt>
                <c:pt idx="412">
                  <c:v>6</c:v>
                </c:pt>
                <c:pt idx="413">
                  <c:v>9</c:v>
                </c:pt>
                <c:pt idx="414">
                  <c:v>7</c:v>
                </c:pt>
                <c:pt idx="415">
                  <c:v>2</c:v>
                </c:pt>
                <c:pt idx="416">
                  <c:v>1</c:v>
                </c:pt>
                <c:pt idx="417">
                  <c:v>5</c:v>
                </c:pt>
                <c:pt idx="418">
                  <c:v>8</c:v>
                </c:pt>
                <c:pt idx="419">
                  <c:v>6</c:v>
                </c:pt>
                <c:pt idx="420">
                  <c:v>5</c:v>
                </c:pt>
                <c:pt idx="421">
                  <c:v>9</c:v>
                </c:pt>
                <c:pt idx="422">
                  <c:v>9</c:v>
                </c:pt>
                <c:pt idx="423">
                  <c:v>6</c:v>
                </c:pt>
                <c:pt idx="424">
                  <c:v>10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7</c:v>
                </c:pt>
                <c:pt idx="430">
                  <c:v>5</c:v>
                </c:pt>
                <c:pt idx="431">
                  <c:v>8</c:v>
                </c:pt>
                <c:pt idx="432">
                  <c:v>6</c:v>
                </c:pt>
                <c:pt idx="433">
                  <c:v>8</c:v>
                </c:pt>
                <c:pt idx="434">
                  <c:v>7</c:v>
                </c:pt>
                <c:pt idx="435">
                  <c:v>9</c:v>
                </c:pt>
                <c:pt idx="436">
                  <c:v>9</c:v>
                </c:pt>
                <c:pt idx="437">
                  <c:v>10</c:v>
                </c:pt>
                <c:pt idx="438">
                  <c:v>5</c:v>
                </c:pt>
                <c:pt idx="439">
                  <c:v>2</c:v>
                </c:pt>
                <c:pt idx="440">
                  <c:v>10</c:v>
                </c:pt>
                <c:pt idx="441">
                  <c:v>3</c:v>
                </c:pt>
                <c:pt idx="442">
                  <c:v>8</c:v>
                </c:pt>
                <c:pt idx="443">
                  <c:v>10</c:v>
                </c:pt>
                <c:pt idx="444">
                  <c:v>10</c:v>
                </c:pt>
                <c:pt idx="445">
                  <c:v>5</c:v>
                </c:pt>
                <c:pt idx="446">
                  <c:v>1</c:v>
                </c:pt>
                <c:pt idx="447">
                  <c:v>5</c:v>
                </c:pt>
                <c:pt idx="448">
                  <c:v>6</c:v>
                </c:pt>
                <c:pt idx="449">
                  <c:v>4</c:v>
                </c:pt>
                <c:pt idx="450">
                  <c:v>9</c:v>
                </c:pt>
                <c:pt idx="451">
                  <c:v>1</c:v>
                </c:pt>
                <c:pt idx="452">
                  <c:v>1</c:v>
                </c:pt>
                <c:pt idx="453">
                  <c:v>3</c:v>
                </c:pt>
                <c:pt idx="454">
                  <c:v>8</c:v>
                </c:pt>
                <c:pt idx="455">
                  <c:v>5</c:v>
                </c:pt>
                <c:pt idx="456">
                  <c:v>9</c:v>
                </c:pt>
                <c:pt idx="457">
                  <c:v>1</c:v>
                </c:pt>
                <c:pt idx="458">
                  <c:v>2</c:v>
                </c:pt>
                <c:pt idx="459">
                  <c:v>5</c:v>
                </c:pt>
                <c:pt idx="460">
                  <c:v>6</c:v>
                </c:pt>
                <c:pt idx="461">
                  <c:v>7</c:v>
                </c:pt>
                <c:pt idx="462">
                  <c:v>5</c:v>
                </c:pt>
                <c:pt idx="463">
                  <c:v>2</c:v>
                </c:pt>
                <c:pt idx="464">
                  <c:v>3</c:v>
                </c:pt>
                <c:pt idx="465">
                  <c:v>7</c:v>
                </c:pt>
                <c:pt idx="466">
                  <c:v>4</c:v>
                </c:pt>
                <c:pt idx="467">
                  <c:v>6</c:v>
                </c:pt>
                <c:pt idx="468">
                  <c:v>10</c:v>
                </c:pt>
                <c:pt idx="469">
                  <c:v>4</c:v>
                </c:pt>
                <c:pt idx="470">
                  <c:v>10</c:v>
                </c:pt>
                <c:pt idx="471">
                  <c:v>1</c:v>
                </c:pt>
                <c:pt idx="472">
                  <c:v>5</c:v>
                </c:pt>
                <c:pt idx="473">
                  <c:v>3</c:v>
                </c:pt>
                <c:pt idx="474">
                  <c:v>8</c:v>
                </c:pt>
                <c:pt idx="475">
                  <c:v>3</c:v>
                </c:pt>
                <c:pt idx="476">
                  <c:v>5</c:v>
                </c:pt>
                <c:pt idx="477">
                  <c:v>7</c:v>
                </c:pt>
                <c:pt idx="478">
                  <c:v>9</c:v>
                </c:pt>
                <c:pt idx="479">
                  <c:v>9</c:v>
                </c:pt>
                <c:pt idx="480">
                  <c:v>7</c:v>
                </c:pt>
                <c:pt idx="481">
                  <c:v>10</c:v>
                </c:pt>
                <c:pt idx="482">
                  <c:v>10</c:v>
                </c:pt>
                <c:pt idx="483">
                  <c:v>6</c:v>
                </c:pt>
                <c:pt idx="484">
                  <c:v>7</c:v>
                </c:pt>
                <c:pt idx="485">
                  <c:v>2</c:v>
                </c:pt>
                <c:pt idx="486">
                  <c:v>9</c:v>
                </c:pt>
                <c:pt idx="487">
                  <c:v>7</c:v>
                </c:pt>
                <c:pt idx="488">
                  <c:v>7</c:v>
                </c:pt>
                <c:pt idx="489">
                  <c:v>3</c:v>
                </c:pt>
                <c:pt idx="490">
                  <c:v>5</c:v>
                </c:pt>
                <c:pt idx="491">
                  <c:v>7</c:v>
                </c:pt>
                <c:pt idx="492">
                  <c:v>8</c:v>
                </c:pt>
                <c:pt idx="493">
                  <c:v>1</c:v>
                </c:pt>
                <c:pt idx="494">
                  <c:v>5</c:v>
                </c:pt>
                <c:pt idx="495">
                  <c:v>7</c:v>
                </c:pt>
                <c:pt idx="496">
                  <c:v>7</c:v>
                </c:pt>
                <c:pt idx="497">
                  <c:v>4</c:v>
                </c:pt>
                <c:pt idx="498">
                  <c:v>10</c:v>
                </c:pt>
                <c:pt idx="499">
                  <c:v>9</c:v>
                </c:pt>
                <c:pt idx="500">
                  <c:v>4</c:v>
                </c:pt>
                <c:pt idx="501">
                  <c:v>1</c:v>
                </c:pt>
                <c:pt idx="502">
                  <c:v>7</c:v>
                </c:pt>
                <c:pt idx="503">
                  <c:v>5</c:v>
                </c:pt>
                <c:pt idx="504">
                  <c:v>2</c:v>
                </c:pt>
                <c:pt idx="505">
                  <c:v>5</c:v>
                </c:pt>
                <c:pt idx="506">
                  <c:v>2</c:v>
                </c:pt>
                <c:pt idx="507">
                  <c:v>10</c:v>
                </c:pt>
                <c:pt idx="508">
                  <c:v>1</c:v>
                </c:pt>
                <c:pt idx="509">
                  <c:v>9</c:v>
                </c:pt>
                <c:pt idx="510">
                  <c:v>10</c:v>
                </c:pt>
                <c:pt idx="511">
                  <c:v>10</c:v>
                </c:pt>
                <c:pt idx="512">
                  <c:v>3</c:v>
                </c:pt>
                <c:pt idx="513">
                  <c:v>8</c:v>
                </c:pt>
                <c:pt idx="514">
                  <c:v>6</c:v>
                </c:pt>
                <c:pt idx="515">
                  <c:v>1</c:v>
                </c:pt>
                <c:pt idx="516">
                  <c:v>1</c:v>
                </c:pt>
                <c:pt idx="517">
                  <c:v>8</c:v>
                </c:pt>
                <c:pt idx="518">
                  <c:v>10</c:v>
                </c:pt>
                <c:pt idx="519">
                  <c:v>5</c:v>
                </c:pt>
                <c:pt idx="520">
                  <c:v>6</c:v>
                </c:pt>
                <c:pt idx="521">
                  <c:v>9</c:v>
                </c:pt>
                <c:pt idx="522">
                  <c:v>8</c:v>
                </c:pt>
                <c:pt idx="523">
                  <c:v>9</c:v>
                </c:pt>
                <c:pt idx="524">
                  <c:v>3</c:v>
                </c:pt>
                <c:pt idx="525">
                  <c:v>1</c:v>
                </c:pt>
                <c:pt idx="526">
                  <c:v>8</c:v>
                </c:pt>
                <c:pt idx="527">
                  <c:v>2</c:v>
                </c:pt>
                <c:pt idx="528">
                  <c:v>8</c:v>
                </c:pt>
                <c:pt idx="529">
                  <c:v>3</c:v>
                </c:pt>
                <c:pt idx="530">
                  <c:v>9</c:v>
                </c:pt>
                <c:pt idx="531">
                  <c:v>7</c:v>
                </c:pt>
                <c:pt idx="532">
                  <c:v>2</c:v>
                </c:pt>
                <c:pt idx="533">
                  <c:v>3</c:v>
                </c:pt>
                <c:pt idx="534">
                  <c:v>5</c:v>
                </c:pt>
                <c:pt idx="535">
                  <c:v>6</c:v>
                </c:pt>
                <c:pt idx="536">
                  <c:v>3</c:v>
                </c:pt>
                <c:pt idx="537">
                  <c:v>2</c:v>
                </c:pt>
                <c:pt idx="538">
                  <c:v>10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9</c:v>
                </c:pt>
                <c:pt idx="543">
                  <c:v>6</c:v>
                </c:pt>
                <c:pt idx="544">
                  <c:v>7</c:v>
                </c:pt>
                <c:pt idx="545">
                  <c:v>2</c:v>
                </c:pt>
                <c:pt idx="546">
                  <c:v>3</c:v>
                </c:pt>
                <c:pt idx="547">
                  <c:v>8</c:v>
                </c:pt>
                <c:pt idx="548">
                  <c:v>5</c:v>
                </c:pt>
                <c:pt idx="549">
                  <c:v>1</c:v>
                </c:pt>
                <c:pt idx="550">
                  <c:v>8</c:v>
                </c:pt>
                <c:pt idx="551">
                  <c:v>2</c:v>
                </c:pt>
                <c:pt idx="552">
                  <c:v>1</c:v>
                </c:pt>
                <c:pt idx="553">
                  <c:v>3</c:v>
                </c:pt>
                <c:pt idx="554">
                  <c:v>5</c:v>
                </c:pt>
                <c:pt idx="555">
                  <c:v>6</c:v>
                </c:pt>
                <c:pt idx="556">
                  <c:v>9</c:v>
                </c:pt>
                <c:pt idx="557">
                  <c:v>2</c:v>
                </c:pt>
                <c:pt idx="558">
                  <c:v>8</c:v>
                </c:pt>
                <c:pt idx="559">
                  <c:v>6</c:v>
                </c:pt>
                <c:pt idx="560">
                  <c:v>5</c:v>
                </c:pt>
                <c:pt idx="561">
                  <c:v>8</c:v>
                </c:pt>
                <c:pt idx="562">
                  <c:v>1</c:v>
                </c:pt>
                <c:pt idx="563">
                  <c:v>3</c:v>
                </c:pt>
                <c:pt idx="564">
                  <c:v>3</c:v>
                </c:pt>
                <c:pt idx="565">
                  <c:v>8</c:v>
                </c:pt>
                <c:pt idx="566">
                  <c:v>9</c:v>
                </c:pt>
                <c:pt idx="567">
                  <c:v>6</c:v>
                </c:pt>
                <c:pt idx="568">
                  <c:v>7</c:v>
                </c:pt>
                <c:pt idx="569">
                  <c:v>7</c:v>
                </c:pt>
                <c:pt idx="570">
                  <c:v>4</c:v>
                </c:pt>
                <c:pt idx="571">
                  <c:v>2</c:v>
                </c:pt>
                <c:pt idx="572">
                  <c:v>6</c:v>
                </c:pt>
                <c:pt idx="573">
                  <c:v>7</c:v>
                </c:pt>
                <c:pt idx="574">
                  <c:v>9</c:v>
                </c:pt>
                <c:pt idx="575">
                  <c:v>8</c:v>
                </c:pt>
                <c:pt idx="576">
                  <c:v>8</c:v>
                </c:pt>
                <c:pt idx="577">
                  <c:v>6</c:v>
                </c:pt>
                <c:pt idx="578">
                  <c:v>9</c:v>
                </c:pt>
                <c:pt idx="579">
                  <c:v>2</c:v>
                </c:pt>
                <c:pt idx="580">
                  <c:v>5</c:v>
                </c:pt>
                <c:pt idx="581">
                  <c:v>2</c:v>
                </c:pt>
                <c:pt idx="582">
                  <c:v>6</c:v>
                </c:pt>
                <c:pt idx="583">
                  <c:v>5</c:v>
                </c:pt>
                <c:pt idx="584">
                  <c:v>6</c:v>
                </c:pt>
                <c:pt idx="585">
                  <c:v>6</c:v>
                </c:pt>
                <c:pt idx="586">
                  <c:v>8</c:v>
                </c:pt>
                <c:pt idx="587">
                  <c:v>5</c:v>
                </c:pt>
                <c:pt idx="588">
                  <c:v>1</c:v>
                </c:pt>
                <c:pt idx="589">
                  <c:v>5</c:v>
                </c:pt>
                <c:pt idx="590">
                  <c:v>2</c:v>
                </c:pt>
                <c:pt idx="591">
                  <c:v>8</c:v>
                </c:pt>
                <c:pt idx="592">
                  <c:v>2</c:v>
                </c:pt>
                <c:pt idx="593">
                  <c:v>9</c:v>
                </c:pt>
                <c:pt idx="594">
                  <c:v>2</c:v>
                </c:pt>
                <c:pt idx="595">
                  <c:v>6</c:v>
                </c:pt>
                <c:pt idx="596">
                  <c:v>10</c:v>
                </c:pt>
                <c:pt idx="597">
                  <c:v>1</c:v>
                </c:pt>
                <c:pt idx="598">
                  <c:v>7</c:v>
                </c:pt>
                <c:pt idx="599">
                  <c:v>10</c:v>
                </c:pt>
                <c:pt idx="600">
                  <c:v>1</c:v>
                </c:pt>
                <c:pt idx="601">
                  <c:v>7</c:v>
                </c:pt>
                <c:pt idx="602">
                  <c:v>4</c:v>
                </c:pt>
                <c:pt idx="603">
                  <c:v>6</c:v>
                </c:pt>
                <c:pt idx="604">
                  <c:v>10</c:v>
                </c:pt>
                <c:pt idx="605">
                  <c:v>10</c:v>
                </c:pt>
                <c:pt idx="606">
                  <c:v>2</c:v>
                </c:pt>
                <c:pt idx="607">
                  <c:v>4</c:v>
                </c:pt>
                <c:pt idx="608">
                  <c:v>10</c:v>
                </c:pt>
                <c:pt idx="609">
                  <c:v>8</c:v>
                </c:pt>
                <c:pt idx="610">
                  <c:v>8</c:v>
                </c:pt>
                <c:pt idx="611">
                  <c:v>2</c:v>
                </c:pt>
                <c:pt idx="612">
                  <c:v>9</c:v>
                </c:pt>
                <c:pt idx="613">
                  <c:v>2</c:v>
                </c:pt>
                <c:pt idx="614">
                  <c:v>4</c:v>
                </c:pt>
                <c:pt idx="615">
                  <c:v>6</c:v>
                </c:pt>
                <c:pt idx="616">
                  <c:v>9</c:v>
                </c:pt>
                <c:pt idx="617">
                  <c:v>1</c:v>
                </c:pt>
                <c:pt idx="618">
                  <c:v>9</c:v>
                </c:pt>
                <c:pt idx="619">
                  <c:v>6</c:v>
                </c:pt>
                <c:pt idx="620">
                  <c:v>8</c:v>
                </c:pt>
                <c:pt idx="621">
                  <c:v>7</c:v>
                </c:pt>
                <c:pt idx="622">
                  <c:v>5</c:v>
                </c:pt>
                <c:pt idx="623">
                  <c:v>4</c:v>
                </c:pt>
                <c:pt idx="624">
                  <c:v>3</c:v>
                </c:pt>
                <c:pt idx="625">
                  <c:v>6</c:v>
                </c:pt>
                <c:pt idx="626">
                  <c:v>6</c:v>
                </c:pt>
                <c:pt idx="627">
                  <c:v>8</c:v>
                </c:pt>
                <c:pt idx="628">
                  <c:v>5</c:v>
                </c:pt>
                <c:pt idx="629">
                  <c:v>2</c:v>
                </c:pt>
                <c:pt idx="630">
                  <c:v>7</c:v>
                </c:pt>
                <c:pt idx="631">
                  <c:v>1</c:v>
                </c:pt>
                <c:pt idx="632">
                  <c:v>9</c:v>
                </c:pt>
                <c:pt idx="633">
                  <c:v>6</c:v>
                </c:pt>
                <c:pt idx="634">
                  <c:v>8</c:v>
                </c:pt>
                <c:pt idx="635">
                  <c:v>10</c:v>
                </c:pt>
                <c:pt idx="636">
                  <c:v>6</c:v>
                </c:pt>
                <c:pt idx="637">
                  <c:v>4</c:v>
                </c:pt>
                <c:pt idx="638">
                  <c:v>7</c:v>
                </c:pt>
                <c:pt idx="639">
                  <c:v>2</c:v>
                </c:pt>
                <c:pt idx="640">
                  <c:v>4</c:v>
                </c:pt>
                <c:pt idx="641">
                  <c:v>5</c:v>
                </c:pt>
                <c:pt idx="642">
                  <c:v>5</c:v>
                </c:pt>
                <c:pt idx="643">
                  <c:v>10</c:v>
                </c:pt>
                <c:pt idx="644">
                  <c:v>5</c:v>
                </c:pt>
                <c:pt idx="645">
                  <c:v>3</c:v>
                </c:pt>
                <c:pt idx="646">
                  <c:v>6</c:v>
                </c:pt>
                <c:pt idx="647">
                  <c:v>4</c:v>
                </c:pt>
                <c:pt idx="648">
                  <c:v>10</c:v>
                </c:pt>
                <c:pt idx="649">
                  <c:v>9</c:v>
                </c:pt>
                <c:pt idx="650">
                  <c:v>2</c:v>
                </c:pt>
                <c:pt idx="651">
                  <c:v>10</c:v>
                </c:pt>
                <c:pt idx="652">
                  <c:v>9</c:v>
                </c:pt>
                <c:pt idx="653">
                  <c:v>9</c:v>
                </c:pt>
                <c:pt idx="654">
                  <c:v>3</c:v>
                </c:pt>
                <c:pt idx="655">
                  <c:v>8</c:v>
                </c:pt>
                <c:pt idx="656">
                  <c:v>5</c:v>
                </c:pt>
                <c:pt idx="657">
                  <c:v>3</c:v>
                </c:pt>
                <c:pt idx="658">
                  <c:v>6</c:v>
                </c:pt>
                <c:pt idx="659">
                  <c:v>8</c:v>
                </c:pt>
                <c:pt idx="660">
                  <c:v>6</c:v>
                </c:pt>
                <c:pt idx="661">
                  <c:v>5</c:v>
                </c:pt>
                <c:pt idx="662">
                  <c:v>5</c:v>
                </c:pt>
                <c:pt idx="663">
                  <c:v>7</c:v>
                </c:pt>
                <c:pt idx="664">
                  <c:v>10</c:v>
                </c:pt>
                <c:pt idx="665">
                  <c:v>8</c:v>
                </c:pt>
                <c:pt idx="666">
                  <c:v>4</c:v>
                </c:pt>
                <c:pt idx="667">
                  <c:v>5</c:v>
                </c:pt>
                <c:pt idx="668">
                  <c:v>1</c:v>
                </c:pt>
                <c:pt idx="669">
                  <c:v>10</c:v>
                </c:pt>
                <c:pt idx="670">
                  <c:v>3</c:v>
                </c:pt>
                <c:pt idx="671">
                  <c:v>4</c:v>
                </c:pt>
                <c:pt idx="672">
                  <c:v>10</c:v>
                </c:pt>
                <c:pt idx="673">
                  <c:v>4</c:v>
                </c:pt>
                <c:pt idx="674">
                  <c:v>5</c:v>
                </c:pt>
                <c:pt idx="675">
                  <c:v>1</c:v>
                </c:pt>
                <c:pt idx="676">
                  <c:v>3</c:v>
                </c:pt>
                <c:pt idx="677">
                  <c:v>1</c:v>
                </c:pt>
                <c:pt idx="678">
                  <c:v>1</c:v>
                </c:pt>
                <c:pt idx="679">
                  <c:v>2</c:v>
                </c:pt>
                <c:pt idx="680">
                  <c:v>10</c:v>
                </c:pt>
                <c:pt idx="681">
                  <c:v>5</c:v>
                </c:pt>
                <c:pt idx="682">
                  <c:v>4</c:v>
                </c:pt>
                <c:pt idx="683">
                  <c:v>1</c:v>
                </c:pt>
                <c:pt idx="684">
                  <c:v>10</c:v>
                </c:pt>
                <c:pt idx="685">
                  <c:v>1</c:v>
                </c:pt>
                <c:pt idx="686">
                  <c:v>9</c:v>
                </c:pt>
                <c:pt idx="687">
                  <c:v>10</c:v>
                </c:pt>
                <c:pt idx="688">
                  <c:v>7</c:v>
                </c:pt>
                <c:pt idx="689">
                  <c:v>6</c:v>
                </c:pt>
                <c:pt idx="690">
                  <c:v>5</c:v>
                </c:pt>
                <c:pt idx="691">
                  <c:v>6</c:v>
                </c:pt>
                <c:pt idx="692">
                  <c:v>7</c:v>
                </c:pt>
                <c:pt idx="693">
                  <c:v>9</c:v>
                </c:pt>
                <c:pt idx="694">
                  <c:v>3</c:v>
                </c:pt>
                <c:pt idx="695">
                  <c:v>5</c:v>
                </c:pt>
                <c:pt idx="696">
                  <c:v>3</c:v>
                </c:pt>
                <c:pt idx="697">
                  <c:v>6</c:v>
                </c:pt>
                <c:pt idx="698">
                  <c:v>2</c:v>
                </c:pt>
                <c:pt idx="699">
                  <c:v>2</c:v>
                </c:pt>
                <c:pt idx="700">
                  <c:v>4</c:v>
                </c:pt>
                <c:pt idx="701">
                  <c:v>8</c:v>
                </c:pt>
                <c:pt idx="702">
                  <c:v>5</c:v>
                </c:pt>
                <c:pt idx="703">
                  <c:v>7</c:v>
                </c:pt>
                <c:pt idx="704">
                  <c:v>4</c:v>
                </c:pt>
                <c:pt idx="705">
                  <c:v>10</c:v>
                </c:pt>
                <c:pt idx="706">
                  <c:v>7</c:v>
                </c:pt>
                <c:pt idx="707">
                  <c:v>7</c:v>
                </c:pt>
                <c:pt idx="708">
                  <c:v>4</c:v>
                </c:pt>
                <c:pt idx="709">
                  <c:v>3</c:v>
                </c:pt>
                <c:pt idx="710">
                  <c:v>10</c:v>
                </c:pt>
                <c:pt idx="711">
                  <c:v>7</c:v>
                </c:pt>
                <c:pt idx="712">
                  <c:v>4</c:v>
                </c:pt>
                <c:pt idx="713">
                  <c:v>5</c:v>
                </c:pt>
                <c:pt idx="714">
                  <c:v>10</c:v>
                </c:pt>
                <c:pt idx="715">
                  <c:v>7</c:v>
                </c:pt>
                <c:pt idx="716">
                  <c:v>7</c:v>
                </c:pt>
                <c:pt idx="717">
                  <c:v>10</c:v>
                </c:pt>
                <c:pt idx="718">
                  <c:v>1</c:v>
                </c:pt>
                <c:pt idx="719">
                  <c:v>7</c:v>
                </c:pt>
                <c:pt idx="720">
                  <c:v>1</c:v>
                </c:pt>
                <c:pt idx="721">
                  <c:v>4</c:v>
                </c:pt>
                <c:pt idx="722">
                  <c:v>3</c:v>
                </c:pt>
                <c:pt idx="723">
                  <c:v>8</c:v>
                </c:pt>
                <c:pt idx="724">
                  <c:v>6</c:v>
                </c:pt>
                <c:pt idx="725">
                  <c:v>9</c:v>
                </c:pt>
                <c:pt idx="726">
                  <c:v>9</c:v>
                </c:pt>
                <c:pt idx="727">
                  <c:v>2</c:v>
                </c:pt>
                <c:pt idx="728">
                  <c:v>5</c:v>
                </c:pt>
                <c:pt idx="729">
                  <c:v>7</c:v>
                </c:pt>
                <c:pt idx="730">
                  <c:v>4</c:v>
                </c:pt>
                <c:pt idx="731">
                  <c:v>9</c:v>
                </c:pt>
                <c:pt idx="732">
                  <c:v>2</c:v>
                </c:pt>
                <c:pt idx="733">
                  <c:v>9</c:v>
                </c:pt>
                <c:pt idx="734">
                  <c:v>3</c:v>
                </c:pt>
                <c:pt idx="735">
                  <c:v>3</c:v>
                </c:pt>
                <c:pt idx="736">
                  <c:v>9</c:v>
                </c:pt>
                <c:pt idx="737">
                  <c:v>5</c:v>
                </c:pt>
                <c:pt idx="738">
                  <c:v>5</c:v>
                </c:pt>
                <c:pt idx="739">
                  <c:v>9</c:v>
                </c:pt>
                <c:pt idx="740">
                  <c:v>10</c:v>
                </c:pt>
                <c:pt idx="741">
                  <c:v>8</c:v>
                </c:pt>
                <c:pt idx="742">
                  <c:v>7</c:v>
                </c:pt>
                <c:pt idx="743">
                  <c:v>2</c:v>
                </c:pt>
                <c:pt idx="744">
                  <c:v>5</c:v>
                </c:pt>
                <c:pt idx="745">
                  <c:v>8</c:v>
                </c:pt>
                <c:pt idx="746">
                  <c:v>2</c:v>
                </c:pt>
                <c:pt idx="747">
                  <c:v>10</c:v>
                </c:pt>
                <c:pt idx="748">
                  <c:v>1</c:v>
                </c:pt>
                <c:pt idx="749">
                  <c:v>9</c:v>
                </c:pt>
                <c:pt idx="750">
                  <c:v>1</c:v>
                </c:pt>
                <c:pt idx="751">
                  <c:v>6</c:v>
                </c:pt>
                <c:pt idx="752">
                  <c:v>6</c:v>
                </c:pt>
                <c:pt idx="753">
                  <c:v>6</c:v>
                </c:pt>
                <c:pt idx="754">
                  <c:v>9</c:v>
                </c:pt>
                <c:pt idx="755">
                  <c:v>7</c:v>
                </c:pt>
                <c:pt idx="756">
                  <c:v>5</c:v>
                </c:pt>
                <c:pt idx="757">
                  <c:v>6</c:v>
                </c:pt>
                <c:pt idx="758">
                  <c:v>6</c:v>
                </c:pt>
                <c:pt idx="759">
                  <c:v>10</c:v>
                </c:pt>
                <c:pt idx="760">
                  <c:v>2</c:v>
                </c:pt>
                <c:pt idx="761">
                  <c:v>10</c:v>
                </c:pt>
                <c:pt idx="762">
                  <c:v>7</c:v>
                </c:pt>
                <c:pt idx="763">
                  <c:v>3</c:v>
                </c:pt>
                <c:pt idx="764">
                  <c:v>9</c:v>
                </c:pt>
                <c:pt idx="765">
                  <c:v>10</c:v>
                </c:pt>
                <c:pt idx="766">
                  <c:v>5</c:v>
                </c:pt>
                <c:pt idx="767">
                  <c:v>8</c:v>
                </c:pt>
                <c:pt idx="768">
                  <c:v>10</c:v>
                </c:pt>
                <c:pt idx="769">
                  <c:v>6</c:v>
                </c:pt>
                <c:pt idx="770">
                  <c:v>3</c:v>
                </c:pt>
                <c:pt idx="771">
                  <c:v>1</c:v>
                </c:pt>
                <c:pt idx="772">
                  <c:v>6</c:v>
                </c:pt>
                <c:pt idx="773">
                  <c:v>9</c:v>
                </c:pt>
                <c:pt idx="774">
                  <c:v>7</c:v>
                </c:pt>
                <c:pt idx="775">
                  <c:v>7</c:v>
                </c:pt>
                <c:pt idx="776">
                  <c:v>8</c:v>
                </c:pt>
                <c:pt idx="777">
                  <c:v>7</c:v>
                </c:pt>
                <c:pt idx="778">
                  <c:v>8</c:v>
                </c:pt>
                <c:pt idx="779">
                  <c:v>10</c:v>
                </c:pt>
                <c:pt idx="780">
                  <c:v>3</c:v>
                </c:pt>
                <c:pt idx="781">
                  <c:v>7</c:v>
                </c:pt>
                <c:pt idx="782">
                  <c:v>7</c:v>
                </c:pt>
                <c:pt idx="783">
                  <c:v>5</c:v>
                </c:pt>
                <c:pt idx="784">
                  <c:v>3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3</c:v>
                </c:pt>
                <c:pt idx="789">
                  <c:v>7</c:v>
                </c:pt>
                <c:pt idx="790">
                  <c:v>10</c:v>
                </c:pt>
                <c:pt idx="791">
                  <c:v>2</c:v>
                </c:pt>
                <c:pt idx="792">
                  <c:v>7</c:v>
                </c:pt>
                <c:pt idx="793">
                  <c:v>7</c:v>
                </c:pt>
                <c:pt idx="794">
                  <c:v>6</c:v>
                </c:pt>
                <c:pt idx="795">
                  <c:v>6</c:v>
                </c:pt>
                <c:pt idx="796">
                  <c:v>10</c:v>
                </c:pt>
                <c:pt idx="797">
                  <c:v>6</c:v>
                </c:pt>
                <c:pt idx="798">
                  <c:v>4</c:v>
                </c:pt>
                <c:pt idx="799">
                  <c:v>2</c:v>
                </c:pt>
                <c:pt idx="800">
                  <c:v>6</c:v>
                </c:pt>
                <c:pt idx="801">
                  <c:v>10</c:v>
                </c:pt>
                <c:pt idx="802">
                  <c:v>1</c:v>
                </c:pt>
                <c:pt idx="803">
                  <c:v>10</c:v>
                </c:pt>
                <c:pt idx="804">
                  <c:v>4</c:v>
                </c:pt>
                <c:pt idx="805">
                  <c:v>2</c:v>
                </c:pt>
                <c:pt idx="806">
                  <c:v>6</c:v>
                </c:pt>
                <c:pt idx="807">
                  <c:v>3</c:v>
                </c:pt>
                <c:pt idx="808">
                  <c:v>2</c:v>
                </c:pt>
                <c:pt idx="809">
                  <c:v>4</c:v>
                </c:pt>
                <c:pt idx="810">
                  <c:v>10</c:v>
                </c:pt>
                <c:pt idx="811">
                  <c:v>5</c:v>
                </c:pt>
                <c:pt idx="812">
                  <c:v>4</c:v>
                </c:pt>
                <c:pt idx="813">
                  <c:v>1</c:v>
                </c:pt>
                <c:pt idx="814">
                  <c:v>6</c:v>
                </c:pt>
                <c:pt idx="815">
                  <c:v>1</c:v>
                </c:pt>
                <c:pt idx="816">
                  <c:v>2</c:v>
                </c:pt>
                <c:pt idx="817">
                  <c:v>8</c:v>
                </c:pt>
                <c:pt idx="818">
                  <c:v>7</c:v>
                </c:pt>
                <c:pt idx="819">
                  <c:v>5</c:v>
                </c:pt>
                <c:pt idx="820">
                  <c:v>7</c:v>
                </c:pt>
                <c:pt idx="821">
                  <c:v>3</c:v>
                </c:pt>
                <c:pt idx="822">
                  <c:v>5</c:v>
                </c:pt>
                <c:pt idx="823">
                  <c:v>6</c:v>
                </c:pt>
                <c:pt idx="824">
                  <c:v>3</c:v>
                </c:pt>
                <c:pt idx="825">
                  <c:v>2</c:v>
                </c:pt>
                <c:pt idx="826">
                  <c:v>10</c:v>
                </c:pt>
                <c:pt idx="827">
                  <c:v>8</c:v>
                </c:pt>
                <c:pt idx="828">
                  <c:v>9</c:v>
                </c:pt>
                <c:pt idx="829">
                  <c:v>1</c:v>
                </c:pt>
                <c:pt idx="830">
                  <c:v>1</c:v>
                </c:pt>
                <c:pt idx="831">
                  <c:v>8</c:v>
                </c:pt>
                <c:pt idx="832">
                  <c:v>5</c:v>
                </c:pt>
                <c:pt idx="833">
                  <c:v>6</c:v>
                </c:pt>
                <c:pt idx="834">
                  <c:v>1</c:v>
                </c:pt>
                <c:pt idx="835">
                  <c:v>1</c:v>
                </c:pt>
                <c:pt idx="836">
                  <c:v>9</c:v>
                </c:pt>
                <c:pt idx="837">
                  <c:v>9</c:v>
                </c:pt>
                <c:pt idx="838">
                  <c:v>7</c:v>
                </c:pt>
                <c:pt idx="839">
                  <c:v>7</c:v>
                </c:pt>
                <c:pt idx="840">
                  <c:v>8</c:v>
                </c:pt>
                <c:pt idx="841">
                  <c:v>5</c:v>
                </c:pt>
                <c:pt idx="842">
                  <c:v>10</c:v>
                </c:pt>
                <c:pt idx="843">
                  <c:v>7</c:v>
                </c:pt>
                <c:pt idx="844">
                  <c:v>8</c:v>
                </c:pt>
                <c:pt idx="845">
                  <c:v>3</c:v>
                </c:pt>
                <c:pt idx="846">
                  <c:v>10</c:v>
                </c:pt>
                <c:pt idx="847">
                  <c:v>1</c:v>
                </c:pt>
                <c:pt idx="848">
                  <c:v>5</c:v>
                </c:pt>
                <c:pt idx="849">
                  <c:v>4</c:v>
                </c:pt>
                <c:pt idx="850">
                  <c:v>6</c:v>
                </c:pt>
                <c:pt idx="851">
                  <c:v>1</c:v>
                </c:pt>
                <c:pt idx="852">
                  <c:v>8</c:v>
                </c:pt>
                <c:pt idx="853">
                  <c:v>9</c:v>
                </c:pt>
                <c:pt idx="854">
                  <c:v>4</c:v>
                </c:pt>
                <c:pt idx="855">
                  <c:v>4</c:v>
                </c:pt>
                <c:pt idx="856">
                  <c:v>3</c:v>
                </c:pt>
                <c:pt idx="857">
                  <c:v>7</c:v>
                </c:pt>
                <c:pt idx="858">
                  <c:v>8</c:v>
                </c:pt>
                <c:pt idx="859">
                  <c:v>8</c:v>
                </c:pt>
                <c:pt idx="860">
                  <c:v>10</c:v>
                </c:pt>
                <c:pt idx="861">
                  <c:v>7</c:v>
                </c:pt>
                <c:pt idx="862">
                  <c:v>4</c:v>
                </c:pt>
                <c:pt idx="863">
                  <c:v>7</c:v>
                </c:pt>
                <c:pt idx="864">
                  <c:v>5</c:v>
                </c:pt>
                <c:pt idx="865">
                  <c:v>4</c:v>
                </c:pt>
                <c:pt idx="866">
                  <c:v>1</c:v>
                </c:pt>
                <c:pt idx="867">
                  <c:v>9</c:v>
                </c:pt>
                <c:pt idx="868">
                  <c:v>8</c:v>
                </c:pt>
                <c:pt idx="869">
                  <c:v>5</c:v>
                </c:pt>
                <c:pt idx="870">
                  <c:v>7</c:v>
                </c:pt>
                <c:pt idx="871">
                  <c:v>10</c:v>
                </c:pt>
                <c:pt idx="872">
                  <c:v>2</c:v>
                </c:pt>
                <c:pt idx="873">
                  <c:v>9</c:v>
                </c:pt>
                <c:pt idx="874">
                  <c:v>7</c:v>
                </c:pt>
                <c:pt idx="875">
                  <c:v>1</c:v>
                </c:pt>
                <c:pt idx="876">
                  <c:v>10</c:v>
                </c:pt>
                <c:pt idx="877">
                  <c:v>4</c:v>
                </c:pt>
                <c:pt idx="878">
                  <c:v>7</c:v>
                </c:pt>
                <c:pt idx="879">
                  <c:v>7</c:v>
                </c:pt>
                <c:pt idx="880">
                  <c:v>9</c:v>
                </c:pt>
                <c:pt idx="881">
                  <c:v>10</c:v>
                </c:pt>
                <c:pt idx="882">
                  <c:v>8</c:v>
                </c:pt>
                <c:pt idx="883">
                  <c:v>4</c:v>
                </c:pt>
                <c:pt idx="884">
                  <c:v>2</c:v>
                </c:pt>
                <c:pt idx="885">
                  <c:v>10</c:v>
                </c:pt>
                <c:pt idx="886">
                  <c:v>5</c:v>
                </c:pt>
                <c:pt idx="887">
                  <c:v>7</c:v>
                </c:pt>
                <c:pt idx="888">
                  <c:v>8</c:v>
                </c:pt>
                <c:pt idx="889">
                  <c:v>8</c:v>
                </c:pt>
                <c:pt idx="890">
                  <c:v>4</c:v>
                </c:pt>
                <c:pt idx="891">
                  <c:v>4</c:v>
                </c:pt>
                <c:pt idx="892">
                  <c:v>7</c:v>
                </c:pt>
                <c:pt idx="893">
                  <c:v>7</c:v>
                </c:pt>
                <c:pt idx="894">
                  <c:v>9</c:v>
                </c:pt>
                <c:pt idx="895">
                  <c:v>9</c:v>
                </c:pt>
                <c:pt idx="896">
                  <c:v>4</c:v>
                </c:pt>
                <c:pt idx="897">
                  <c:v>7</c:v>
                </c:pt>
                <c:pt idx="898">
                  <c:v>5</c:v>
                </c:pt>
                <c:pt idx="899">
                  <c:v>3</c:v>
                </c:pt>
                <c:pt idx="900">
                  <c:v>6</c:v>
                </c:pt>
                <c:pt idx="901">
                  <c:v>7</c:v>
                </c:pt>
                <c:pt idx="902">
                  <c:v>8</c:v>
                </c:pt>
                <c:pt idx="903">
                  <c:v>4</c:v>
                </c:pt>
                <c:pt idx="904">
                  <c:v>3</c:v>
                </c:pt>
                <c:pt idx="905">
                  <c:v>7</c:v>
                </c:pt>
                <c:pt idx="906">
                  <c:v>5</c:v>
                </c:pt>
                <c:pt idx="907">
                  <c:v>2</c:v>
                </c:pt>
                <c:pt idx="908">
                  <c:v>8</c:v>
                </c:pt>
                <c:pt idx="909">
                  <c:v>8</c:v>
                </c:pt>
                <c:pt idx="910">
                  <c:v>2</c:v>
                </c:pt>
                <c:pt idx="911">
                  <c:v>3</c:v>
                </c:pt>
                <c:pt idx="912">
                  <c:v>10</c:v>
                </c:pt>
                <c:pt idx="913">
                  <c:v>10</c:v>
                </c:pt>
                <c:pt idx="914">
                  <c:v>7</c:v>
                </c:pt>
                <c:pt idx="915">
                  <c:v>5</c:v>
                </c:pt>
                <c:pt idx="916">
                  <c:v>9</c:v>
                </c:pt>
                <c:pt idx="917">
                  <c:v>7</c:v>
                </c:pt>
                <c:pt idx="918">
                  <c:v>9</c:v>
                </c:pt>
                <c:pt idx="919">
                  <c:v>5</c:v>
                </c:pt>
                <c:pt idx="920">
                  <c:v>5</c:v>
                </c:pt>
                <c:pt idx="921">
                  <c:v>7</c:v>
                </c:pt>
                <c:pt idx="922">
                  <c:v>7</c:v>
                </c:pt>
                <c:pt idx="923">
                  <c:v>4</c:v>
                </c:pt>
                <c:pt idx="924">
                  <c:v>1</c:v>
                </c:pt>
                <c:pt idx="925">
                  <c:v>2</c:v>
                </c:pt>
                <c:pt idx="926">
                  <c:v>6</c:v>
                </c:pt>
                <c:pt idx="927">
                  <c:v>7</c:v>
                </c:pt>
                <c:pt idx="928">
                  <c:v>3</c:v>
                </c:pt>
                <c:pt idx="929">
                  <c:v>10</c:v>
                </c:pt>
                <c:pt idx="930">
                  <c:v>5</c:v>
                </c:pt>
                <c:pt idx="931">
                  <c:v>4</c:v>
                </c:pt>
                <c:pt idx="932">
                  <c:v>8</c:v>
                </c:pt>
                <c:pt idx="933">
                  <c:v>10</c:v>
                </c:pt>
                <c:pt idx="934">
                  <c:v>8</c:v>
                </c:pt>
                <c:pt idx="935">
                  <c:v>1</c:v>
                </c:pt>
                <c:pt idx="936">
                  <c:v>10</c:v>
                </c:pt>
                <c:pt idx="937">
                  <c:v>5</c:v>
                </c:pt>
                <c:pt idx="938">
                  <c:v>2</c:v>
                </c:pt>
                <c:pt idx="939">
                  <c:v>2</c:v>
                </c:pt>
                <c:pt idx="940">
                  <c:v>6</c:v>
                </c:pt>
                <c:pt idx="941">
                  <c:v>4</c:v>
                </c:pt>
                <c:pt idx="942">
                  <c:v>6</c:v>
                </c:pt>
                <c:pt idx="943">
                  <c:v>5</c:v>
                </c:pt>
                <c:pt idx="944">
                  <c:v>10</c:v>
                </c:pt>
                <c:pt idx="945">
                  <c:v>2</c:v>
                </c:pt>
                <c:pt idx="946">
                  <c:v>6</c:v>
                </c:pt>
                <c:pt idx="947">
                  <c:v>1</c:v>
                </c:pt>
                <c:pt idx="948">
                  <c:v>6</c:v>
                </c:pt>
                <c:pt idx="949">
                  <c:v>1</c:v>
                </c:pt>
                <c:pt idx="950">
                  <c:v>6</c:v>
                </c:pt>
                <c:pt idx="951">
                  <c:v>3</c:v>
                </c:pt>
                <c:pt idx="952">
                  <c:v>1</c:v>
                </c:pt>
                <c:pt idx="953">
                  <c:v>7</c:v>
                </c:pt>
                <c:pt idx="954">
                  <c:v>1</c:v>
                </c:pt>
                <c:pt idx="955">
                  <c:v>1</c:v>
                </c:pt>
                <c:pt idx="956">
                  <c:v>4</c:v>
                </c:pt>
                <c:pt idx="957">
                  <c:v>10</c:v>
                </c:pt>
                <c:pt idx="958">
                  <c:v>6</c:v>
                </c:pt>
                <c:pt idx="959">
                  <c:v>10</c:v>
                </c:pt>
                <c:pt idx="960">
                  <c:v>1</c:v>
                </c:pt>
                <c:pt idx="961">
                  <c:v>9</c:v>
                </c:pt>
                <c:pt idx="962">
                  <c:v>6</c:v>
                </c:pt>
                <c:pt idx="963">
                  <c:v>10</c:v>
                </c:pt>
                <c:pt idx="964">
                  <c:v>4</c:v>
                </c:pt>
                <c:pt idx="965">
                  <c:v>5</c:v>
                </c:pt>
                <c:pt idx="966">
                  <c:v>9</c:v>
                </c:pt>
                <c:pt idx="967">
                  <c:v>8</c:v>
                </c:pt>
                <c:pt idx="968">
                  <c:v>6</c:v>
                </c:pt>
                <c:pt idx="969">
                  <c:v>3</c:v>
                </c:pt>
                <c:pt idx="970">
                  <c:v>2</c:v>
                </c:pt>
                <c:pt idx="971">
                  <c:v>8</c:v>
                </c:pt>
                <c:pt idx="972">
                  <c:v>8</c:v>
                </c:pt>
                <c:pt idx="973">
                  <c:v>6</c:v>
                </c:pt>
                <c:pt idx="974">
                  <c:v>10</c:v>
                </c:pt>
                <c:pt idx="975">
                  <c:v>7</c:v>
                </c:pt>
                <c:pt idx="976">
                  <c:v>2</c:v>
                </c:pt>
                <c:pt idx="977">
                  <c:v>7</c:v>
                </c:pt>
                <c:pt idx="978">
                  <c:v>3</c:v>
                </c:pt>
                <c:pt idx="979">
                  <c:v>3</c:v>
                </c:pt>
                <c:pt idx="980">
                  <c:v>5</c:v>
                </c:pt>
                <c:pt idx="981">
                  <c:v>1</c:v>
                </c:pt>
                <c:pt idx="982">
                  <c:v>1</c:v>
                </c:pt>
                <c:pt idx="983">
                  <c:v>9</c:v>
                </c:pt>
                <c:pt idx="984">
                  <c:v>7</c:v>
                </c:pt>
                <c:pt idx="985">
                  <c:v>6</c:v>
                </c:pt>
                <c:pt idx="986">
                  <c:v>2</c:v>
                </c:pt>
                <c:pt idx="987">
                  <c:v>7</c:v>
                </c:pt>
                <c:pt idx="988">
                  <c:v>2</c:v>
                </c:pt>
                <c:pt idx="989">
                  <c:v>7</c:v>
                </c:pt>
                <c:pt idx="990">
                  <c:v>2</c:v>
                </c:pt>
                <c:pt idx="991">
                  <c:v>4</c:v>
                </c:pt>
                <c:pt idx="992">
                  <c:v>9</c:v>
                </c:pt>
                <c:pt idx="993">
                  <c:v>3</c:v>
                </c:pt>
                <c:pt idx="994">
                  <c:v>8</c:v>
                </c:pt>
                <c:pt idx="995">
                  <c:v>1</c:v>
                </c:pt>
                <c:pt idx="996">
                  <c:v>5</c:v>
                </c:pt>
                <c:pt idx="997">
                  <c:v>2</c:v>
                </c:pt>
                <c:pt idx="998">
                  <c:v>4</c:v>
                </c:pt>
                <c:pt idx="999">
                  <c:v>2</c:v>
                </c:pt>
                <c:pt idx="1000">
                  <c:v>7</c:v>
                </c:pt>
                <c:pt idx="1001">
                  <c:v>2</c:v>
                </c:pt>
                <c:pt idx="1002">
                  <c:v>2</c:v>
                </c:pt>
                <c:pt idx="1003">
                  <c:v>7</c:v>
                </c:pt>
                <c:pt idx="1004">
                  <c:v>7</c:v>
                </c:pt>
                <c:pt idx="1005">
                  <c:v>4</c:v>
                </c:pt>
                <c:pt idx="1006">
                  <c:v>6</c:v>
                </c:pt>
                <c:pt idx="1007">
                  <c:v>10</c:v>
                </c:pt>
                <c:pt idx="1008">
                  <c:v>10</c:v>
                </c:pt>
                <c:pt idx="1009">
                  <c:v>7</c:v>
                </c:pt>
                <c:pt idx="1010">
                  <c:v>4</c:v>
                </c:pt>
                <c:pt idx="1011">
                  <c:v>1</c:v>
                </c:pt>
                <c:pt idx="1012">
                  <c:v>6</c:v>
                </c:pt>
                <c:pt idx="1013">
                  <c:v>1</c:v>
                </c:pt>
                <c:pt idx="1014">
                  <c:v>3</c:v>
                </c:pt>
                <c:pt idx="1015">
                  <c:v>10</c:v>
                </c:pt>
                <c:pt idx="1016">
                  <c:v>6</c:v>
                </c:pt>
                <c:pt idx="1017">
                  <c:v>9</c:v>
                </c:pt>
                <c:pt idx="1018">
                  <c:v>7</c:v>
                </c:pt>
                <c:pt idx="1019">
                  <c:v>10</c:v>
                </c:pt>
                <c:pt idx="1020">
                  <c:v>5</c:v>
                </c:pt>
                <c:pt idx="1021">
                  <c:v>6</c:v>
                </c:pt>
                <c:pt idx="1022">
                  <c:v>5</c:v>
                </c:pt>
                <c:pt idx="1023">
                  <c:v>5</c:v>
                </c:pt>
                <c:pt idx="1024">
                  <c:v>10</c:v>
                </c:pt>
                <c:pt idx="1025">
                  <c:v>8</c:v>
                </c:pt>
                <c:pt idx="1026">
                  <c:v>1</c:v>
                </c:pt>
                <c:pt idx="1027">
                  <c:v>3</c:v>
                </c:pt>
                <c:pt idx="1028">
                  <c:v>8</c:v>
                </c:pt>
                <c:pt idx="1029">
                  <c:v>1</c:v>
                </c:pt>
                <c:pt idx="1030">
                  <c:v>9</c:v>
                </c:pt>
                <c:pt idx="1031">
                  <c:v>9</c:v>
                </c:pt>
                <c:pt idx="1032">
                  <c:v>8</c:v>
                </c:pt>
                <c:pt idx="1033">
                  <c:v>7</c:v>
                </c:pt>
                <c:pt idx="1034">
                  <c:v>9</c:v>
                </c:pt>
                <c:pt idx="1035">
                  <c:v>10</c:v>
                </c:pt>
                <c:pt idx="1036">
                  <c:v>2</c:v>
                </c:pt>
                <c:pt idx="1037">
                  <c:v>1</c:v>
                </c:pt>
                <c:pt idx="1038">
                  <c:v>5</c:v>
                </c:pt>
                <c:pt idx="1039">
                  <c:v>9</c:v>
                </c:pt>
                <c:pt idx="1040">
                  <c:v>7</c:v>
                </c:pt>
                <c:pt idx="1041">
                  <c:v>7</c:v>
                </c:pt>
                <c:pt idx="1042">
                  <c:v>3</c:v>
                </c:pt>
                <c:pt idx="1043">
                  <c:v>10</c:v>
                </c:pt>
                <c:pt idx="1044">
                  <c:v>5</c:v>
                </c:pt>
                <c:pt idx="1045">
                  <c:v>8</c:v>
                </c:pt>
                <c:pt idx="1046">
                  <c:v>10</c:v>
                </c:pt>
                <c:pt idx="1047">
                  <c:v>3</c:v>
                </c:pt>
                <c:pt idx="1048">
                  <c:v>2</c:v>
                </c:pt>
                <c:pt idx="1049">
                  <c:v>3</c:v>
                </c:pt>
                <c:pt idx="1050">
                  <c:v>10</c:v>
                </c:pt>
                <c:pt idx="1051">
                  <c:v>3</c:v>
                </c:pt>
                <c:pt idx="1052">
                  <c:v>10</c:v>
                </c:pt>
                <c:pt idx="1053">
                  <c:v>7</c:v>
                </c:pt>
                <c:pt idx="1054">
                  <c:v>6</c:v>
                </c:pt>
                <c:pt idx="1055">
                  <c:v>2</c:v>
                </c:pt>
                <c:pt idx="1056">
                  <c:v>10</c:v>
                </c:pt>
                <c:pt idx="1057">
                  <c:v>6</c:v>
                </c:pt>
                <c:pt idx="1058">
                  <c:v>2</c:v>
                </c:pt>
                <c:pt idx="1059">
                  <c:v>2</c:v>
                </c:pt>
                <c:pt idx="1060">
                  <c:v>6</c:v>
                </c:pt>
                <c:pt idx="1061">
                  <c:v>5</c:v>
                </c:pt>
                <c:pt idx="1062">
                  <c:v>2</c:v>
                </c:pt>
                <c:pt idx="1063">
                  <c:v>6</c:v>
                </c:pt>
                <c:pt idx="1064">
                  <c:v>2</c:v>
                </c:pt>
                <c:pt idx="1065">
                  <c:v>4</c:v>
                </c:pt>
                <c:pt idx="1066">
                  <c:v>4</c:v>
                </c:pt>
                <c:pt idx="1067">
                  <c:v>8</c:v>
                </c:pt>
                <c:pt idx="1068">
                  <c:v>4</c:v>
                </c:pt>
                <c:pt idx="1069">
                  <c:v>7</c:v>
                </c:pt>
                <c:pt idx="1070">
                  <c:v>1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6</c:v>
                </c:pt>
                <c:pt idx="1075">
                  <c:v>6</c:v>
                </c:pt>
                <c:pt idx="1076">
                  <c:v>9</c:v>
                </c:pt>
                <c:pt idx="1077">
                  <c:v>6</c:v>
                </c:pt>
                <c:pt idx="1078">
                  <c:v>6</c:v>
                </c:pt>
                <c:pt idx="1079">
                  <c:v>2</c:v>
                </c:pt>
                <c:pt idx="1080">
                  <c:v>4</c:v>
                </c:pt>
                <c:pt idx="1081">
                  <c:v>8</c:v>
                </c:pt>
                <c:pt idx="1082">
                  <c:v>7</c:v>
                </c:pt>
                <c:pt idx="1083">
                  <c:v>3</c:v>
                </c:pt>
                <c:pt idx="1084">
                  <c:v>8</c:v>
                </c:pt>
                <c:pt idx="1085">
                  <c:v>3</c:v>
                </c:pt>
                <c:pt idx="1086">
                  <c:v>7</c:v>
                </c:pt>
                <c:pt idx="1087">
                  <c:v>5</c:v>
                </c:pt>
                <c:pt idx="1088">
                  <c:v>9</c:v>
                </c:pt>
                <c:pt idx="1089">
                  <c:v>7</c:v>
                </c:pt>
                <c:pt idx="1090">
                  <c:v>3</c:v>
                </c:pt>
                <c:pt idx="1091">
                  <c:v>9</c:v>
                </c:pt>
                <c:pt idx="1092">
                  <c:v>8</c:v>
                </c:pt>
                <c:pt idx="1093">
                  <c:v>4</c:v>
                </c:pt>
                <c:pt idx="1094">
                  <c:v>7</c:v>
                </c:pt>
                <c:pt idx="1095">
                  <c:v>1</c:v>
                </c:pt>
                <c:pt idx="1096">
                  <c:v>4</c:v>
                </c:pt>
                <c:pt idx="1097">
                  <c:v>5</c:v>
                </c:pt>
                <c:pt idx="1098">
                  <c:v>6</c:v>
                </c:pt>
                <c:pt idx="1099">
                  <c:v>3</c:v>
                </c:pt>
                <c:pt idx="1100">
                  <c:v>3</c:v>
                </c:pt>
                <c:pt idx="1101">
                  <c:v>9</c:v>
                </c:pt>
                <c:pt idx="1102">
                  <c:v>1</c:v>
                </c:pt>
                <c:pt idx="1103">
                  <c:v>2</c:v>
                </c:pt>
                <c:pt idx="1104">
                  <c:v>10</c:v>
                </c:pt>
                <c:pt idx="1105">
                  <c:v>6</c:v>
                </c:pt>
                <c:pt idx="1106">
                  <c:v>7</c:v>
                </c:pt>
                <c:pt idx="1107">
                  <c:v>1</c:v>
                </c:pt>
                <c:pt idx="1108">
                  <c:v>5</c:v>
                </c:pt>
                <c:pt idx="1109">
                  <c:v>6</c:v>
                </c:pt>
                <c:pt idx="1110">
                  <c:v>9</c:v>
                </c:pt>
                <c:pt idx="1111">
                  <c:v>6</c:v>
                </c:pt>
                <c:pt idx="1112">
                  <c:v>1</c:v>
                </c:pt>
                <c:pt idx="1113">
                  <c:v>9</c:v>
                </c:pt>
                <c:pt idx="1114">
                  <c:v>3</c:v>
                </c:pt>
                <c:pt idx="1115">
                  <c:v>9</c:v>
                </c:pt>
                <c:pt idx="1116">
                  <c:v>7</c:v>
                </c:pt>
                <c:pt idx="1117">
                  <c:v>4</c:v>
                </c:pt>
                <c:pt idx="1118">
                  <c:v>1</c:v>
                </c:pt>
                <c:pt idx="1119">
                  <c:v>8</c:v>
                </c:pt>
                <c:pt idx="1120">
                  <c:v>1</c:v>
                </c:pt>
                <c:pt idx="1121">
                  <c:v>2</c:v>
                </c:pt>
                <c:pt idx="1122">
                  <c:v>2</c:v>
                </c:pt>
                <c:pt idx="1123">
                  <c:v>9</c:v>
                </c:pt>
                <c:pt idx="1124">
                  <c:v>6</c:v>
                </c:pt>
                <c:pt idx="1125">
                  <c:v>3</c:v>
                </c:pt>
                <c:pt idx="1126">
                  <c:v>3</c:v>
                </c:pt>
                <c:pt idx="1127">
                  <c:v>8</c:v>
                </c:pt>
                <c:pt idx="1128">
                  <c:v>9</c:v>
                </c:pt>
                <c:pt idx="1129">
                  <c:v>10</c:v>
                </c:pt>
                <c:pt idx="1130">
                  <c:v>8</c:v>
                </c:pt>
                <c:pt idx="1131">
                  <c:v>5</c:v>
                </c:pt>
                <c:pt idx="1132">
                  <c:v>5</c:v>
                </c:pt>
                <c:pt idx="1133">
                  <c:v>10</c:v>
                </c:pt>
                <c:pt idx="1134">
                  <c:v>10</c:v>
                </c:pt>
                <c:pt idx="1135">
                  <c:v>6</c:v>
                </c:pt>
                <c:pt idx="1136">
                  <c:v>8</c:v>
                </c:pt>
                <c:pt idx="1137">
                  <c:v>9</c:v>
                </c:pt>
                <c:pt idx="1138">
                  <c:v>6</c:v>
                </c:pt>
                <c:pt idx="1139">
                  <c:v>1</c:v>
                </c:pt>
                <c:pt idx="1140">
                  <c:v>4</c:v>
                </c:pt>
                <c:pt idx="1141">
                  <c:v>7</c:v>
                </c:pt>
                <c:pt idx="1142">
                  <c:v>1</c:v>
                </c:pt>
                <c:pt idx="1143">
                  <c:v>9</c:v>
                </c:pt>
                <c:pt idx="1144">
                  <c:v>3</c:v>
                </c:pt>
                <c:pt idx="1145">
                  <c:v>3</c:v>
                </c:pt>
                <c:pt idx="1146">
                  <c:v>1</c:v>
                </c:pt>
                <c:pt idx="1147">
                  <c:v>6</c:v>
                </c:pt>
                <c:pt idx="1148">
                  <c:v>10</c:v>
                </c:pt>
                <c:pt idx="1149">
                  <c:v>2</c:v>
                </c:pt>
                <c:pt idx="1150">
                  <c:v>7</c:v>
                </c:pt>
                <c:pt idx="1151">
                  <c:v>3</c:v>
                </c:pt>
                <c:pt idx="1152">
                  <c:v>10</c:v>
                </c:pt>
                <c:pt idx="1153">
                  <c:v>8</c:v>
                </c:pt>
                <c:pt idx="1154">
                  <c:v>1</c:v>
                </c:pt>
                <c:pt idx="1155">
                  <c:v>5</c:v>
                </c:pt>
                <c:pt idx="1156">
                  <c:v>9</c:v>
                </c:pt>
                <c:pt idx="1157">
                  <c:v>6</c:v>
                </c:pt>
                <c:pt idx="1158">
                  <c:v>3</c:v>
                </c:pt>
                <c:pt idx="1159">
                  <c:v>5</c:v>
                </c:pt>
                <c:pt idx="1160">
                  <c:v>3</c:v>
                </c:pt>
                <c:pt idx="1161">
                  <c:v>2</c:v>
                </c:pt>
                <c:pt idx="1162">
                  <c:v>6</c:v>
                </c:pt>
                <c:pt idx="1163">
                  <c:v>3</c:v>
                </c:pt>
                <c:pt idx="1164">
                  <c:v>4</c:v>
                </c:pt>
                <c:pt idx="1165">
                  <c:v>7</c:v>
                </c:pt>
                <c:pt idx="1166">
                  <c:v>2</c:v>
                </c:pt>
                <c:pt idx="1167">
                  <c:v>2</c:v>
                </c:pt>
                <c:pt idx="1168">
                  <c:v>3</c:v>
                </c:pt>
                <c:pt idx="1169">
                  <c:v>7</c:v>
                </c:pt>
                <c:pt idx="1170">
                  <c:v>7</c:v>
                </c:pt>
                <c:pt idx="1171">
                  <c:v>6</c:v>
                </c:pt>
                <c:pt idx="1172">
                  <c:v>10</c:v>
                </c:pt>
                <c:pt idx="1173">
                  <c:v>3</c:v>
                </c:pt>
                <c:pt idx="1174">
                  <c:v>7</c:v>
                </c:pt>
                <c:pt idx="1175">
                  <c:v>3</c:v>
                </c:pt>
                <c:pt idx="1176">
                  <c:v>3</c:v>
                </c:pt>
                <c:pt idx="1177">
                  <c:v>6</c:v>
                </c:pt>
                <c:pt idx="1178">
                  <c:v>1</c:v>
                </c:pt>
                <c:pt idx="1179">
                  <c:v>8</c:v>
                </c:pt>
                <c:pt idx="1180">
                  <c:v>1</c:v>
                </c:pt>
                <c:pt idx="1181">
                  <c:v>3</c:v>
                </c:pt>
                <c:pt idx="1182">
                  <c:v>5</c:v>
                </c:pt>
                <c:pt idx="1183">
                  <c:v>10</c:v>
                </c:pt>
                <c:pt idx="1184">
                  <c:v>9</c:v>
                </c:pt>
                <c:pt idx="1185">
                  <c:v>6</c:v>
                </c:pt>
                <c:pt idx="1186">
                  <c:v>8</c:v>
                </c:pt>
                <c:pt idx="1187">
                  <c:v>5</c:v>
                </c:pt>
                <c:pt idx="1188">
                  <c:v>4</c:v>
                </c:pt>
                <c:pt idx="1189">
                  <c:v>2</c:v>
                </c:pt>
                <c:pt idx="1190">
                  <c:v>9</c:v>
                </c:pt>
                <c:pt idx="1191">
                  <c:v>8</c:v>
                </c:pt>
                <c:pt idx="1192">
                  <c:v>9</c:v>
                </c:pt>
                <c:pt idx="1193">
                  <c:v>1</c:v>
                </c:pt>
                <c:pt idx="1194">
                  <c:v>8</c:v>
                </c:pt>
                <c:pt idx="1195">
                  <c:v>6</c:v>
                </c:pt>
                <c:pt idx="1196">
                  <c:v>4</c:v>
                </c:pt>
                <c:pt idx="1197">
                  <c:v>8</c:v>
                </c:pt>
                <c:pt idx="1198">
                  <c:v>9</c:v>
                </c:pt>
                <c:pt idx="1199">
                  <c:v>5</c:v>
                </c:pt>
                <c:pt idx="1200">
                  <c:v>4</c:v>
                </c:pt>
                <c:pt idx="1201">
                  <c:v>4</c:v>
                </c:pt>
                <c:pt idx="1202">
                  <c:v>7</c:v>
                </c:pt>
                <c:pt idx="1203">
                  <c:v>7</c:v>
                </c:pt>
                <c:pt idx="1204">
                  <c:v>6</c:v>
                </c:pt>
                <c:pt idx="1205">
                  <c:v>2</c:v>
                </c:pt>
                <c:pt idx="1206">
                  <c:v>1</c:v>
                </c:pt>
                <c:pt idx="1207">
                  <c:v>4</c:v>
                </c:pt>
                <c:pt idx="1208">
                  <c:v>6</c:v>
                </c:pt>
                <c:pt idx="1209">
                  <c:v>2</c:v>
                </c:pt>
                <c:pt idx="1210">
                  <c:v>5</c:v>
                </c:pt>
                <c:pt idx="1211">
                  <c:v>2</c:v>
                </c:pt>
                <c:pt idx="1212">
                  <c:v>1</c:v>
                </c:pt>
                <c:pt idx="1213">
                  <c:v>7</c:v>
                </c:pt>
                <c:pt idx="1214">
                  <c:v>4</c:v>
                </c:pt>
                <c:pt idx="1215">
                  <c:v>9</c:v>
                </c:pt>
                <c:pt idx="1216">
                  <c:v>4</c:v>
                </c:pt>
                <c:pt idx="1217">
                  <c:v>10</c:v>
                </c:pt>
                <c:pt idx="1218">
                  <c:v>7</c:v>
                </c:pt>
                <c:pt idx="1219">
                  <c:v>8</c:v>
                </c:pt>
                <c:pt idx="1220">
                  <c:v>10</c:v>
                </c:pt>
                <c:pt idx="1221">
                  <c:v>10</c:v>
                </c:pt>
                <c:pt idx="1222">
                  <c:v>4</c:v>
                </c:pt>
                <c:pt idx="1223">
                  <c:v>2</c:v>
                </c:pt>
                <c:pt idx="1224">
                  <c:v>9</c:v>
                </c:pt>
                <c:pt idx="1225">
                  <c:v>8</c:v>
                </c:pt>
                <c:pt idx="1226">
                  <c:v>1</c:v>
                </c:pt>
                <c:pt idx="1227">
                  <c:v>3</c:v>
                </c:pt>
                <c:pt idx="1228">
                  <c:v>1</c:v>
                </c:pt>
                <c:pt idx="1229">
                  <c:v>7</c:v>
                </c:pt>
                <c:pt idx="1230">
                  <c:v>1</c:v>
                </c:pt>
                <c:pt idx="1231">
                  <c:v>2</c:v>
                </c:pt>
                <c:pt idx="1232">
                  <c:v>5</c:v>
                </c:pt>
                <c:pt idx="1233">
                  <c:v>3</c:v>
                </c:pt>
                <c:pt idx="1234">
                  <c:v>2</c:v>
                </c:pt>
                <c:pt idx="1235">
                  <c:v>8</c:v>
                </c:pt>
                <c:pt idx="1236">
                  <c:v>9</c:v>
                </c:pt>
                <c:pt idx="1237">
                  <c:v>1</c:v>
                </c:pt>
                <c:pt idx="1238">
                  <c:v>7</c:v>
                </c:pt>
                <c:pt idx="1239">
                  <c:v>1</c:v>
                </c:pt>
                <c:pt idx="1240">
                  <c:v>5</c:v>
                </c:pt>
                <c:pt idx="1241">
                  <c:v>5</c:v>
                </c:pt>
                <c:pt idx="1242">
                  <c:v>2</c:v>
                </c:pt>
                <c:pt idx="1243">
                  <c:v>7</c:v>
                </c:pt>
                <c:pt idx="1244">
                  <c:v>8</c:v>
                </c:pt>
                <c:pt idx="1245">
                  <c:v>6</c:v>
                </c:pt>
                <c:pt idx="1246">
                  <c:v>5</c:v>
                </c:pt>
                <c:pt idx="1247">
                  <c:v>7</c:v>
                </c:pt>
                <c:pt idx="1248">
                  <c:v>10</c:v>
                </c:pt>
                <c:pt idx="1249">
                  <c:v>8</c:v>
                </c:pt>
                <c:pt idx="1250">
                  <c:v>10</c:v>
                </c:pt>
                <c:pt idx="1251">
                  <c:v>7</c:v>
                </c:pt>
                <c:pt idx="1252">
                  <c:v>4</c:v>
                </c:pt>
                <c:pt idx="1253">
                  <c:v>5</c:v>
                </c:pt>
                <c:pt idx="1254">
                  <c:v>1</c:v>
                </c:pt>
                <c:pt idx="1255">
                  <c:v>10</c:v>
                </c:pt>
                <c:pt idx="1256">
                  <c:v>7</c:v>
                </c:pt>
                <c:pt idx="1257">
                  <c:v>9</c:v>
                </c:pt>
                <c:pt idx="1258">
                  <c:v>4</c:v>
                </c:pt>
                <c:pt idx="1259">
                  <c:v>2</c:v>
                </c:pt>
                <c:pt idx="1260">
                  <c:v>8</c:v>
                </c:pt>
                <c:pt idx="1261">
                  <c:v>1</c:v>
                </c:pt>
                <c:pt idx="1262">
                  <c:v>9</c:v>
                </c:pt>
                <c:pt idx="1263">
                  <c:v>6</c:v>
                </c:pt>
                <c:pt idx="1264">
                  <c:v>4</c:v>
                </c:pt>
                <c:pt idx="1265">
                  <c:v>9</c:v>
                </c:pt>
                <c:pt idx="1266">
                  <c:v>2</c:v>
                </c:pt>
                <c:pt idx="1267">
                  <c:v>9</c:v>
                </c:pt>
                <c:pt idx="1268">
                  <c:v>9</c:v>
                </c:pt>
                <c:pt idx="1269">
                  <c:v>1</c:v>
                </c:pt>
                <c:pt idx="1270">
                  <c:v>8</c:v>
                </c:pt>
                <c:pt idx="1271">
                  <c:v>1</c:v>
                </c:pt>
                <c:pt idx="1272">
                  <c:v>1</c:v>
                </c:pt>
                <c:pt idx="1273">
                  <c:v>4</c:v>
                </c:pt>
                <c:pt idx="1274">
                  <c:v>9</c:v>
                </c:pt>
                <c:pt idx="1275">
                  <c:v>4</c:v>
                </c:pt>
                <c:pt idx="1276">
                  <c:v>4</c:v>
                </c:pt>
                <c:pt idx="1277">
                  <c:v>9</c:v>
                </c:pt>
                <c:pt idx="1278">
                  <c:v>3</c:v>
                </c:pt>
                <c:pt idx="1279">
                  <c:v>10</c:v>
                </c:pt>
                <c:pt idx="1280">
                  <c:v>4</c:v>
                </c:pt>
                <c:pt idx="1281">
                  <c:v>1</c:v>
                </c:pt>
                <c:pt idx="1282">
                  <c:v>2</c:v>
                </c:pt>
                <c:pt idx="1283">
                  <c:v>9</c:v>
                </c:pt>
                <c:pt idx="1284">
                  <c:v>6</c:v>
                </c:pt>
                <c:pt idx="1285">
                  <c:v>2</c:v>
                </c:pt>
                <c:pt idx="1286">
                  <c:v>9</c:v>
                </c:pt>
                <c:pt idx="1287">
                  <c:v>4</c:v>
                </c:pt>
                <c:pt idx="1288">
                  <c:v>5</c:v>
                </c:pt>
                <c:pt idx="1289">
                  <c:v>2</c:v>
                </c:pt>
                <c:pt idx="1290">
                  <c:v>3</c:v>
                </c:pt>
                <c:pt idx="1291">
                  <c:v>10</c:v>
                </c:pt>
                <c:pt idx="1292">
                  <c:v>3</c:v>
                </c:pt>
                <c:pt idx="1293">
                  <c:v>7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3</c:v>
                </c:pt>
                <c:pt idx="1298">
                  <c:v>5</c:v>
                </c:pt>
                <c:pt idx="1299">
                  <c:v>1</c:v>
                </c:pt>
                <c:pt idx="1300">
                  <c:v>6</c:v>
                </c:pt>
                <c:pt idx="1301">
                  <c:v>4</c:v>
                </c:pt>
                <c:pt idx="1302">
                  <c:v>9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7</c:v>
                </c:pt>
                <c:pt idx="1307">
                  <c:v>7</c:v>
                </c:pt>
                <c:pt idx="1308">
                  <c:v>10</c:v>
                </c:pt>
                <c:pt idx="1309">
                  <c:v>10</c:v>
                </c:pt>
                <c:pt idx="1310">
                  <c:v>9</c:v>
                </c:pt>
                <c:pt idx="1311">
                  <c:v>10</c:v>
                </c:pt>
                <c:pt idx="1312">
                  <c:v>3</c:v>
                </c:pt>
                <c:pt idx="1313">
                  <c:v>8</c:v>
                </c:pt>
                <c:pt idx="1314">
                  <c:v>8</c:v>
                </c:pt>
                <c:pt idx="1315">
                  <c:v>5</c:v>
                </c:pt>
                <c:pt idx="1316">
                  <c:v>3</c:v>
                </c:pt>
                <c:pt idx="1317">
                  <c:v>10</c:v>
                </c:pt>
                <c:pt idx="1318">
                  <c:v>8</c:v>
                </c:pt>
                <c:pt idx="1319">
                  <c:v>9</c:v>
                </c:pt>
                <c:pt idx="1320">
                  <c:v>2</c:v>
                </c:pt>
                <c:pt idx="1321">
                  <c:v>9</c:v>
                </c:pt>
                <c:pt idx="1322">
                  <c:v>8</c:v>
                </c:pt>
                <c:pt idx="1323">
                  <c:v>1</c:v>
                </c:pt>
                <c:pt idx="1324">
                  <c:v>10</c:v>
                </c:pt>
                <c:pt idx="1325">
                  <c:v>6</c:v>
                </c:pt>
                <c:pt idx="1326">
                  <c:v>6</c:v>
                </c:pt>
                <c:pt idx="1327">
                  <c:v>1</c:v>
                </c:pt>
                <c:pt idx="1328">
                  <c:v>8</c:v>
                </c:pt>
                <c:pt idx="1329">
                  <c:v>6</c:v>
                </c:pt>
                <c:pt idx="1330">
                  <c:v>6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3</c:v>
                </c:pt>
                <c:pt idx="1335">
                  <c:v>2</c:v>
                </c:pt>
                <c:pt idx="1336">
                  <c:v>3</c:v>
                </c:pt>
                <c:pt idx="1337">
                  <c:v>10</c:v>
                </c:pt>
                <c:pt idx="1338">
                  <c:v>5</c:v>
                </c:pt>
                <c:pt idx="1339">
                  <c:v>5</c:v>
                </c:pt>
                <c:pt idx="1340">
                  <c:v>8</c:v>
                </c:pt>
                <c:pt idx="1341">
                  <c:v>4</c:v>
                </c:pt>
                <c:pt idx="1342">
                  <c:v>7</c:v>
                </c:pt>
                <c:pt idx="1343">
                  <c:v>10</c:v>
                </c:pt>
                <c:pt idx="1344">
                  <c:v>3</c:v>
                </c:pt>
                <c:pt idx="1345">
                  <c:v>8</c:v>
                </c:pt>
                <c:pt idx="1346">
                  <c:v>8</c:v>
                </c:pt>
                <c:pt idx="1347">
                  <c:v>6</c:v>
                </c:pt>
                <c:pt idx="1348">
                  <c:v>1</c:v>
                </c:pt>
                <c:pt idx="1349">
                  <c:v>7</c:v>
                </c:pt>
                <c:pt idx="1350">
                  <c:v>6</c:v>
                </c:pt>
                <c:pt idx="1351">
                  <c:v>7</c:v>
                </c:pt>
                <c:pt idx="1352">
                  <c:v>1</c:v>
                </c:pt>
                <c:pt idx="1353">
                  <c:v>9</c:v>
                </c:pt>
                <c:pt idx="1354">
                  <c:v>2</c:v>
                </c:pt>
                <c:pt idx="1355">
                  <c:v>2</c:v>
                </c:pt>
                <c:pt idx="1356">
                  <c:v>6</c:v>
                </c:pt>
                <c:pt idx="1357">
                  <c:v>9</c:v>
                </c:pt>
                <c:pt idx="1358">
                  <c:v>9</c:v>
                </c:pt>
                <c:pt idx="1359">
                  <c:v>1</c:v>
                </c:pt>
                <c:pt idx="1360">
                  <c:v>10</c:v>
                </c:pt>
                <c:pt idx="1361">
                  <c:v>3</c:v>
                </c:pt>
                <c:pt idx="1362">
                  <c:v>3</c:v>
                </c:pt>
                <c:pt idx="1363">
                  <c:v>10</c:v>
                </c:pt>
                <c:pt idx="1364">
                  <c:v>8</c:v>
                </c:pt>
                <c:pt idx="1365">
                  <c:v>2</c:v>
                </c:pt>
                <c:pt idx="1366">
                  <c:v>7</c:v>
                </c:pt>
                <c:pt idx="1367">
                  <c:v>3</c:v>
                </c:pt>
                <c:pt idx="1368">
                  <c:v>1</c:v>
                </c:pt>
                <c:pt idx="1369">
                  <c:v>10</c:v>
                </c:pt>
                <c:pt idx="1370">
                  <c:v>2</c:v>
                </c:pt>
                <c:pt idx="1371">
                  <c:v>5</c:v>
                </c:pt>
                <c:pt idx="1372">
                  <c:v>8</c:v>
                </c:pt>
                <c:pt idx="1373">
                  <c:v>4</c:v>
                </c:pt>
                <c:pt idx="1374">
                  <c:v>9</c:v>
                </c:pt>
                <c:pt idx="1375">
                  <c:v>6</c:v>
                </c:pt>
                <c:pt idx="1376">
                  <c:v>1</c:v>
                </c:pt>
                <c:pt idx="1377">
                  <c:v>1</c:v>
                </c:pt>
                <c:pt idx="1378">
                  <c:v>5</c:v>
                </c:pt>
                <c:pt idx="1379">
                  <c:v>4</c:v>
                </c:pt>
                <c:pt idx="1380">
                  <c:v>2</c:v>
                </c:pt>
                <c:pt idx="1381">
                  <c:v>9</c:v>
                </c:pt>
                <c:pt idx="1382">
                  <c:v>7</c:v>
                </c:pt>
                <c:pt idx="1383">
                  <c:v>6</c:v>
                </c:pt>
                <c:pt idx="1384">
                  <c:v>7</c:v>
                </c:pt>
                <c:pt idx="1385">
                  <c:v>6</c:v>
                </c:pt>
                <c:pt idx="1386">
                  <c:v>6</c:v>
                </c:pt>
                <c:pt idx="1387">
                  <c:v>8</c:v>
                </c:pt>
                <c:pt idx="1388">
                  <c:v>1</c:v>
                </c:pt>
                <c:pt idx="1389">
                  <c:v>5</c:v>
                </c:pt>
                <c:pt idx="1390">
                  <c:v>7</c:v>
                </c:pt>
                <c:pt idx="1391">
                  <c:v>10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1</c:v>
                </c:pt>
                <c:pt idx="1396">
                  <c:v>7</c:v>
                </c:pt>
                <c:pt idx="1397">
                  <c:v>7</c:v>
                </c:pt>
                <c:pt idx="1398">
                  <c:v>1</c:v>
                </c:pt>
                <c:pt idx="1399">
                  <c:v>1</c:v>
                </c:pt>
                <c:pt idx="1400">
                  <c:v>8</c:v>
                </c:pt>
                <c:pt idx="1401">
                  <c:v>8</c:v>
                </c:pt>
                <c:pt idx="1402">
                  <c:v>10</c:v>
                </c:pt>
                <c:pt idx="1403">
                  <c:v>6</c:v>
                </c:pt>
                <c:pt idx="1404">
                  <c:v>1</c:v>
                </c:pt>
                <c:pt idx="1405">
                  <c:v>3</c:v>
                </c:pt>
                <c:pt idx="1406">
                  <c:v>10</c:v>
                </c:pt>
                <c:pt idx="1407">
                  <c:v>4</c:v>
                </c:pt>
                <c:pt idx="1408">
                  <c:v>10</c:v>
                </c:pt>
                <c:pt idx="1409">
                  <c:v>2</c:v>
                </c:pt>
                <c:pt idx="1410">
                  <c:v>4</c:v>
                </c:pt>
                <c:pt idx="1411">
                  <c:v>10</c:v>
                </c:pt>
                <c:pt idx="1412">
                  <c:v>5</c:v>
                </c:pt>
                <c:pt idx="1413">
                  <c:v>10</c:v>
                </c:pt>
                <c:pt idx="1414">
                  <c:v>6</c:v>
                </c:pt>
                <c:pt idx="1415">
                  <c:v>6</c:v>
                </c:pt>
                <c:pt idx="1416">
                  <c:v>7</c:v>
                </c:pt>
                <c:pt idx="1417">
                  <c:v>9</c:v>
                </c:pt>
                <c:pt idx="1418">
                  <c:v>5</c:v>
                </c:pt>
                <c:pt idx="1419">
                  <c:v>9</c:v>
                </c:pt>
                <c:pt idx="1420">
                  <c:v>8</c:v>
                </c:pt>
                <c:pt idx="1421">
                  <c:v>8</c:v>
                </c:pt>
                <c:pt idx="1422">
                  <c:v>10</c:v>
                </c:pt>
                <c:pt idx="1423">
                  <c:v>2</c:v>
                </c:pt>
                <c:pt idx="1424">
                  <c:v>9</c:v>
                </c:pt>
                <c:pt idx="1425">
                  <c:v>8</c:v>
                </c:pt>
                <c:pt idx="1426">
                  <c:v>9</c:v>
                </c:pt>
                <c:pt idx="1427">
                  <c:v>5</c:v>
                </c:pt>
                <c:pt idx="1428">
                  <c:v>5</c:v>
                </c:pt>
                <c:pt idx="1429">
                  <c:v>6</c:v>
                </c:pt>
                <c:pt idx="1430">
                  <c:v>1</c:v>
                </c:pt>
                <c:pt idx="1431">
                  <c:v>1</c:v>
                </c:pt>
                <c:pt idx="1432">
                  <c:v>2</c:v>
                </c:pt>
                <c:pt idx="1433">
                  <c:v>9</c:v>
                </c:pt>
                <c:pt idx="1434">
                  <c:v>3</c:v>
                </c:pt>
                <c:pt idx="1435">
                  <c:v>6</c:v>
                </c:pt>
                <c:pt idx="1436">
                  <c:v>10</c:v>
                </c:pt>
                <c:pt idx="1437">
                  <c:v>10</c:v>
                </c:pt>
                <c:pt idx="1438">
                  <c:v>9</c:v>
                </c:pt>
                <c:pt idx="1439">
                  <c:v>7</c:v>
                </c:pt>
                <c:pt idx="1440">
                  <c:v>1</c:v>
                </c:pt>
                <c:pt idx="1441">
                  <c:v>5</c:v>
                </c:pt>
                <c:pt idx="1442">
                  <c:v>8</c:v>
                </c:pt>
                <c:pt idx="1443">
                  <c:v>6</c:v>
                </c:pt>
                <c:pt idx="1444">
                  <c:v>1</c:v>
                </c:pt>
                <c:pt idx="1445">
                  <c:v>2</c:v>
                </c:pt>
                <c:pt idx="1446">
                  <c:v>8</c:v>
                </c:pt>
                <c:pt idx="1447">
                  <c:v>6</c:v>
                </c:pt>
                <c:pt idx="1448">
                  <c:v>7</c:v>
                </c:pt>
                <c:pt idx="1449">
                  <c:v>3</c:v>
                </c:pt>
                <c:pt idx="1450">
                  <c:v>5</c:v>
                </c:pt>
                <c:pt idx="1451">
                  <c:v>1</c:v>
                </c:pt>
                <c:pt idx="1452">
                  <c:v>7</c:v>
                </c:pt>
                <c:pt idx="1453">
                  <c:v>4</c:v>
                </c:pt>
                <c:pt idx="1454">
                  <c:v>8</c:v>
                </c:pt>
                <c:pt idx="1455">
                  <c:v>9</c:v>
                </c:pt>
                <c:pt idx="1456">
                  <c:v>4</c:v>
                </c:pt>
                <c:pt idx="1457">
                  <c:v>3</c:v>
                </c:pt>
                <c:pt idx="1458">
                  <c:v>2</c:v>
                </c:pt>
                <c:pt idx="1459">
                  <c:v>3</c:v>
                </c:pt>
                <c:pt idx="1460">
                  <c:v>5</c:v>
                </c:pt>
                <c:pt idx="1461">
                  <c:v>7</c:v>
                </c:pt>
                <c:pt idx="1462">
                  <c:v>1</c:v>
                </c:pt>
                <c:pt idx="1463">
                  <c:v>6</c:v>
                </c:pt>
                <c:pt idx="1464">
                  <c:v>6</c:v>
                </c:pt>
                <c:pt idx="1465">
                  <c:v>6</c:v>
                </c:pt>
                <c:pt idx="1466">
                  <c:v>3</c:v>
                </c:pt>
                <c:pt idx="1467">
                  <c:v>10</c:v>
                </c:pt>
                <c:pt idx="1468">
                  <c:v>1</c:v>
                </c:pt>
                <c:pt idx="1469">
                  <c:v>2</c:v>
                </c:pt>
                <c:pt idx="1470">
                  <c:v>8</c:v>
                </c:pt>
                <c:pt idx="1471">
                  <c:v>8</c:v>
                </c:pt>
                <c:pt idx="1472">
                  <c:v>6</c:v>
                </c:pt>
                <c:pt idx="1473">
                  <c:v>7</c:v>
                </c:pt>
                <c:pt idx="1474">
                  <c:v>1</c:v>
                </c:pt>
                <c:pt idx="1475">
                  <c:v>5</c:v>
                </c:pt>
                <c:pt idx="1476">
                  <c:v>6</c:v>
                </c:pt>
                <c:pt idx="1477">
                  <c:v>3</c:v>
                </c:pt>
                <c:pt idx="1478">
                  <c:v>3</c:v>
                </c:pt>
                <c:pt idx="1479">
                  <c:v>4</c:v>
                </c:pt>
                <c:pt idx="1480">
                  <c:v>7</c:v>
                </c:pt>
                <c:pt idx="1481">
                  <c:v>8</c:v>
                </c:pt>
                <c:pt idx="1482">
                  <c:v>9</c:v>
                </c:pt>
                <c:pt idx="1483">
                  <c:v>7</c:v>
                </c:pt>
                <c:pt idx="1484">
                  <c:v>1</c:v>
                </c:pt>
                <c:pt idx="1485">
                  <c:v>7</c:v>
                </c:pt>
                <c:pt idx="1486">
                  <c:v>5</c:v>
                </c:pt>
                <c:pt idx="1487">
                  <c:v>9</c:v>
                </c:pt>
                <c:pt idx="1488">
                  <c:v>3</c:v>
                </c:pt>
                <c:pt idx="1489">
                  <c:v>6</c:v>
                </c:pt>
                <c:pt idx="1490">
                  <c:v>2</c:v>
                </c:pt>
                <c:pt idx="1491">
                  <c:v>1</c:v>
                </c:pt>
                <c:pt idx="1492">
                  <c:v>5</c:v>
                </c:pt>
                <c:pt idx="1493">
                  <c:v>9</c:v>
                </c:pt>
                <c:pt idx="1494">
                  <c:v>1</c:v>
                </c:pt>
                <c:pt idx="1495">
                  <c:v>8</c:v>
                </c:pt>
                <c:pt idx="1496">
                  <c:v>9</c:v>
                </c:pt>
                <c:pt idx="1497">
                  <c:v>2</c:v>
                </c:pt>
                <c:pt idx="1498">
                  <c:v>5</c:v>
                </c:pt>
                <c:pt idx="1499">
                  <c:v>5</c:v>
                </c:pt>
                <c:pt idx="1500">
                  <c:v>7</c:v>
                </c:pt>
                <c:pt idx="1501">
                  <c:v>2</c:v>
                </c:pt>
                <c:pt idx="1502">
                  <c:v>3</c:v>
                </c:pt>
                <c:pt idx="1503">
                  <c:v>1</c:v>
                </c:pt>
                <c:pt idx="1504">
                  <c:v>6</c:v>
                </c:pt>
                <c:pt idx="1505">
                  <c:v>2</c:v>
                </c:pt>
                <c:pt idx="1506">
                  <c:v>9</c:v>
                </c:pt>
                <c:pt idx="1507">
                  <c:v>7</c:v>
                </c:pt>
                <c:pt idx="1508">
                  <c:v>9</c:v>
                </c:pt>
                <c:pt idx="1509">
                  <c:v>1</c:v>
                </c:pt>
                <c:pt idx="1510">
                  <c:v>7</c:v>
                </c:pt>
                <c:pt idx="1511">
                  <c:v>8</c:v>
                </c:pt>
                <c:pt idx="1512">
                  <c:v>5</c:v>
                </c:pt>
                <c:pt idx="1513">
                  <c:v>6</c:v>
                </c:pt>
                <c:pt idx="1514">
                  <c:v>8</c:v>
                </c:pt>
                <c:pt idx="1515">
                  <c:v>2</c:v>
                </c:pt>
                <c:pt idx="1516">
                  <c:v>6</c:v>
                </c:pt>
                <c:pt idx="1517">
                  <c:v>7</c:v>
                </c:pt>
                <c:pt idx="1518">
                  <c:v>6</c:v>
                </c:pt>
                <c:pt idx="1519">
                  <c:v>1</c:v>
                </c:pt>
                <c:pt idx="1520">
                  <c:v>3</c:v>
                </c:pt>
                <c:pt idx="1521">
                  <c:v>5</c:v>
                </c:pt>
                <c:pt idx="1522">
                  <c:v>2</c:v>
                </c:pt>
                <c:pt idx="1523">
                  <c:v>4</c:v>
                </c:pt>
                <c:pt idx="1524">
                  <c:v>4</c:v>
                </c:pt>
                <c:pt idx="1525">
                  <c:v>6</c:v>
                </c:pt>
                <c:pt idx="1526">
                  <c:v>4</c:v>
                </c:pt>
                <c:pt idx="1527">
                  <c:v>7</c:v>
                </c:pt>
                <c:pt idx="1528">
                  <c:v>3</c:v>
                </c:pt>
                <c:pt idx="1529">
                  <c:v>5</c:v>
                </c:pt>
                <c:pt idx="1530">
                  <c:v>10</c:v>
                </c:pt>
                <c:pt idx="1531">
                  <c:v>10</c:v>
                </c:pt>
                <c:pt idx="1532">
                  <c:v>8</c:v>
                </c:pt>
                <c:pt idx="1533">
                  <c:v>3</c:v>
                </c:pt>
                <c:pt idx="1534">
                  <c:v>10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9</c:v>
                </c:pt>
                <c:pt idx="1539">
                  <c:v>2</c:v>
                </c:pt>
                <c:pt idx="1540">
                  <c:v>2</c:v>
                </c:pt>
                <c:pt idx="1541">
                  <c:v>10</c:v>
                </c:pt>
                <c:pt idx="1542">
                  <c:v>9</c:v>
                </c:pt>
                <c:pt idx="1543">
                  <c:v>2</c:v>
                </c:pt>
                <c:pt idx="1544">
                  <c:v>5</c:v>
                </c:pt>
                <c:pt idx="1545">
                  <c:v>3</c:v>
                </c:pt>
                <c:pt idx="1546">
                  <c:v>7</c:v>
                </c:pt>
                <c:pt idx="1547">
                  <c:v>6</c:v>
                </c:pt>
                <c:pt idx="1548">
                  <c:v>2</c:v>
                </c:pt>
                <c:pt idx="1549">
                  <c:v>8</c:v>
                </c:pt>
                <c:pt idx="1550">
                  <c:v>6</c:v>
                </c:pt>
                <c:pt idx="1551">
                  <c:v>2</c:v>
                </c:pt>
                <c:pt idx="1552">
                  <c:v>6</c:v>
                </c:pt>
                <c:pt idx="1553">
                  <c:v>7</c:v>
                </c:pt>
                <c:pt idx="1554">
                  <c:v>2</c:v>
                </c:pt>
                <c:pt idx="1555">
                  <c:v>1</c:v>
                </c:pt>
                <c:pt idx="1556">
                  <c:v>7</c:v>
                </c:pt>
                <c:pt idx="1557">
                  <c:v>1</c:v>
                </c:pt>
                <c:pt idx="1558">
                  <c:v>2</c:v>
                </c:pt>
                <c:pt idx="1559">
                  <c:v>4</c:v>
                </c:pt>
                <c:pt idx="1560">
                  <c:v>5</c:v>
                </c:pt>
                <c:pt idx="1561">
                  <c:v>3</c:v>
                </c:pt>
                <c:pt idx="1562">
                  <c:v>3</c:v>
                </c:pt>
                <c:pt idx="1563">
                  <c:v>10</c:v>
                </c:pt>
                <c:pt idx="1564">
                  <c:v>2</c:v>
                </c:pt>
                <c:pt idx="1565">
                  <c:v>5</c:v>
                </c:pt>
                <c:pt idx="1566">
                  <c:v>2</c:v>
                </c:pt>
                <c:pt idx="1567">
                  <c:v>2</c:v>
                </c:pt>
                <c:pt idx="1568">
                  <c:v>10</c:v>
                </c:pt>
                <c:pt idx="1569">
                  <c:v>6</c:v>
                </c:pt>
                <c:pt idx="1570">
                  <c:v>7</c:v>
                </c:pt>
                <c:pt idx="1571">
                  <c:v>8</c:v>
                </c:pt>
                <c:pt idx="1572">
                  <c:v>6</c:v>
                </c:pt>
                <c:pt idx="1573">
                  <c:v>6</c:v>
                </c:pt>
                <c:pt idx="1574">
                  <c:v>5</c:v>
                </c:pt>
                <c:pt idx="1575">
                  <c:v>8</c:v>
                </c:pt>
                <c:pt idx="1576">
                  <c:v>10</c:v>
                </c:pt>
                <c:pt idx="1577">
                  <c:v>9</c:v>
                </c:pt>
                <c:pt idx="1578">
                  <c:v>7</c:v>
                </c:pt>
                <c:pt idx="1579">
                  <c:v>6</c:v>
                </c:pt>
                <c:pt idx="1580">
                  <c:v>9</c:v>
                </c:pt>
                <c:pt idx="1581">
                  <c:v>8</c:v>
                </c:pt>
                <c:pt idx="1582">
                  <c:v>9</c:v>
                </c:pt>
                <c:pt idx="1583">
                  <c:v>8</c:v>
                </c:pt>
                <c:pt idx="1584">
                  <c:v>6</c:v>
                </c:pt>
                <c:pt idx="1585">
                  <c:v>3</c:v>
                </c:pt>
                <c:pt idx="1586">
                  <c:v>2</c:v>
                </c:pt>
                <c:pt idx="1587">
                  <c:v>7</c:v>
                </c:pt>
                <c:pt idx="1588">
                  <c:v>10</c:v>
                </c:pt>
                <c:pt idx="1589">
                  <c:v>4</c:v>
                </c:pt>
                <c:pt idx="1590">
                  <c:v>7</c:v>
                </c:pt>
                <c:pt idx="1591">
                  <c:v>2</c:v>
                </c:pt>
                <c:pt idx="1592">
                  <c:v>8</c:v>
                </c:pt>
                <c:pt idx="1593">
                  <c:v>6</c:v>
                </c:pt>
                <c:pt idx="1594">
                  <c:v>4</c:v>
                </c:pt>
                <c:pt idx="1595">
                  <c:v>9</c:v>
                </c:pt>
                <c:pt idx="1596">
                  <c:v>4</c:v>
                </c:pt>
                <c:pt idx="1597">
                  <c:v>10</c:v>
                </c:pt>
                <c:pt idx="1598">
                  <c:v>8</c:v>
                </c:pt>
                <c:pt idx="1599">
                  <c:v>6</c:v>
                </c:pt>
                <c:pt idx="1600">
                  <c:v>2</c:v>
                </c:pt>
                <c:pt idx="1601">
                  <c:v>8</c:v>
                </c:pt>
                <c:pt idx="1602">
                  <c:v>2</c:v>
                </c:pt>
                <c:pt idx="1603">
                  <c:v>9</c:v>
                </c:pt>
                <c:pt idx="1604">
                  <c:v>8</c:v>
                </c:pt>
                <c:pt idx="1605">
                  <c:v>10</c:v>
                </c:pt>
                <c:pt idx="1606">
                  <c:v>1</c:v>
                </c:pt>
                <c:pt idx="1607">
                  <c:v>2</c:v>
                </c:pt>
                <c:pt idx="1608">
                  <c:v>9</c:v>
                </c:pt>
                <c:pt idx="1609">
                  <c:v>3</c:v>
                </c:pt>
                <c:pt idx="1610">
                  <c:v>1</c:v>
                </c:pt>
                <c:pt idx="1611">
                  <c:v>5</c:v>
                </c:pt>
                <c:pt idx="1612">
                  <c:v>9</c:v>
                </c:pt>
                <c:pt idx="1613">
                  <c:v>8</c:v>
                </c:pt>
                <c:pt idx="1614">
                  <c:v>2</c:v>
                </c:pt>
                <c:pt idx="1615">
                  <c:v>6</c:v>
                </c:pt>
                <c:pt idx="1616">
                  <c:v>3</c:v>
                </c:pt>
                <c:pt idx="1617">
                  <c:v>5</c:v>
                </c:pt>
                <c:pt idx="1618">
                  <c:v>4</c:v>
                </c:pt>
                <c:pt idx="1619">
                  <c:v>8</c:v>
                </c:pt>
                <c:pt idx="1620">
                  <c:v>3</c:v>
                </c:pt>
                <c:pt idx="1621">
                  <c:v>8</c:v>
                </c:pt>
                <c:pt idx="1622">
                  <c:v>5</c:v>
                </c:pt>
                <c:pt idx="1623">
                  <c:v>2</c:v>
                </c:pt>
                <c:pt idx="1624">
                  <c:v>8</c:v>
                </c:pt>
                <c:pt idx="1625">
                  <c:v>1</c:v>
                </c:pt>
                <c:pt idx="1626">
                  <c:v>2</c:v>
                </c:pt>
                <c:pt idx="1627">
                  <c:v>9</c:v>
                </c:pt>
                <c:pt idx="1628">
                  <c:v>4</c:v>
                </c:pt>
                <c:pt idx="1629">
                  <c:v>4</c:v>
                </c:pt>
                <c:pt idx="1630">
                  <c:v>2</c:v>
                </c:pt>
                <c:pt idx="1631">
                  <c:v>10</c:v>
                </c:pt>
                <c:pt idx="1632">
                  <c:v>2</c:v>
                </c:pt>
                <c:pt idx="1633">
                  <c:v>2</c:v>
                </c:pt>
                <c:pt idx="1634">
                  <c:v>8</c:v>
                </c:pt>
                <c:pt idx="1635">
                  <c:v>1</c:v>
                </c:pt>
                <c:pt idx="1636">
                  <c:v>6</c:v>
                </c:pt>
                <c:pt idx="1637">
                  <c:v>1</c:v>
                </c:pt>
                <c:pt idx="1638">
                  <c:v>4</c:v>
                </c:pt>
                <c:pt idx="1639">
                  <c:v>2</c:v>
                </c:pt>
                <c:pt idx="1640">
                  <c:v>6</c:v>
                </c:pt>
                <c:pt idx="1641">
                  <c:v>7</c:v>
                </c:pt>
                <c:pt idx="1642">
                  <c:v>8</c:v>
                </c:pt>
                <c:pt idx="1643">
                  <c:v>2</c:v>
                </c:pt>
                <c:pt idx="1644">
                  <c:v>5</c:v>
                </c:pt>
                <c:pt idx="1645">
                  <c:v>3</c:v>
                </c:pt>
                <c:pt idx="1646">
                  <c:v>9</c:v>
                </c:pt>
                <c:pt idx="1647">
                  <c:v>10</c:v>
                </c:pt>
                <c:pt idx="1648">
                  <c:v>7</c:v>
                </c:pt>
                <c:pt idx="1649">
                  <c:v>3</c:v>
                </c:pt>
                <c:pt idx="1650">
                  <c:v>1</c:v>
                </c:pt>
                <c:pt idx="1651">
                  <c:v>8</c:v>
                </c:pt>
                <c:pt idx="1652">
                  <c:v>10</c:v>
                </c:pt>
                <c:pt idx="1653">
                  <c:v>1</c:v>
                </c:pt>
                <c:pt idx="1654">
                  <c:v>6</c:v>
                </c:pt>
                <c:pt idx="1655">
                  <c:v>8</c:v>
                </c:pt>
                <c:pt idx="1656">
                  <c:v>8</c:v>
                </c:pt>
                <c:pt idx="1657">
                  <c:v>1</c:v>
                </c:pt>
                <c:pt idx="1658">
                  <c:v>4</c:v>
                </c:pt>
                <c:pt idx="1659">
                  <c:v>10</c:v>
                </c:pt>
                <c:pt idx="1660">
                  <c:v>5</c:v>
                </c:pt>
                <c:pt idx="1661">
                  <c:v>7</c:v>
                </c:pt>
                <c:pt idx="1662">
                  <c:v>8</c:v>
                </c:pt>
                <c:pt idx="1663">
                  <c:v>8</c:v>
                </c:pt>
                <c:pt idx="1664">
                  <c:v>1</c:v>
                </c:pt>
                <c:pt idx="1665">
                  <c:v>4</c:v>
                </c:pt>
                <c:pt idx="1666">
                  <c:v>3</c:v>
                </c:pt>
                <c:pt idx="1667">
                  <c:v>1</c:v>
                </c:pt>
                <c:pt idx="1668">
                  <c:v>7</c:v>
                </c:pt>
                <c:pt idx="1669">
                  <c:v>6</c:v>
                </c:pt>
                <c:pt idx="1670">
                  <c:v>5</c:v>
                </c:pt>
                <c:pt idx="1671">
                  <c:v>8</c:v>
                </c:pt>
                <c:pt idx="1672">
                  <c:v>4</c:v>
                </c:pt>
                <c:pt idx="1673">
                  <c:v>1</c:v>
                </c:pt>
                <c:pt idx="1674">
                  <c:v>10</c:v>
                </c:pt>
                <c:pt idx="1675">
                  <c:v>10</c:v>
                </c:pt>
                <c:pt idx="1676">
                  <c:v>7</c:v>
                </c:pt>
                <c:pt idx="1677">
                  <c:v>8</c:v>
                </c:pt>
                <c:pt idx="1678">
                  <c:v>9</c:v>
                </c:pt>
                <c:pt idx="1679">
                  <c:v>3</c:v>
                </c:pt>
                <c:pt idx="1680">
                  <c:v>1</c:v>
                </c:pt>
                <c:pt idx="1681">
                  <c:v>2</c:v>
                </c:pt>
                <c:pt idx="1682">
                  <c:v>4</c:v>
                </c:pt>
                <c:pt idx="1683">
                  <c:v>2</c:v>
                </c:pt>
                <c:pt idx="1684">
                  <c:v>7</c:v>
                </c:pt>
                <c:pt idx="1685">
                  <c:v>9</c:v>
                </c:pt>
                <c:pt idx="1686">
                  <c:v>6</c:v>
                </c:pt>
                <c:pt idx="1687">
                  <c:v>3</c:v>
                </c:pt>
                <c:pt idx="1688">
                  <c:v>8</c:v>
                </c:pt>
                <c:pt idx="1689">
                  <c:v>5</c:v>
                </c:pt>
                <c:pt idx="1690">
                  <c:v>4</c:v>
                </c:pt>
                <c:pt idx="1691">
                  <c:v>4</c:v>
                </c:pt>
                <c:pt idx="1692">
                  <c:v>5</c:v>
                </c:pt>
                <c:pt idx="1693">
                  <c:v>1</c:v>
                </c:pt>
                <c:pt idx="1694">
                  <c:v>4</c:v>
                </c:pt>
                <c:pt idx="1695">
                  <c:v>3</c:v>
                </c:pt>
                <c:pt idx="1696">
                  <c:v>7</c:v>
                </c:pt>
                <c:pt idx="1697">
                  <c:v>9</c:v>
                </c:pt>
                <c:pt idx="1698">
                  <c:v>7</c:v>
                </c:pt>
                <c:pt idx="1699">
                  <c:v>2</c:v>
                </c:pt>
                <c:pt idx="1700">
                  <c:v>1</c:v>
                </c:pt>
                <c:pt idx="1701">
                  <c:v>7</c:v>
                </c:pt>
                <c:pt idx="1702">
                  <c:v>8</c:v>
                </c:pt>
                <c:pt idx="1703">
                  <c:v>2</c:v>
                </c:pt>
                <c:pt idx="1704">
                  <c:v>8</c:v>
                </c:pt>
                <c:pt idx="1705">
                  <c:v>8</c:v>
                </c:pt>
                <c:pt idx="1706">
                  <c:v>6</c:v>
                </c:pt>
                <c:pt idx="1707">
                  <c:v>2</c:v>
                </c:pt>
                <c:pt idx="1708">
                  <c:v>4</c:v>
                </c:pt>
                <c:pt idx="1709">
                  <c:v>1</c:v>
                </c:pt>
                <c:pt idx="1710">
                  <c:v>4</c:v>
                </c:pt>
                <c:pt idx="1711">
                  <c:v>1</c:v>
                </c:pt>
                <c:pt idx="1712">
                  <c:v>3</c:v>
                </c:pt>
                <c:pt idx="1713">
                  <c:v>3</c:v>
                </c:pt>
                <c:pt idx="1714">
                  <c:v>7</c:v>
                </c:pt>
                <c:pt idx="1715">
                  <c:v>2</c:v>
                </c:pt>
                <c:pt idx="1716">
                  <c:v>9</c:v>
                </c:pt>
                <c:pt idx="1717">
                  <c:v>2</c:v>
                </c:pt>
                <c:pt idx="1718">
                  <c:v>10</c:v>
                </c:pt>
                <c:pt idx="1719">
                  <c:v>10</c:v>
                </c:pt>
                <c:pt idx="1720">
                  <c:v>3</c:v>
                </c:pt>
                <c:pt idx="1721">
                  <c:v>7</c:v>
                </c:pt>
                <c:pt idx="1722">
                  <c:v>9</c:v>
                </c:pt>
                <c:pt idx="1723">
                  <c:v>6</c:v>
                </c:pt>
                <c:pt idx="1724">
                  <c:v>10</c:v>
                </c:pt>
                <c:pt idx="1725">
                  <c:v>6</c:v>
                </c:pt>
                <c:pt idx="1726">
                  <c:v>10</c:v>
                </c:pt>
                <c:pt idx="1727">
                  <c:v>5</c:v>
                </c:pt>
                <c:pt idx="1728">
                  <c:v>7</c:v>
                </c:pt>
                <c:pt idx="1729">
                  <c:v>1</c:v>
                </c:pt>
                <c:pt idx="1730">
                  <c:v>8</c:v>
                </c:pt>
                <c:pt idx="1731">
                  <c:v>6</c:v>
                </c:pt>
                <c:pt idx="1732">
                  <c:v>8</c:v>
                </c:pt>
                <c:pt idx="1733">
                  <c:v>4</c:v>
                </c:pt>
                <c:pt idx="1734">
                  <c:v>3</c:v>
                </c:pt>
                <c:pt idx="1735">
                  <c:v>2</c:v>
                </c:pt>
                <c:pt idx="1736">
                  <c:v>1</c:v>
                </c:pt>
                <c:pt idx="1737">
                  <c:v>6</c:v>
                </c:pt>
                <c:pt idx="1738">
                  <c:v>7</c:v>
                </c:pt>
                <c:pt idx="1739">
                  <c:v>2</c:v>
                </c:pt>
                <c:pt idx="1740">
                  <c:v>9</c:v>
                </c:pt>
                <c:pt idx="1741">
                  <c:v>6</c:v>
                </c:pt>
                <c:pt idx="1742">
                  <c:v>4</c:v>
                </c:pt>
                <c:pt idx="1743">
                  <c:v>2</c:v>
                </c:pt>
                <c:pt idx="1744">
                  <c:v>10</c:v>
                </c:pt>
                <c:pt idx="1745">
                  <c:v>6</c:v>
                </c:pt>
                <c:pt idx="1746">
                  <c:v>2</c:v>
                </c:pt>
                <c:pt idx="1747">
                  <c:v>9</c:v>
                </c:pt>
                <c:pt idx="1748">
                  <c:v>8</c:v>
                </c:pt>
                <c:pt idx="1749">
                  <c:v>10</c:v>
                </c:pt>
                <c:pt idx="1750">
                  <c:v>8</c:v>
                </c:pt>
                <c:pt idx="1751">
                  <c:v>9</c:v>
                </c:pt>
                <c:pt idx="1752">
                  <c:v>8</c:v>
                </c:pt>
                <c:pt idx="1753">
                  <c:v>9</c:v>
                </c:pt>
                <c:pt idx="1754">
                  <c:v>9</c:v>
                </c:pt>
                <c:pt idx="1755">
                  <c:v>7</c:v>
                </c:pt>
                <c:pt idx="1756">
                  <c:v>6</c:v>
                </c:pt>
                <c:pt idx="1757">
                  <c:v>3</c:v>
                </c:pt>
                <c:pt idx="1758">
                  <c:v>6</c:v>
                </c:pt>
                <c:pt idx="1759">
                  <c:v>8</c:v>
                </c:pt>
                <c:pt idx="1760">
                  <c:v>2</c:v>
                </c:pt>
                <c:pt idx="1761">
                  <c:v>9</c:v>
                </c:pt>
                <c:pt idx="1762">
                  <c:v>6</c:v>
                </c:pt>
                <c:pt idx="1763">
                  <c:v>6</c:v>
                </c:pt>
                <c:pt idx="1764">
                  <c:v>3</c:v>
                </c:pt>
                <c:pt idx="1765">
                  <c:v>1</c:v>
                </c:pt>
                <c:pt idx="1766">
                  <c:v>9</c:v>
                </c:pt>
                <c:pt idx="1767">
                  <c:v>5</c:v>
                </c:pt>
                <c:pt idx="1768">
                  <c:v>1</c:v>
                </c:pt>
                <c:pt idx="1769">
                  <c:v>8</c:v>
                </c:pt>
                <c:pt idx="1770">
                  <c:v>9</c:v>
                </c:pt>
                <c:pt idx="1771">
                  <c:v>3</c:v>
                </c:pt>
                <c:pt idx="1772">
                  <c:v>3</c:v>
                </c:pt>
                <c:pt idx="1773">
                  <c:v>7</c:v>
                </c:pt>
                <c:pt idx="1774">
                  <c:v>9</c:v>
                </c:pt>
                <c:pt idx="1775">
                  <c:v>8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7</c:v>
                </c:pt>
                <c:pt idx="1780">
                  <c:v>9</c:v>
                </c:pt>
                <c:pt idx="1781">
                  <c:v>2</c:v>
                </c:pt>
                <c:pt idx="1782">
                  <c:v>5</c:v>
                </c:pt>
                <c:pt idx="1783">
                  <c:v>6</c:v>
                </c:pt>
                <c:pt idx="1784">
                  <c:v>10</c:v>
                </c:pt>
                <c:pt idx="1785">
                  <c:v>4</c:v>
                </c:pt>
                <c:pt idx="1786">
                  <c:v>5</c:v>
                </c:pt>
                <c:pt idx="1787">
                  <c:v>9</c:v>
                </c:pt>
                <c:pt idx="1788">
                  <c:v>10</c:v>
                </c:pt>
                <c:pt idx="1789">
                  <c:v>10</c:v>
                </c:pt>
                <c:pt idx="1790">
                  <c:v>6</c:v>
                </c:pt>
                <c:pt idx="1791">
                  <c:v>1</c:v>
                </c:pt>
                <c:pt idx="1792">
                  <c:v>10</c:v>
                </c:pt>
                <c:pt idx="1793">
                  <c:v>8</c:v>
                </c:pt>
                <c:pt idx="1794">
                  <c:v>2</c:v>
                </c:pt>
                <c:pt idx="1795">
                  <c:v>2</c:v>
                </c:pt>
                <c:pt idx="1796">
                  <c:v>8</c:v>
                </c:pt>
                <c:pt idx="1797">
                  <c:v>1</c:v>
                </c:pt>
                <c:pt idx="1798">
                  <c:v>6</c:v>
                </c:pt>
                <c:pt idx="1799">
                  <c:v>5</c:v>
                </c:pt>
                <c:pt idx="1800">
                  <c:v>5</c:v>
                </c:pt>
                <c:pt idx="1801">
                  <c:v>7</c:v>
                </c:pt>
                <c:pt idx="1802">
                  <c:v>3</c:v>
                </c:pt>
                <c:pt idx="1803">
                  <c:v>1</c:v>
                </c:pt>
                <c:pt idx="1804">
                  <c:v>2</c:v>
                </c:pt>
                <c:pt idx="1805">
                  <c:v>3</c:v>
                </c:pt>
                <c:pt idx="1806">
                  <c:v>8</c:v>
                </c:pt>
                <c:pt idx="1807">
                  <c:v>10</c:v>
                </c:pt>
                <c:pt idx="1808">
                  <c:v>4</c:v>
                </c:pt>
                <c:pt idx="1809">
                  <c:v>1</c:v>
                </c:pt>
                <c:pt idx="1810">
                  <c:v>7</c:v>
                </c:pt>
                <c:pt idx="1811">
                  <c:v>8</c:v>
                </c:pt>
                <c:pt idx="1812">
                  <c:v>7</c:v>
                </c:pt>
                <c:pt idx="1813">
                  <c:v>5</c:v>
                </c:pt>
                <c:pt idx="1814">
                  <c:v>1</c:v>
                </c:pt>
                <c:pt idx="1815">
                  <c:v>3</c:v>
                </c:pt>
                <c:pt idx="1816">
                  <c:v>7</c:v>
                </c:pt>
                <c:pt idx="1817">
                  <c:v>5</c:v>
                </c:pt>
                <c:pt idx="1818">
                  <c:v>6</c:v>
                </c:pt>
                <c:pt idx="1819">
                  <c:v>2</c:v>
                </c:pt>
                <c:pt idx="1820">
                  <c:v>1</c:v>
                </c:pt>
                <c:pt idx="1821">
                  <c:v>1</c:v>
                </c:pt>
                <c:pt idx="1822">
                  <c:v>10</c:v>
                </c:pt>
                <c:pt idx="1823">
                  <c:v>7</c:v>
                </c:pt>
                <c:pt idx="1824">
                  <c:v>2</c:v>
                </c:pt>
                <c:pt idx="1825">
                  <c:v>3</c:v>
                </c:pt>
                <c:pt idx="1826">
                  <c:v>8</c:v>
                </c:pt>
                <c:pt idx="1827">
                  <c:v>6</c:v>
                </c:pt>
                <c:pt idx="1828">
                  <c:v>5</c:v>
                </c:pt>
                <c:pt idx="1829">
                  <c:v>5</c:v>
                </c:pt>
                <c:pt idx="1830">
                  <c:v>2</c:v>
                </c:pt>
                <c:pt idx="1831">
                  <c:v>3</c:v>
                </c:pt>
                <c:pt idx="1832">
                  <c:v>7</c:v>
                </c:pt>
                <c:pt idx="1833">
                  <c:v>5</c:v>
                </c:pt>
                <c:pt idx="1834">
                  <c:v>8</c:v>
                </c:pt>
                <c:pt idx="1835">
                  <c:v>1</c:v>
                </c:pt>
                <c:pt idx="1836">
                  <c:v>10</c:v>
                </c:pt>
                <c:pt idx="1837">
                  <c:v>6</c:v>
                </c:pt>
                <c:pt idx="1838">
                  <c:v>7</c:v>
                </c:pt>
                <c:pt idx="1839">
                  <c:v>10</c:v>
                </c:pt>
                <c:pt idx="1840">
                  <c:v>5</c:v>
                </c:pt>
                <c:pt idx="1841">
                  <c:v>4</c:v>
                </c:pt>
                <c:pt idx="1842">
                  <c:v>3</c:v>
                </c:pt>
                <c:pt idx="1843">
                  <c:v>6</c:v>
                </c:pt>
                <c:pt idx="1844">
                  <c:v>8</c:v>
                </c:pt>
                <c:pt idx="1845">
                  <c:v>5</c:v>
                </c:pt>
                <c:pt idx="1846">
                  <c:v>7</c:v>
                </c:pt>
                <c:pt idx="1847">
                  <c:v>10</c:v>
                </c:pt>
                <c:pt idx="1848">
                  <c:v>1</c:v>
                </c:pt>
                <c:pt idx="1849">
                  <c:v>9</c:v>
                </c:pt>
                <c:pt idx="1850">
                  <c:v>2</c:v>
                </c:pt>
                <c:pt idx="1851">
                  <c:v>9</c:v>
                </c:pt>
                <c:pt idx="1852">
                  <c:v>1</c:v>
                </c:pt>
                <c:pt idx="1853">
                  <c:v>9</c:v>
                </c:pt>
                <c:pt idx="1854">
                  <c:v>5</c:v>
                </c:pt>
                <c:pt idx="1855">
                  <c:v>10</c:v>
                </c:pt>
                <c:pt idx="1856">
                  <c:v>10</c:v>
                </c:pt>
                <c:pt idx="1857">
                  <c:v>4</c:v>
                </c:pt>
                <c:pt idx="1858">
                  <c:v>8</c:v>
                </c:pt>
                <c:pt idx="1859">
                  <c:v>5</c:v>
                </c:pt>
                <c:pt idx="1860">
                  <c:v>1</c:v>
                </c:pt>
                <c:pt idx="1861">
                  <c:v>8</c:v>
                </c:pt>
                <c:pt idx="1862">
                  <c:v>4</c:v>
                </c:pt>
                <c:pt idx="1863">
                  <c:v>4</c:v>
                </c:pt>
                <c:pt idx="1864">
                  <c:v>6</c:v>
                </c:pt>
                <c:pt idx="1865">
                  <c:v>3</c:v>
                </c:pt>
                <c:pt idx="1866">
                  <c:v>1</c:v>
                </c:pt>
                <c:pt idx="1867">
                  <c:v>8</c:v>
                </c:pt>
                <c:pt idx="1868">
                  <c:v>7</c:v>
                </c:pt>
                <c:pt idx="1869">
                  <c:v>6</c:v>
                </c:pt>
                <c:pt idx="1870">
                  <c:v>8</c:v>
                </c:pt>
                <c:pt idx="1871">
                  <c:v>1</c:v>
                </c:pt>
                <c:pt idx="1872">
                  <c:v>6</c:v>
                </c:pt>
                <c:pt idx="1873">
                  <c:v>5</c:v>
                </c:pt>
                <c:pt idx="1874">
                  <c:v>1</c:v>
                </c:pt>
                <c:pt idx="1875">
                  <c:v>2</c:v>
                </c:pt>
                <c:pt idx="1876">
                  <c:v>1</c:v>
                </c:pt>
                <c:pt idx="1877">
                  <c:v>9</c:v>
                </c:pt>
                <c:pt idx="1878">
                  <c:v>6</c:v>
                </c:pt>
                <c:pt idx="1879">
                  <c:v>3</c:v>
                </c:pt>
                <c:pt idx="1880">
                  <c:v>5</c:v>
                </c:pt>
                <c:pt idx="1881">
                  <c:v>1</c:v>
                </c:pt>
                <c:pt idx="1882">
                  <c:v>1</c:v>
                </c:pt>
                <c:pt idx="1883">
                  <c:v>4</c:v>
                </c:pt>
                <c:pt idx="1884">
                  <c:v>8</c:v>
                </c:pt>
                <c:pt idx="1885">
                  <c:v>4</c:v>
                </c:pt>
                <c:pt idx="1886">
                  <c:v>10</c:v>
                </c:pt>
                <c:pt idx="1887">
                  <c:v>5</c:v>
                </c:pt>
                <c:pt idx="1888">
                  <c:v>3</c:v>
                </c:pt>
                <c:pt idx="1889">
                  <c:v>4</c:v>
                </c:pt>
                <c:pt idx="1890">
                  <c:v>2</c:v>
                </c:pt>
                <c:pt idx="1891">
                  <c:v>9</c:v>
                </c:pt>
                <c:pt idx="1892">
                  <c:v>1</c:v>
                </c:pt>
                <c:pt idx="1893">
                  <c:v>3</c:v>
                </c:pt>
                <c:pt idx="1894">
                  <c:v>10</c:v>
                </c:pt>
                <c:pt idx="1895">
                  <c:v>2</c:v>
                </c:pt>
                <c:pt idx="1896">
                  <c:v>3</c:v>
                </c:pt>
                <c:pt idx="1897">
                  <c:v>9</c:v>
                </c:pt>
                <c:pt idx="1898">
                  <c:v>3</c:v>
                </c:pt>
                <c:pt idx="1899">
                  <c:v>1</c:v>
                </c:pt>
                <c:pt idx="1900">
                  <c:v>6</c:v>
                </c:pt>
                <c:pt idx="1901">
                  <c:v>2</c:v>
                </c:pt>
                <c:pt idx="1902">
                  <c:v>8</c:v>
                </c:pt>
                <c:pt idx="1903">
                  <c:v>8</c:v>
                </c:pt>
                <c:pt idx="1904">
                  <c:v>6</c:v>
                </c:pt>
                <c:pt idx="1905">
                  <c:v>9</c:v>
                </c:pt>
                <c:pt idx="1906">
                  <c:v>8</c:v>
                </c:pt>
                <c:pt idx="1907">
                  <c:v>4</c:v>
                </c:pt>
                <c:pt idx="1908">
                  <c:v>5</c:v>
                </c:pt>
                <c:pt idx="1909">
                  <c:v>3</c:v>
                </c:pt>
                <c:pt idx="1910">
                  <c:v>7</c:v>
                </c:pt>
                <c:pt idx="1911">
                  <c:v>10</c:v>
                </c:pt>
                <c:pt idx="1912">
                  <c:v>2</c:v>
                </c:pt>
                <c:pt idx="1913">
                  <c:v>1</c:v>
                </c:pt>
                <c:pt idx="1914">
                  <c:v>6</c:v>
                </c:pt>
                <c:pt idx="1915">
                  <c:v>6</c:v>
                </c:pt>
                <c:pt idx="1916">
                  <c:v>2</c:v>
                </c:pt>
                <c:pt idx="1917">
                  <c:v>1</c:v>
                </c:pt>
                <c:pt idx="1918">
                  <c:v>8</c:v>
                </c:pt>
                <c:pt idx="1919">
                  <c:v>2</c:v>
                </c:pt>
                <c:pt idx="1920">
                  <c:v>1</c:v>
                </c:pt>
                <c:pt idx="1921">
                  <c:v>5</c:v>
                </c:pt>
                <c:pt idx="1922">
                  <c:v>1</c:v>
                </c:pt>
                <c:pt idx="1923">
                  <c:v>10</c:v>
                </c:pt>
                <c:pt idx="1924">
                  <c:v>1</c:v>
                </c:pt>
                <c:pt idx="1925">
                  <c:v>4</c:v>
                </c:pt>
                <c:pt idx="1926">
                  <c:v>7</c:v>
                </c:pt>
                <c:pt idx="1927">
                  <c:v>6</c:v>
                </c:pt>
                <c:pt idx="1928">
                  <c:v>1</c:v>
                </c:pt>
                <c:pt idx="1929">
                  <c:v>1</c:v>
                </c:pt>
                <c:pt idx="1930">
                  <c:v>6</c:v>
                </c:pt>
                <c:pt idx="1931">
                  <c:v>5</c:v>
                </c:pt>
                <c:pt idx="1932">
                  <c:v>5</c:v>
                </c:pt>
                <c:pt idx="1933">
                  <c:v>2</c:v>
                </c:pt>
                <c:pt idx="1934">
                  <c:v>1</c:v>
                </c:pt>
                <c:pt idx="1935">
                  <c:v>10</c:v>
                </c:pt>
                <c:pt idx="1936">
                  <c:v>9</c:v>
                </c:pt>
                <c:pt idx="1937">
                  <c:v>3</c:v>
                </c:pt>
                <c:pt idx="1938">
                  <c:v>9</c:v>
                </c:pt>
                <c:pt idx="1939">
                  <c:v>10</c:v>
                </c:pt>
                <c:pt idx="1940">
                  <c:v>6</c:v>
                </c:pt>
                <c:pt idx="1941">
                  <c:v>10</c:v>
                </c:pt>
                <c:pt idx="1942">
                  <c:v>6</c:v>
                </c:pt>
                <c:pt idx="1943">
                  <c:v>10</c:v>
                </c:pt>
                <c:pt idx="1944">
                  <c:v>2</c:v>
                </c:pt>
                <c:pt idx="1945">
                  <c:v>2</c:v>
                </c:pt>
                <c:pt idx="1946">
                  <c:v>8</c:v>
                </c:pt>
                <c:pt idx="1947">
                  <c:v>4</c:v>
                </c:pt>
                <c:pt idx="1948">
                  <c:v>2</c:v>
                </c:pt>
                <c:pt idx="1949">
                  <c:v>9</c:v>
                </c:pt>
                <c:pt idx="1950">
                  <c:v>4</c:v>
                </c:pt>
                <c:pt idx="1951">
                  <c:v>5</c:v>
                </c:pt>
                <c:pt idx="1952">
                  <c:v>4</c:v>
                </c:pt>
                <c:pt idx="1953">
                  <c:v>2</c:v>
                </c:pt>
                <c:pt idx="1954">
                  <c:v>8</c:v>
                </c:pt>
                <c:pt idx="1955">
                  <c:v>3</c:v>
                </c:pt>
                <c:pt idx="1956">
                  <c:v>9</c:v>
                </c:pt>
                <c:pt idx="1957">
                  <c:v>3</c:v>
                </c:pt>
                <c:pt idx="1958">
                  <c:v>9</c:v>
                </c:pt>
                <c:pt idx="1959">
                  <c:v>1</c:v>
                </c:pt>
                <c:pt idx="1960">
                  <c:v>3</c:v>
                </c:pt>
                <c:pt idx="1961">
                  <c:v>3</c:v>
                </c:pt>
                <c:pt idx="1962">
                  <c:v>9</c:v>
                </c:pt>
                <c:pt idx="1963">
                  <c:v>7</c:v>
                </c:pt>
                <c:pt idx="1964">
                  <c:v>4</c:v>
                </c:pt>
                <c:pt idx="1965">
                  <c:v>6</c:v>
                </c:pt>
                <c:pt idx="1966">
                  <c:v>6</c:v>
                </c:pt>
                <c:pt idx="1967">
                  <c:v>2</c:v>
                </c:pt>
                <c:pt idx="1968">
                  <c:v>5</c:v>
                </c:pt>
                <c:pt idx="1969">
                  <c:v>10</c:v>
                </c:pt>
                <c:pt idx="1970">
                  <c:v>9</c:v>
                </c:pt>
                <c:pt idx="1971">
                  <c:v>8</c:v>
                </c:pt>
                <c:pt idx="1972">
                  <c:v>1</c:v>
                </c:pt>
                <c:pt idx="1973">
                  <c:v>7</c:v>
                </c:pt>
                <c:pt idx="1974">
                  <c:v>6</c:v>
                </c:pt>
                <c:pt idx="1975">
                  <c:v>4</c:v>
                </c:pt>
                <c:pt idx="1976">
                  <c:v>1</c:v>
                </c:pt>
                <c:pt idx="1977">
                  <c:v>5</c:v>
                </c:pt>
                <c:pt idx="1978">
                  <c:v>3</c:v>
                </c:pt>
                <c:pt idx="1979">
                  <c:v>9</c:v>
                </c:pt>
                <c:pt idx="1980">
                  <c:v>10</c:v>
                </c:pt>
                <c:pt idx="1981">
                  <c:v>2</c:v>
                </c:pt>
                <c:pt idx="1982">
                  <c:v>5</c:v>
                </c:pt>
                <c:pt idx="1983">
                  <c:v>2</c:v>
                </c:pt>
                <c:pt idx="1984">
                  <c:v>8</c:v>
                </c:pt>
                <c:pt idx="1985">
                  <c:v>5</c:v>
                </c:pt>
                <c:pt idx="1986">
                  <c:v>8</c:v>
                </c:pt>
                <c:pt idx="1987">
                  <c:v>7</c:v>
                </c:pt>
                <c:pt idx="1988">
                  <c:v>7</c:v>
                </c:pt>
                <c:pt idx="1989">
                  <c:v>7</c:v>
                </c:pt>
                <c:pt idx="1990">
                  <c:v>10</c:v>
                </c:pt>
                <c:pt idx="1991">
                  <c:v>8</c:v>
                </c:pt>
                <c:pt idx="1992">
                  <c:v>4</c:v>
                </c:pt>
                <c:pt idx="1993">
                  <c:v>2</c:v>
                </c:pt>
                <c:pt idx="1994">
                  <c:v>5</c:v>
                </c:pt>
                <c:pt idx="1995">
                  <c:v>2</c:v>
                </c:pt>
                <c:pt idx="1996">
                  <c:v>7</c:v>
                </c:pt>
                <c:pt idx="1997">
                  <c:v>9</c:v>
                </c:pt>
                <c:pt idx="1998">
                  <c:v>4</c:v>
                </c:pt>
                <c:pt idx="19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8-0A42-BA7C-6C15C1A82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987840"/>
        <c:axId val="1461992768"/>
      </c:scatterChart>
      <c:valAx>
        <c:axId val="14619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Sessions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92768"/>
        <c:crosses val="autoZero"/>
        <c:crossBetween val="midCat"/>
      </c:valAx>
      <c:valAx>
        <c:axId val="14619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Feedback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8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Churned vs Active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Pie!$F$2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08-AF42-8C0F-3A3745AC14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08-AF42-8C0F-3A3745AC14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Pie!$E$3:$E$4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Pie!$F$3:$F$4</c:f>
              <c:numCache>
                <c:formatCode>General</c:formatCode>
                <c:ptCount val="2"/>
                <c:pt idx="0">
                  <c:v>1210</c:v>
                </c:pt>
                <c:pt idx="1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8-AF42-8C0F-3A3745AC1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Subscription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BarData!$D$1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BarData!$A$2:$A$4</c:f>
              <c:strCache>
                <c:ptCount val="3"/>
                <c:pt idx="0">
                  <c:v>Yearly</c:v>
                </c:pt>
                <c:pt idx="1">
                  <c:v>Quarterly</c:v>
                </c:pt>
                <c:pt idx="2">
                  <c:v>Monthly</c:v>
                </c:pt>
              </c:strCache>
            </c:strRef>
          </c:cat>
          <c:val>
            <c:numRef>
              <c:f>BarData!$D$2:$D$4</c:f>
              <c:numCache>
                <c:formatCode>General</c:formatCode>
                <c:ptCount val="3"/>
                <c:pt idx="0">
                  <c:v>32.474229999999999</c:v>
                </c:pt>
                <c:pt idx="1">
                  <c:v>34.29542</c:v>
                </c:pt>
                <c:pt idx="2">
                  <c:v>45.161290000000001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7-1C45-B4B3-16C14D1A8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9373056"/>
        <c:axId val="1509362304"/>
      </c:barChart>
      <c:catAx>
        <c:axId val="15093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62304"/>
        <c:crosses val="autoZero"/>
        <c:auto val="1"/>
        <c:lblAlgn val="ctr"/>
        <c:lblOffset val="100"/>
        <c:noMultiLvlLbl val="0"/>
      </c:catAx>
      <c:valAx>
        <c:axId val="150936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7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[CustomerSubscriptions.xlsx]LineChart!PivotTable1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Churn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LineChart!$B$3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LineChart!$A$4:$A$37</c:f>
              <c:strCache>
                <c:ptCount val="33"/>
                <c:pt idx="0">
                  <c:v>Apr-2024</c:v>
                </c:pt>
                <c:pt idx="1">
                  <c:v>Apr-2025</c:v>
                </c:pt>
                <c:pt idx="2">
                  <c:v>Apr-2026</c:v>
                </c:pt>
                <c:pt idx="3">
                  <c:v>Aug-2023</c:v>
                </c:pt>
                <c:pt idx="4">
                  <c:v>Aug-2024</c:v>
                </c:pt>
                <c:pt idx="5">
                  <c:v>Aug-2025</c:v>
                </c:pt>
                <c:pt idx="6">
                  <c:v>Dec-2023</c:v>
                </c:pt>
                <c:pt idx="7">
                  <c:v>Dec-2024</c:v>
                </c:pt>
                <c:pt idx="8">
                  <c:v>Dec-2025</c:v>
                </c:pt>
                <c:pt idx="9">
                  <c:v>Feb-2024</c:v>
                </c:pt>
                <c:pt idx="10">
                  <c:v>Feb-2025</c:v>
                </c:pt>
                <c:pt idx="11">
                  <c:v>Feb-2026</c:v>
                </c:pt>
                <c:pt idx="12">
                  <c:v>Jan-2024</c:v>
                </c:pt>
                <c:pt idx="13">
                  <c:v>Jan-2025</c:v>
                </c:pt>
                <c:pt idx="14">
                  <c:v>Jan-2026</c:v>
                </c:pt>
                <c:pt idx="15">
                  <c:v>Jul-2024</c:v>
                </c:pt>
                <c:pt idx="16">
                  <c:v>Jul-2025</c:v>
                </c:pt>
                <c:pt idx="17">
                  <c:v>Jun-2024</c:v>
                </c:pt>
                <c:pt idx="18">
                  <c:v>Jun-2025</c:v>
                </c:pt>
                <c:pt idx="19">
                  <c:v>Mar-2024</c:v>
                </c:pt>
                <c:pt idx="20">
                  <c:v>Mar-2025</c:v>
                </c:pt>
                <c:pt idx="21">
                  <c:v>Mar-2026</c:v>
                </c:pt>
                <c:pt idx="22">
                  <c:v>May-2024</c:v>
                </c:pt>
                <c:pt idx="23">
                  <c:v>May-2025</c:v>
                </c:pt>
                <c:pt idx="24">
                  <c:v>Nov-2023</c:v>
                </c:pt>
                <c:pt idx="25">
                  <c:v>Nov-2024</c:v>
                </c:pt>
                <c:pt idx="26">
                  <c:v>Nov-2025</c:v>
                </c:pt>
                <c:pt idx="27">
                  <c:v>Oct-2023</c:v>
                </c:pt>
                <c:pt idx="28">
                  <c:v>Oct-2024</c:v>
                </c:pt>
                <c:pt idx="29">
                  <c:v>Oct-2025</c:v>
                </c:pt>
                <c:pt idx="30">
                  <c:v>Sep-2023</c:v>
                </c:pt>
                <c:pt idx="31">
                  <c:v>Sep-2024</c:v>
                </c:pt>
                <c:pt idx="32">
                  <c:v>Sep-2025</c:v>
                </c:pt>
              </c:strCache>
            </c:strRef>
          </c:cat>
          <c:val>
            <c:numRef>
              <c:f>LineChart!$B$4:$B$37</c:f>
              <c:numCache>
                <c:formatCode>General</c:formatCode>
                <c:ptCount val="33"/>
                <c:pt idx="0">
                  <c:v>20</c:v>
                </c:pt>
                <c:pt idx="1">
                  <c:v>28</c:v>
                </c:pt>
                <c:pt idx="2">
                  <c:v>5</c:v>
                </c:pt>
                <c:pt idx="3">
                  <c:v>20</c:v>
                </c:pt>
                <c:pt idx="4">
                  <c:v>27</c:v>
                </c:pt>
                <c:pt idx="5">
                  <c:v>25</c:v>
                </c:pt>
                <c:pt idx="6">
                  <c:v>20</c:v>
                </c:pt>
                <c:pt idx="7">
                  <c:v>28</c:v>
                </c:pt>
                <c:pt idx="8">
                  <c:v>24</c:v>
                </c:pt>
                <c:pt idx="9">
                  <c:v>19</c:v>
                </c:pt>
                <c:pt idx="10">
                  <c:v>27</c:v>
                </c:pt>
                <c:pt idx="11">
                  <c:v>36</c:v>
                </c:pt>
                <c:pt idx="12">
                  <c:v>17</c:v>
                </c:pt>
                <c:pt idx="13">
                  <c:v>27</c:v>
                </c:pt>
                <c:pt idx="14">
                  <c:v>21</c:v>
                </c:pt>
                <c:pt idx="15">
                  <c:v>24</c:v>
                </c:pt>
                <c:pt idx="16">
                  <c:v>26</c:v>
                </c:pt>
                <c:pt idx="17">
                  <c:v>20</c:v>
                </c:pt>
                <c:pt idx="18">
                  <c:v>19</c:v>
                </c:pt>
                <c:pt idx="19">
                  <c:v>19</c:v>
                </c:pt>
                <c:pt idx="20">
                  <c:v>21</c:v>
                </c:pt>
                <c:pt idx="21">
                  <c:v>37</c:v>
                </c:pt>
                <c:pt idx="22">
                  <c:v>27</c:v>
                </c:pt>
                <c:pt idx="23">
                  <c:v>26</c:v>
                </c:pt>
                <c:pt idx="24">
                  <c:v>22</c:v>
                </c:pt>
                <c:pt idx="25">
                  <c:v>22</c:v>
                </c:pt>
                <c:pt idx="26">
                  <c:v>27</c:v>
                </c:pt>
                <c:pt idx="27">
                  <c:v>27</c:v>
                </c:pt>
                <c:pt idx="28">
                  <c:v>25</c:v>
                </c:pt>
                <c:pt idx="29">
                  <c:v>29</c:v>
                </c:pt>
                <c:pt idx="30">
                  <c:v>32</c:v>
                </c:pt>
                <c:pt idx="31">
                  <c:v>22</c:v>
                </c:pt>
                <c:pt idx="3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8-1F47-82E1-E326F044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290624"/>
        <c:axId val="1499293312"/>
      </c:lineChart>
      <c:catAx>
        <c:axId val="14992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93312"/>
        <c:crosses val="autoZero"/>
        <c:auto val="1"/>
        <c:lblAlgn val="ctr"/>
        <c:lblOffset val="100"/>
        <c:noMultiLvlLbl val="0"/>
      </c:catAx>
      <c:valAx>
        <c:axId val="14992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430389</xdr:colOff>
      <xdr:row>11</xdr:row>
      <xdr:rowOff>1411</xdr:rowOff>
    </xdr:from>
    <xdr:to>
      <xdr:col>8</xdr:col>
      <xdr:colOff>1243188</xdr:colOff>
      <xdr:row>24</xdr:row>
      <xdr:rowOff>103012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03EB31-DB59-864E-90DD-5431D6C4A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337256</xdr:colOff>
      <xdr:row>11</xdr:row>
      <xdr:rowOff>4233</xdr:rowOff>
    </xdr:from>
    <xdr:to>
      <xdr:col>14</xdr:col>
      <xdr:colOff>541867</xdr:colOff>
      <xdr:row>24</xdr:row>
      <xdr:rowOff>105834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AD0CF3-D6CE-4146-A97B-89020ADFC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325967</xdr:colOff>
      <xdr:row>26</xdr:row>
      <xdr:rowOff>155223</xdr:rowOff>
    </xdr:from>
    <xdr:to>
      <xdr:col>14</xdr:col>
      <xdr:colOff>622300</xdr:colOff>
      <xdr:row>40</xdr:row>
      <xdr:rowOff>53622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0DA1EA-2889-3742-911B-00F00708B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430389</xdr:colOff>
      <xdr:row>26</xdr:row>
      <xdr:rowOff>115712</xdr:rowOff>
    </xdr:from>
    <xdr:to>
      <xdr:col>8</xdr:col>
      <xdr:colOff>1243188</xdr:colOff>
      <xdr:row>40</xdr:row>
      <xdr:rowOff>14111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1A0DA0-0D8E-8F4B-9D3D-B97DE8CFE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18</xdr:col>
      <xdr:colOff>825499</xdr:colOff>
      <xdr:row>19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0363C-7826-4944-8110-731D5CEA7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10</xdr:col>
      <xdr:colOff>12699</xdr:colOff>
      <xdr:row>21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99FA5-48B0-0746-B0D1-02159AEDA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5</xdr:col>
      <xdr:colOff>687211</xdr:colOff>
      <xdr:row>21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B702E-50CA-E14F-A4B0-C0E452C26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9</xdr:col>
      <xdr:colOff>436033</xdr:colOff>
      <xdr:row>27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90E3B-EE86-F34F-B52B-3DFCF79B9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 Patel" refreshedDate="46150.684292939812" createdVersion="8" refreshedVersion="8" minRefreshableVersion="3" recordCount="2000" xr:uid="{7AB1389C-0A3E-0240-9EC3-7E441AE447A1}">
  <cacheSource type="worksheet">
    <worksheetSource ref="A1:K2001" sheet="CustomerSubscriptions"/>
  </cacheSource>
  <cacheFields count="11">
    <cacheField name="Customer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SubscriptionType" numFmtId="0">
      <sharedItems/>
    </cacheField>
    <cacheField name="SubscriptionDate" numFmtId="14">
      <sharedItems containsSemiMixedTypes="0" containsNonDate="0" containsDate="1" containsString="0" minDate="2023-08-12T00:00:00" maxDate="2026-04-09T00:00:00"/>
    </cacheField>
    <cacheField name="LastLoginDate" numFmtId="14">
      <sharedItems containsSemiMixedTypes="0" containsNonDate="0" containsDate="1" containsString="0" minDate="2026-01-08T00:00:00" maxDate="2026-05-09T00:00:00"/>
    </cacheField>
    <cacheField name="TotalSessions" numFmtId="0">
      <sharedItems containsSemiMixedTypes="0" containsString="0" containsNumber="1" containsInteger="1" minValue="0" maxValue="80"/>
    </cacheField>
    <cacheField name="FeedbackScore" numFmtId="0">
      <sharedItems containsSemiMixedTypes="0" containsString="0" containsNumber="1" containsInteger="1" minValue="1" maxValue="10"/>
    </cacheField>
    <cacheField name="IsChurned" numFmtId="0">
      <sharedItems containsSemiMixedTypes="0" containsString="0" containsNumber="1" containsInteger="1" minValue="0" maxValue="1"/>
    </cacheField>
    <cacheField name="Month" numFmtId="0">
      <sharedItems count="33">
        <s v="Apr-2024"/>
        <s v="Nov-2023"/>
        <s v="May-2025"/>
        <s v="Feb-2024"/>
        <s v="Nov-2025"/>
        <s v="Dec-2023"/>
        <s v="May-2024"/>
        <s v="Sep-2023"/>
        <s v="Oct-2023"/>
        <s v="Jan-2024"/>
        <s v="Sep-2024"/>
        <s v="Jun-2024"/>
        <s v="Jul-2025"/>
        <s v="Sep-2025"/>
        <s v="Dec-2024"/>
        <s v="Jul-2024"/>
        <s v="Feb-2026"/>
        <s v="Apr-2025"/>
        <s v="Mar-2025"/>
        <s v="Feb-2025"/>
        <s v="Aug-2025"/>
        <s v="Aug-2024"/>
        <s v="Mar-2026"/>
        <s v="Jan-2025"/>
        <s v="Nov-2024"/>
        <s v="Oct-2025"/>
        <s v="Oct-2024"/>
        <s v="Jun-2025"/>
        <s v="Dec-2025"/>
        <s v="Jan-2026"/>
        <s v="Mar-2024"/>
        <s v="Apr-2026"/>
        <s v="Aug-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UST0001"/>
    <s v="Lisa Sutton"/>
    <n v="21"/>
    <s v="Female"/>
    <s v="Yearly"/>
    <d v="2024-04-18T00:00:00"/>
    <d v="2026-04-10T00:00:00"/>
    <n v="41"/>
    <n v="8"/>
    <n v="0"/>
    <x v="0"/>
  </r>
  <r>
    <s v="CUST0002"/>
    <s v="Vanessa Smith"/>
    <n v="44"/>
    <s v="Other"/>
    <s v="Quarterly"/>
    <d v="2023-11-28T00:00:00"/>
    <d v="2026-04-29T00:00:00"/>
    <n v="50"/>
    <n v="2"/>
    <n v="1"/>
    <x v="1"/>
  </r>
  <r>
    <s v="CUST0003"/>
    <s v="Calvin Morrison"/>
    <n v="51"/>
    <s v="Male"/>
    <s v="Monthly"/>
    <d v="2025-05-20T00:00:00"/>
    <d v="2026-04-28T00:00:00"/>
    <n v="55"/>
    <n v="7"/>
    <n v="0"/>
    <x v="2"/>
  </r>
  <r>
    <s v="CUST0004"/>
    <s v="Nathan Sandoval"/>
    <n v="41"/>
    <s v="Female"/>
    <s v="Monthly"/>
    <d v="2024-02-17T00:00:00"/>
    <d v="2026-04-24T00:00:00"/>
    <n v="10"/>
    <n v="7"/>
    <n v="0"/>
    <x v="3"/>
  </r>
  <r>
    <s v="CUST0005"/>
    <s v="Rachel Moore"/>
    <n v="35"/>
    <s v="Other"/>
    <s v="Monthly"/>
    <d v="2025-11-20T00:00:00"/>
    <d v="2026-01-26T00:00:00"/>
    <n v="63"/>
    <n v="10"/>
    <n v="0"/>
    <x v="4"/>
  </r>
  <r>
    <s v="CUST0006"/>
    <s v="Melissa Cobb"/>
    <n v="36"/>
    <s v="Male"/>
    <s v="Quarterly"/>
    <d v="2023-12-31T00:00:00"/>
    <d v="2026-04-25T00:00:00"/>
    <n v="22"/>
    <n v="9"/>
    <n v="1"/>
    <x v="5"/>
  </r>
  <r>
    <s v="CUST0007"/>
    <s v="Tracy Rios"/>
    <n v="26"/>
    <s v="Male"/>
    <s v="Monthly"/>
    <d v="2024-05-18T00:00:00"/>
    <d v="2026-03-12T00:00:00"/>
    <n v="18"/>
    <n v="8"/>
    <n v="0"/>
    <x v="6"/>
  </r>
  <r>
    <s v="CUST0008"/>
    <s v="Sarah Robinson"/>
    <n v="21"/>
    <s v="Other"/>
    <s v="Quarterly"/>
    <d v="2023-09-05T00:00:00"/>
    <d v="2026-04-03T00:00:00"/>
    <n v="15"/>
    <n v="10"/>
    <n v="0"/>
    <x v="7"/>
  </r>
  <r>
    <s v="CUST0009"/>
    <s v="Marc Cochran"/>
    <n v="20"/>
    <s v="Female"/>
    <s v="Monthly"/>
    <d v="2025-11-21T00:00:00"/>
    <d v="2026-05-04T00:00:00"/>
    <n v="38"/>
    <n v="10"/>
    <n v="0"/>
    <x v="4"/>
  </r>
  <r>
    <s v="CUST0010"/>
    <s v="William Williams"/>
    <n v="37"/>
    <s v="Male"/>
    <s v="Yearly"/>
    <d v="2024-04-12T00:00:00"/>
    <d v="2026-05-08T00:00:00"/>
    <n v="31"/>
    <n v="6"/>
    <n v="0"/>
    <x v="0"/>
  </r>
  <r>
    <s v="CUST0011"/>
    <s v="Ellen Jones"/>
    <n v="48"/>
    <s v="Other"/>
    <s v="Monthly"/>
    <d v="2025-11-24T00:00:00"/>
    <d v="2026-03-25T00:00:00"/>
    <n v="62"/>
    <n v="8"/>
    <n v="0"/>
    <x v="4"/>
  </r>
  <r>
    <s v="CUST0012"/>
    <s v="Grace Peters"/>
    <n v="22"/>
    <s v="Female"/>
    <s v="Yearly"/>
    <d v="2025-11-05T00:00:00"/>
    <d v="2026-02-15T00:00:00"/>
    <n v="0"/>
    <n v="5"/>
    <n v="0"/>
    <x v="4"/>
  </r>
  <r>
    <s v="CUST0013"/>
    <s v="John Williams"/>
    <n v="44"/>
    <s v="Female"/>
    <s v="Monthly"/>
    <d v="2024-02-22T00:00:00"/>
    <d v="2026-02-25T00:00:00"/>
    <n v="42"/>
    <n v="1"/>
    <n v="1"/>
    <x v="3"/>
  </r>
  <r>
    <s v="CUST0014"/>
    <s v="Mark Walters"/>
    <n v="23"/>
    <s v="Female"/>
    <s v="Quarterly"/>
    <d v="2023-10-26T00:00:00"/>
    <d v="2026-04-23T00:00:00"/>
    <n v="49"/>
    <n v="10"/>
    <n v="1"/>
    <x v="8"/>
  </r>
  <r>
    <s v="CUST0015"/>
    <s v="Shelly Reid"/>
    <n v="56"/>
    <s v="Male"/>
    <s v="Monthly"/>
    <d v="2023-10-17T00:00:00"/>
    <d v="2026-02-02T00:00:00"/>
    <n v="73"/>
    <n v="6"/>
    <n v="1"/>
    <x v="8"/>
  </r>
  <r>
    <s v="CUST0016"/>
    <s v="Michael Wilkerson"/>
    <n v="48"/>
    <s v="Male"/>
    <s v="Monthly"/>
    <d v="2023-11-25T00:00:00"/>
    <d v="2026-03-23T00:00:00"/>
    <n v="39"/>
    <n v="7"/>
    <n v="0"/>
    <x v="1"/>
  </r>
  <r>
    <s v="CUST0017"/>
    <s v="Kathryn Hooper"/>
    <n v="47"/>
    <s v="Other"/>
    <s v="Quarterly"/>
    <d v="2025-11-17T00:00:00"/>
    <d v="2026-01-21T00:00:00"/>
    <n v="3"/>
    <n v="3"/>
    <n v="1"/>
    <x v="4"/>
  </r>
  <r>
    <s v="CUST0018"/>
    <s v="Margaret Luna"/>
    <n v="48"/>
    <s v="Other"/>
    <s v="Monthly"/>
    <d v="2023-12-26T00:00:00"/>
    <d v="2026-04-28T00:00:00"/>
    <n v="52"/>
    <n v="10"/>
    <n v="0"/>
    <x v="5"/>
  </r>
  <r>
    <s v="CUST0019"/>
    <s v="Eric Mcdaniel"/>
    <n v="49"/>
    <s v="Female"/>
    <s v="Quarterly"/>
    <d v="2024-01-05T00:00:00"/>
    <d v="2026-04-17T00:00:00"/>
    <n v="31"/>
    <n v="3"/>
    <n v="0"/>
    <x v="9"/>
  </r>
  <r>
    <s v="CUST0020"/>
    <s v="Julia Williams"/>
    <n v="31"/>
    <s v="Male"/>
    <s v="Monthly"/>
    <d v="2024-09-21T00:00:00"/>
    <d v="2026-03-19T00:00:00"/>
    <n v="12"/>
    <n v="10"/>
    <n v="0"/>
    <x v="10"/>
  </r>
  <r>
    <s v="CUST0021"/>
    <s v="George Walker"/>
    <n v="40"/>
    <s v="Other"/>
    <s v="Yearly"/>
    <d v="2024-06-14T00:00:00"/>
    <d v="2026-02-27T00:00:00"/>
    <n v="63"/>
    <n v="10"/>
    <n v="0"/>
    <x v="11"/>
  </r>
  <r>
    <s v="CUST0022"/>
    <s v="Michael Morrow"/>
    <n v="23"/>
    <s v="Other"/>
    <s v="Quarterly"/>
    <d v="2024-05-26T00:00:00"/>
    <d v="2026-05-04T00:00:00"/>
    <n v="9"/>
    <n v="2"/>
    <n v="0"/>
    <x v="6"/>
  </r>
  <r>
    <s v="CUST0023"/>
    <s v="Melinda Adams"/>
    <n v="57"/>
    <s v="Female"/>
    <s v="Monthly"/>
    <d v="2025-07-18T00:00:00"/>
    <d v="2026-02-13T00:00:00"/>
    <n v="77"/>
    <n v="7"/>
    <n v="0"/>
    <x v="12"/>
  </r>
  <r>
    <s v="CUST0024"/>
    <s v="Matthew Sellers Jr."/>
    <n v="35"/>
    <s v="Male"/>
    <s v="Monthly"/>
    <d v="2025-07-25T00:00:00"/>
    <d v="2026-02-04T00:00:00"/>
    <n v="47"/>
    <n v="6"/>
    <n v="0"/>
    <x v="12"/>
  </r>
  <r>
    <s v="CUST0025"/>
    <s v="Robert Ortiz"/>
    <n v="20"/>
    <s v="Male"/>
    <s v="Quarterly"/>
    <d v="2024-01-16T00:00:00"/>
    <d v="2026-03-31T00:00:00"/>
    <n v="47"/>
    <n v="3"/>
    <n v="0"/>
    <x v="9"/>
  </r>
  <r>
    <s v="CUST0026"/>
    <s v="Randy Reyes"/>
    <n v="49"/>
    <s v="Male"/>
    <s v="Yearly"/>
    <d v="2025-09-03T00:00:00"/>
    <d v="2026-03-06T00:00:00"/>
    <n v="10"/>
    <n v="6"/>
    <n v="0"/>
    <x v="13"/>
  </r>
  <r>
    <s v="CUST0027"/>
    <s v="Joe Jones"/>
    <n v="28"/>
    <s v="Other"/>
    <s v="Yearly"/>
    <d v="2025-07-05T00:00:00"/>
    <d v="2026-03-21T00:00:00"/>
    <n v="71"/>
    <n v="8"/>
    <n v="0"/>
    <x v="12"/>
  </r>
  <r>
    <s v="CUST0028"/>
    <s v="William Warren"/>
    <n v="32"/>
    <s v="Female"/>
    <s v="Quarterly"/>
    <d v="2024-12-01T00:00:00"/>
    <d v="2026-04-04T00:00:00"/>
    <n v="26"/>
    <n v="7"/>
    <n v="0"/>
    <x v="14"/>
  </r>
  <r>
    <s v="CUST0029"/>
    <s v="Jason Thornton"/>
    <n v="20"/>
    <s v="Male"/>
    <s v="Yearly"/>
    <d v="2023-12-16T00:00:00"/>
    <d v="2026-04-12T00:00:00"/>
    <n v="42"/>
    <n v="1"/>
    <n v="0"/>
    <x v="5"/>
  </r>
  <r>
    <s v="CUST0030"/>
    <s v="Bill Washington MD"/>
    <n v="28"/>
    <s v="Female"/>
    <s v="Monthly"/>
    <d v="2024-07-25T00:00:00"/>
    <d v="2026-03-15T00:00:00"/>
    <n v="26"/>
    <n v="7"/>
    <n v="0"/>
    <x v="15"/>
  </r>
  <r>
    <s v="CUST0031"/>
    <s v="Arthur Barnes"/>
    <n v="39"/>
    <s v="Male"/>
    <s v="Monthly"/>
    <d v="2024-01-09T00:00:00"/>
    <d v="2026-02-11T00:00:00"/>
    <n v="62"/>
    <n v="5"/>
    <n v="0"/>
    <x v="9"/>
  </r>
  <r>
    <s v="CUST0032"/>
    <s v="Jesse Wilson"/>
    <n v="20"/>
    <s v="Female"/>
    <s v="Monthly"/>
    <d v="2026-02-04T00:00:00"/>
    <d v="2026-01-23T00:00:00"/>
    <n v="37"/>
    <n v="7"/>
    <n v="0"/>
    <x v="16"/>
  </r>
  <r>
    <s v="CUST0033"/>
    <s v="Kelly Callahan"/>
    <n v="42"/>
    <s v="Male"/>
    <s v="Monthly"/>
    <d v="2025-04-12T00:00:00"/>
    <d v="2026-05-04T00:00:00"/>
    <n v="27"/>
    <n v="4"/>
    <n v="1"/>
    <x v="17"/>
  </r>
  <r>
    <s v="CUST0034"/>
    <s v="Stacy Jones"/>
    <n v="48"/>
    <s v="Female"/>
    <s v="Monthly"/>
    <d v="2024-06-18T00:00:00"/>
    <d v="2026-02-28T00:00:00"/>
    <n v="68"/>
    <n v="8"/>
    <n v="0"/>
    <x v="11"/>
  </r>
  <r>
    <s v="CUST0035"/>
    <s v="Jane Reyes"/>
    <n v="27"/>
    <s v="Male"/>
    <s v="Quarterly"/>
    <d v="2025-03-10T00:00:00"/>
    <d v="2026-03-04T00:00:00"/>
    <n v="26"/>
    <n v="5"/>
    <n v="0"/>
    <x v="18"/>
  </r>
  <r>
    <s v="CUST0036"/>
    <s v="David Rivera"/>
    <n v="30"/>
    <s v="Male"/>
    <s v="Quarterly"/>
    <d v="2024-05-26T00:00:00"/>
    <d v="2026-03-10T00:00:00"/>
    <n v="38"/>
    <n v="3"/>
    <n v="1"/>
    <x v="6"/>
  </r>
  <r>
    <s v="CUST0037"/>
    <s v="Daniel Ellis"/>
    <n v="26"/>
    <s v="Male"/>
    <s v="Quarterly"/>
    <d v="2024-06-21T00:00:00"/>
    <d v="2026-02-20T00:00:00"/>
    <n v="6"/>
    <n v="4"/>
    <n v="0"/>
    <x v="11"/>
  </r>
  <r>
    <s v="CUST0038"/>
    <s v="Natasha Yang"/>
    <n v="22"/>
    <s v="Other"/>
    <s v="Yearly"/>
    <d v="2024-05-21T00:00:00"/>
    <d v="2026-05-04T00:00:00"/>
    <n v="43"/>
    <n v="6"/>
    <n v="1"/>
    <x v="6"/>
  </r>
  <r>
    <s v="CUST0039"/>
    <s v="Heidi Burgess"/>
    <n v="27"/>
    <s v="Other"/>
    <s v="Quarterly"/>
    <d v="2024-02-26T00:00:00"/>
    <d v="2026-05-06T00:00:00"/>
    <n v="79"/>
    <n v="3"/>
    <n v="1"/>
    <x v="3"/>
  </r>
  <r>
    <s v="CUST0040"/>
    <s v="Jessica Brown"/>
    <n v="20"/>
    <s v="Male"/>
    <s v="Yearly"/>
    <d v="2024-07-12T00:00:00"/>
    <d v="2026-04-23T00:00:00"/>
    <n v="31"/>
    <n v="6"/>
    <n v="0"/>
    <x v="15"/>
  </r>
  <r>
    <s v="CUST0041"/>
    <s v="Dawn Hayes"/>
    <n v="20"/>
    <s v="Female"/>
    <s v="Quarterly"/>
    <d v="2025-02-04T00:00:00"/>
    <d v="2026-02-19T00:00:00"/>
    <n v="71"/>
    <n v="7"/>
    <n v="1"/>
    <x v="19"/>
  </r>
  <r>
    <s v="CUST0042"/>
    <s v="Rachel Armstrong"/>
    <n v="43"/>
    <s v="Other"/>
    <s v="Quarterly"/>
    <d v="2026-02-02T00:00:00"/>
    <d v="2026-04-17T00:00:00"/>
    <n v="71"/>
    <n v="7"/>
    <n v="1"/>
    <x v="16"/>
  </r>
  <r>
    <s v="CUST0043"/>
    <s v="Randy Davidson"/>
    <n v="43"/>
    <s v="Female"/>
    <s v="Monthly"/>
    <d v="2026-02-26T00:00:00"/>
    <d v="2026-01-25T00:00:00"/>
    <n v="15"/>
    <n v="10"/>
    <n v="1"/>
    <x v="16"/>
  </r>
  <r>
    <s v="CUST0044"/>
    <s v="Nicholas Thompson"/>
    <n v="27"/>
    <s v="Male"/>
    <s v="Quarterly"/>
    <d v="2023-09-29T00:00:00"/>
    <d v="2026-04-30T00:00:00"/>
    <n v="33"/>
    <n v="1"/>
    <n v="1"/>
    <x v="7"/>
  </r>
  <r>
    <s v="CUST0045"/>
    <s v="Donna Washington"/>
    <n v="20"/>
    <s v="Female"/>
    <s v="Yearly"/>
    <d v="2024-05-16T00:00:00"/>
    <d v="2026-02-07T00:00:00"/>
    <n v="45"/>
    <n v="6"/>
    <n v="1"/>
    <x v="6"/>
  </r>
  <r>
    <s v="CUST0046"/>
    <s v="Adrian Weaver"/>
    <n v="60"/>
    <s v="Other"/>
    <s v="Yearly"/>
    <d v="2025-08-13T00:00:00"/>
    <d v="2026-03-13T00:00:00"/>
    <n v="5"/>
    <n v="3"/>
    <n v="0"/>
    <x v="20"/>
  </r>
  <r>
    <s v="CUST0047"/>
    <s v="Marissa Hodges"/>
    <n v="51"/>
    <s v="Other"/>
    <s v="Monthly"/>
    <d v="2024-08-30T00:00:00"/>
    <d v="2026-04-19T00:00:00"/>
    <n v="66"/>
    <n v="2"/>
    <n v="1"/>
    <x v="21"/>
  </r>
  <r>
    <s v="CUST0048"/>
    <s v="Steven Martinez"/>
    <n v="34"/>
    <s v="Male"/>
    <s v="Yearly"/>
    <d v="2024-04-11T00:00:00"/>
    <d v="2026-04-07T00:00:00"/>
    <n v="1"/>
    <n v="5"/>
    <n v="1"/>
    <x v="0"/>
  </r>
  <r>
    <s v="CUST0049"/>
    <s v="Michael Guzman"/>
    <n v="26"/>
    <s v="Female"/>
    <s v="Monthly"/>
    <d v="2023-09-04T00:00:00"/>
    <d v="2026-03-20T00:00:00"/>
    <n v="47"/>
    <n v="3"/>
    <n v="0"/>
    <x v="7"/>
  </r>
  <r>
    <s v="CUST0050"/>
    <s v="Christopher Welch"/>
    <n v="27"/>
    <s v="Other"/>
    <s v="Quarterly"/>
    <d v="2023-10-14T00:00:00"/>
    <d v="2026-02-10T00:00:00"/>
    <n v="18"/>
    <n v="5"/>
    <n v="0"/>
    <x v="8"/>
  </r>
  <r>
    <s v="CUST0051"/>
    <s v="Christina Baker"/>
    <n v="21"/>
    <s v="Male"/>
    <s v="Yearly"/>
    <d v="2025-09-20T00:00:00"/>
    <d v="2026-04-28T00:00:00"/>
    <n v="68"/>
    <n v="4"/>
    <n v="1"/>
    <x v="13"/>
  </r>
  <r>
    <s v="CUST0052"/>
    <s v="Eric Johns"/>
    <n v="50"/>
    <s v="Male"/>
    <s v="Quarterly"/>
    <d v="2024-02-10T00:00:00"/>
    <d v="2026-04-13T00:00:00"/>
    <n v="0"/>
    <n v="8"/>
    <n v="1"/>
    <x v="3"/>
  </r>
  <r>
    <s v="CUST0053"/>
    <s v="Stephen Rodriguez"/>
    <n v="24"/>
    <s v="Other"/>
    <s v="Yearly"/>
    <d v="2024-07-20T00:00:00"/>
    <d v="2026-03-09T00:00:00"/>
    <n v="16"/>
    <n v="6"/>
    <n v="0"/>
    <x v="15"/>
  </r>
  <r>
    <s v="CUST0054"/>
    <s v="Kelly Powell"/>
    <n v="47"/>
    <s v="Female"/>
    <s v="Quarterly"/>
    <d v="2026-03-02T00:00:00"/>
    <d v="2026-02-07T00:00:00"/>
    <n v="30"/>
    <n v="5"/>
    <n v="0"/>
    <x v="22"/>
  </r>
  <r>
    <s v="CUST0055"/>
    <s v="Angela King"/>
    <n v="41"/>
    <s v="Male"/>
    <s v="Monthly"/>
    <d v="2025-01-05T00:00:00"/>
    <d v="2026-03-26T00:00:00"/>
    <n v="44"/>
    <n v="5"/>
    <n v="0"/>
    <x v="23"/>
  </r>
  <r>
    <s v="CUST0056"/>
    <s v="Jacob Cain"/>
    <n v="23"/>
    <s v="Other"/>
    <s v="Monthly"/>
    <d v="2024-01-01T00:00:00"/>
    <d v="2026-05-06T00:00:00"/>
    <n v="6"/>
    <n v="5"/>
    <n v="0"/>
    <x v="9"/>
  </r>
  <r>
    <s v="CUST0057"/>
    <s v="Tracy Mccormick"/>
    <n v="42"/>
    <s v="Other"/>
    <s v="Monthly"/>
    <d v="2025-09-14T00:00:00"/>
    <d v="2026-02-09T00:00:00"/>
    <n v="18"/>
    <n v="6"/>
    <n v="0"/>
    <x v="13"/>
  </r>
  <r>
    <s v="CUST0058"/>
    <s v="Stephanie Sherman"/>
    <n v="45"/>
    <s v="Female"/>
    <s v="Quarterly"/>
    <d v="2024-12-15T00:00:00"/>
    <d v="2026-04-08T00:00:00"/>
    <n v="24"/>
    <n v="10"/>
    <n v="0"/>
    <x v="14"/>
  </r>
  <r>
    <s v="CUST0059"/>
    <s v="Kenneth Bentley"/>
    <n v="40"/>
    <s v="Female"/>
    <s v="Monthly"/>
    <d v="2024-02-02T00:00:00"/>
    <d v="2026-02-03T00:00:00"/>
    <n v="22"/>
    <n v="2"/>
    <n v="1"/>
    <x v="3"/>
  </r>
  <r>
    <s v="CUST0060"/>
    <s v="Melanie Kelley"/>
    <n v="43"/>
    <s v="Male"/>
    <s v="Yearly"/>
    <d v="2025-08-08T00:00:00"/>
    <d v="2026-03-01T00:00:00"/>
    <n v="71"/>
    <n v="3"/>
    <n v="1"/>
    <x v="20"/>
  </r>
  <r>
    <s v="CUST0061"/>
    <s v="Michael Dawson"/>
    <n v="42"/>
    <s v="Male"/>
    <s v="Yearly"/>
    <d v="2025-03-21T00:00:00"/>
    <d v="2026-01-10T00:00:00"/>
    <n v="25"/>
    <n v="6"/>
    <n v="0"/>
    <x v="18"/>
  </r>
  <r>
    <s v="CUST0062"/>
    <s v="John Martin"/>
    <n v="47"/>
    <s v="Female"/>
    <s v="Monthly"/>
    <d v="2024-08-16T00:00:00"/>
    <d v="2026-05-08T00:00:00"/>
    <n v="66"/>
    <n v="10"/>
    <n v="0"/>
    <x v="21"/>
  </r>
  <r>
    <s v="CUST0063"/>
    <s v="Crystal Rodriguez"/>
    <n v="58"/>
    <s v="Other"/>
    <s v="Yearly"/>
    <d v="2025-09-10T00:00:00"/>
    <d v="2026-02-03T00:00:00"/>
    <n v="57"/>
    <n v="2"/>
    <n v="1"/>
    <x v="13"/>
  </r>
  <r>
    <s v="CUST0064"/>
    <s v="Jenna Martin"/>
    <n v="43"/>
    <s v="Other"/>
    <s v="Monthly"/>
    <d v="2025-02-12T00:00:00"/>
    <d v="2026-02-02T00:00:00"/>
    <n v="77"/>
    <n v="7"/>
    <n v="1"/>
    <x v="19"/>
  </r>
  <r>
    <s v="CUST0065"/>
    <s v="Anna Jacobson"/>
    <n v="43"/>
    <s v="Female"/>
    <s v="Quarterly"/>
    <d v="2024-11-26T00:00:00"/>
    <d v="2026-03-01T00:00:00"/>
    <n v="50"/>
    <n v="6"/>
    <n v="0"/>
    <x v="24"/>
  </r>
  <r>
    <s v="CUST0066"/>
    <s v="Daniel Shelton"/>
    <n v="21"/>
    <s v="Female"/>
    <s v="Quarterly"/>
    <d v="2025-09-21T00:00:00"/>
    <d v="2026-02-27T00:00:00"/>
    <n v="38"/>
    <n v="10"/>
    <n v="1"/>
    <x v="13"/>
  </r>
  <r>
    <s v="CUST0067"/>
    <s v="Jason Rivera"/>
    <n v="56"/>
    <s v="Other"/>
    <s v="Quarterly"/>
    <d v="2025-07-02T00:00:00"/>
    <d v="2026-04-12T00:00:00"/>
    <n v="79"/>
    <n v="4"/>
    <n v="0"/>
    <x v="12"/>
  </r>
  <r>
    <s v="CUST0068"/>
    <s v="Matthew Smith"/>
    <n v="35"/>
    <s v="Other"/>
    <s v="Quarterly"/>
    <d v="2025-10-05T00:00:00"/>
    <d v="2026-03-02T00:00:00"/>
    <n v="80"/>
    <n v="9"/>
    <n v="0"/>
    <x v="25"/>
  </r>
  <r>
    <s v="CUST0069"/>
    <s v="Kristen Bailey"/>
    <n v="20"/>
    <s v="Male"/>
    <s v="Monthly"/>
    <d v="2024-10-14T00:00:00"/>
    <d v="2026-03-21T00:00:00"/>
    <n v="58"/>
    <n v="8"/>
    <n v="0"/>
    <x v="26"/>
  </r>
  <r>
    <s v="CUST0070"/>
    <s v="Amy Clark"/>
    <n v="57"/>
    <s v="Male"/>
    <s v="Quarterly"/>
    <d v="2025-09-09T00:00:00"/>
    <d v="2026-01-09T00:00:00"/>
    <n v="2"/>
    <n v="9"/>
    <n v="1"/>
    <x v="13"/>
  </r>
  <r>
    <s v="CUST0071"/>
    <s v="Willie Shelton"/>
    <n v="57"/>
    <s v="Female"/>
    <s v="Monthly"/>
    <d v="2025-08-28T00:00:00"/>
    <d v="2026-02-16T00:00:00"/>
    <n v="73"/>
    <n v="6"/>
    <n v="1"/>
    <x v="20"/>
  </r>
  <r>
    <s v="CUST0072"/>
    <s v="Lori Cruz"/>
    <n v="51"/>
    <s v="Male"/>
    <s v="Quarterly"/>
    <d v="2024-09-20T00:00:00"/>
    <d v="2026-03-15T00:00:00"/>
    <n v="6"/>
    <n v="9"/>
    <n v="0"/>
    <x v="10"/>
  </r>
  <r>
    <s v="CUST0073"/>
    <s v="Michael Castro"/>
    <n v="35"/>
    <s v="Male"/>
    <s v="Yearly"/>
    <d v="2025-11-09T00:00:00"/>
    <d v="2026-01-16T00:00:00"/>
    <n v="27"/>
    <n v="6"/>
    <n v="0"/>
    <x v="4"/>
  </r>
  <r>
    <s v="CUST0074"/>
    <s v="Leslie Navarro"/>
    <n v="41"/>
    <s v="Female"/>
    <s v="Monthly"/>
    <d v="2023-12-18T00:00:00"/>
    <d v="2026-05-01T00:00:00"/>
    <n v="36"/>
    <n v="9"/>
    <n v="0"/>
    <x v="5"/>
  </r>
  <r>
    <s v="CUST0075"/>
    <s v="Steven James"/>
    <n v="21"/>
    <s v="Male"/>
    <s v="Quarterly"/>
    <d v="2025-04-22T00:00:00"/>
    <d v="2026-01-10T00:00:00"/>
    <n v="76"/>
    <n v="6"/>
    <n v="0"/>
    <x v="17"/>
  </r>
  <r>
    <s v="CUST0076"/>
    <s v="Adam Weiss"/>
    <n v="24"/>
    <s v="Female"/>
    <s v="Monthly"/>
    <d v="2025-09-23T00:00:00"/>
    <d v="2026-04-14T00:00:00"/>
    <n v="34"/>
    <n v="8"/>
    <n v="0"/>
    <x v="13"/>
  </r>
  <r>
    <s v="CUST0077"/>
    <s v="Elizabeth Lopez"/>
    <n v="47"/>
    <s v="Other"/>
    <s v="Monthly"/>
    <d v="2025-01-07T00:00:00"/>
    <d v="2026-04-14T00:00:00"/>
    <n v="20"/>
    <n v="6"/>
    <n v="0"/>
    <x v="23"/>
  </r>
  <r>
    <s v="CUST0078"/>
    <s v="Donald Hurst"/>
    <n v="41"/>
    <s v="Male"/>
    <s v="Quarterly"/>
    <d v="2025-06-09T00:00:00"/>
    <d v="2026-04-12T00:00:00"/>
    <n v="43"/>
    <n v="8"/>
    <n v="0"/>
    <x v="27"/>
  </r>
  <r>
    <s v="CUST0079"/>
    <s v="Corey Watkins"/>
    <n v="32"/>
    <s v="Male"/>
    <s v="Quarterly"/>
    <d v="2025-03-29T00:00:00"/>
    <d v="2026-02-03T00:00:00"/>
    <n v="7"/>
    <n v="6"/>
    <n v="1"/>
    <x v="18"/>
  </r>
  <r>
    <s v="CUST0080"/>
    <s v="Christina Roman"/>
    <n v="51"/>
    <s v="Female"/>
    <s v="Monthly"/>
    <d v="2024-08-26T00:00:00"/>
    <d v="2026-02-19T00:00:00"/>
    <n v="55"/>
    <n v="5"/>
    <n v="0"/>
    <x v="21"/>
  </r>
  <r>
    <s v="CUST0081"/>
    <s v="Paula Williams"/>
    <n v="22"/>
    <s v="Female"/>
    <s v="Monthly"/>
    <d v="2024-12-21T00:00:00"/>
    <d v="2026-02-13T00:00:00"/>
    <n v="72"/>
    <n v="6"/>
    <n v="1"/>
    <x v="14"/>
  </r>
  <r>
    <s v="CUST0082"/>
    <s v="Fernando Cole"/>
    <n v="59"/>
    <s v="Female"/>
    <s v="Monthly"/>
    <d v="2025-08-09T00:00:00"/>
    <d v="2026-01-26T00:00:00"/>
    <n v="35"/>
    <n v="3"/>
    <n v="1"/>
    <x v="20"/>
  </r>
  <r>
    <s v="CUST0083"/>
    <s v="Riley Osborn"/>
    <n v="43"/>
    <s v="Other"/>
    <s v="Monthly"/>
    <d v="2025-12-30T00:00:00"/>
    <d v="2026-03-09T00:00:00"/>
    <n v="65"/>
    <n v="4"/>
    <n v="0"/>
    <x v="28"/>
  </r>
  <r>
    <s v="CUST0084"/>
    <s v="Brittany Kelley"/>
    <n v="51"/>
    <s v="Male"/>
    <s v="Monthly"/>
    <d v="2024-02-16T00:00:00"/>
    <d v="2026-03-09T00:00:00"/>
    <n v="70"/>
    <n v="4"/>
    <n v="1"/>
    <x v="3"/>
  </r>
  <r>
    <s v="CUST0085"/>
    <s v="Angela English"/>
    <n v="40"/>
    <s v="Male"/>
    <s v="Yearly"/>
    <d v="2025-08-17T00:00:00"/>
    <d v="2026-01-22T00:00:00"/>
    <n v="43"/>
    <n v="8"/>
    <n v="0"/>
    <x v="20"/>
  </r>
  <r>
    <s v="CUST0086"/>
    <s v="Shane Watson"/>
    <n v="37"/>
    <s v="Male"/>
    <s v="Monthly"/>
    <d v="2025-03-11T00:00:00"/>
    <d v="2026-04-11T00:00:00"/>
    <n v="6"/>
    <n v="4"/>
    <n v="1"/>
    <x v="18"/>
  </r>
  <r>
    <s v="CUST0087"/>
    <s v="James Hoffman"/>
    <n v="36"/>
    <s v="Female"/>
    <s v="Yearly"/>
    <d v="2025-04-10T00:00:00"/>
    <d v="2026-02-23T00:00:00"/>
    <n v="11"/>
    <n v="4"/>
    <n v="1"/>
    <x v="17"/>
  </r>
  <r>
    <s v="CUST0088"/>
    <s v="Angela Pace"/>
    <n v="29"/>
    <s v="Female"/>
    <s v="Monthly"/>
    <d v="2026-02-09T00:00:00"/>
    <d v="2026-03-26T00:00:00"/>
    <n v="54"/>
    <n v="8"/>
    <n v="0"/>
    <x v="16"/>
  </r>
  <r>
    <s v="CUST0089"/>
    <s v="Dr. Nicole Mendez"/>
    <n v="30"/>
    <s v="Other"/>
    <s v="Quarterly"/>
    <d v="2025-03-09T00:00:00"/>
    <d v="2026-05-07T00:00:00"/>
    <n v="9"/>
    <n v="7"/>
    <n v="1"/>
    <x v="18"/>
  </r>
  <r>
    <s v="CUST0090"/>
    <s v="Mark Kelly"/>
    <n v="58"/>
    <s v="Other"/>
    <s v="Monthly"/>
    <d v="2023-11-24T00:00:00"/>
    <d v="2026-05-04T00:00:00"/>
    <n v="60"/>
    <n v="3"/>
    <n v="0"/>
    <x v="1"/>
  </r>
  <r>
    <s v="CUST0091"/>
    <s v="Joseph Khan"/>
    <n v="41"/>
    <s v="Male"/>
    <s v="Monthly"/>
    <d v="2025-01-30T00:00:00"/>
    <d v="2026-03-26T00:00:00"/>
    <n v="47"/>
    <n v="8"/>
    <n v="0"/>
    <x v="23"/>
  </r>
  <r>
    <s v="CUST0092"/>
    <s v="Gerald Bradley"/>
    <n v="20"/>
    <s v="Male"/>
    <s v="Quarterly"/>
    <d v="2026-03-07T00:00:00"/>
    <d v="2026-01-10T00:00:00"/>
    <n v="28"/>
    <n v="4"/>
    <n v="1"/>
    <x v="22"/>
  </r>
  <r>
    <s v="CUST0093"/>
    <s v="William Jefferson"/>
    <n v="53"/>
    <s v="Female"/>
    <s v="Monthly"/>
    <d v="2023-10-07T00:00:00"/>
    <d v="2026-01-23T00:00:00"/>
    <n v="35"/>
    <n v="5"/>
    <n v="0"/>
    <x v="8"/>
  </r>
  <r>
    <s v="CUST0094"/>
    <s v="Patricia Snyder"/>
    <n v="47"/>
    <s v="Female"/>
    <s v="Quarterly"/>
    <d v="2023-09-06T00:00:00"/>
    <d v="2026-02-20T00:00:00"/>
    <n v="26"/>
    <n v="6"/>
    <n v="0"/>
    <x v="7"/>
  </r>
  <r>
    <s v="CUST0095"/>
    <s v="Claudia Williams"/>
    <n v="32"/>
    <s v="Female"/>
    <s v="Monthly"/>
    <d v="2026-01-20T00:00:00"/>
    <d v="2026-01-30T00:00:00"/>
    <n v="55"/>
    <n v="1"/>
    <n v="1"/>
    <x v="29"/>
  </r>
  <r>
    <s v="CUST0096"/>
    <s v="George Whitney"/>
    <n v="30"/>
    <s v="Male"/>
    <s v="Quarterly"/>
    <d v="2026-03-30T00:00:00"/>
    <d v="2026-02-14T00:00:00"/>
    <n v="27"/>
    <n v="6"/>
    <n v="0"/>
    <x v="22"/>
  </r>
  <r>
    <s v="CUST0097"/>
    <s v="Rachel Ellis"/>
    <n v="31"/>
    <s v="Female"/>
    <s v="Monthly"/>
    <d v="2024-08-03T00:00:00"/>
    <d v="2026-04-11T00:00:00"/>
    <n v="18"/>
    <n v="4"/>
    <n v="0"/>
    <x v="21"/>
  </r>
  <r>
    <s v="CUST0098"/>
    <s v="Robert Mullins"/>
    <n v="44"/>
    <s v="Female"/>
    <s v="Monthly"/>
    <d v="2024-07-24T00:00:00"/>
    <d v="2026-01-17T00:00:00"/>
    <n v="53"/>
    <n v="5"/>
    <n v="1"/>
    <x v="15"/>
  </r>
  <r>
    <s v="CUST0099"/>
    <s v="Jimmy Haynes"/>
    <n v="38"/>
    <s v="Other"/>
    <s v="Monthly"/>
    <d v="2024-08-05T00:00:00"/>
    <d v="2026-01-24T00:00:00"/>
    <n v="72"/>
    <n v="9"/>
    <n v="0"/>
    <x v="21"/>
  </r>
  <r>
    <s v="CUST0100"/>
    <s v="David Riley"/>
    <n v="30"/>
    <s v="Female"/>
    <s v="Monthly"/>
    <d v="2023-10-31T00:00:00"/>
    <d v="2026-02-25T00:00:00"/>
    <n v="46"/>
    <n v="1"/>
    <n v="1"/>
    <x v="8"/>
  </r>
  <r>
    <s v="CUST0101"/>
    <s v="Adam Solomon"/>
    <n v="23"/>
    <s v="Female"/>
    <s v="Quarterly"/>
    <d v="2024-12-08T00:00:00"/>
    <d v="2026-01-12T00:00:00"/>
    <n v="30"/>
    <n v="9"/>
    <n v="0"/>
    <x v="14"/>
  </r>
  <r>
    <s v="CUST0102"/>
    <s v="Jason Thompson"/>
    <n v="27"/>
    <s v="Male"/>
    <s v="Monthly"/>
    <d v="2024-04-26T00:00:00"/>
    <d v="2026-03-13T00:00:00"/>
    <n v="43"/>
    <n v="8"/>
    <n v="0"/>
    <x v="0"/>
  </r>
  <r>
    <s v="CUST0103"/>
    <s v="Lee Brown"/>
    <n v="58"/>
    <s v="Other"/>
    <s v="Quarterly"/>
    <d v="2025-10-10T00:00:00"/>
    <d v="2026-04-26T00:00:00"/>
    <n v="50"/>
    <n v="6"/>
    <n v="0"/>
    <x v="25"/>
  </r>
  <r>
    <s v="CUST0104"/>
    <s v="Angel Reeves"/>
    <n v="35"/>
    <s v="Other"/>
    <s v="Yearly"/>
    <d v="2024-12-25T00:00:00"/>
    <d v="2026-02-22T00:00:00"/>
    <n v="15"/>
    <n v="3"/>
    <n v="0"/>
    <x v="14"/>
  </r>
  <r>
    <s v="CUST0105"/>
    <s v="Aaron Mclaughlin"/>
    <n v="42"/>
    <s v="Other"/>
    <s v="Quarterly"/>
    <d v="2024-01-07T00:00:00"/>
    <d v="2026-03-25T00:00:00"/>
    <n v="24"/>
    <n v="2"/>
    <n v="0"/>
    <x v="9"/>
  </r>
  <r>
    <s v="CUST0106"/>
    <s v="Jason Rodriguez"/>
    <n v="51"/>
    <s v="Male"/>
    <s v="Quarterly"/>
    <d v="2024-11-19T00:00:00"/>
    <d v="2026-01-15T00:00:00"/>
    <n v="52"/>
    <n v="9"/>
    <n v="0"/>
    <x v="24"/>
  </r>
  <r>
    <s v="CUST0107"/>
    <s v="Joseph Burnett"/>
    <n v="21"/>
    <s v="Male"/>
    <s v="Monthly"/>
    <d v="2026-03-04T00:00:00"/>
    <d v="2026-03-08T00:00:00"/>
    <n v="77"/>
    <n v="10"/>
    <n v="0"/>
    <x v="22"/>
  </r>
  <r>
    <s v="CUST0108"/>
    <s v="Cassidy Graves"/>
    <n v="58"/>
    <s v="Male"/>
    <s v="Yearly"/>
    <d v="2024-10-08T00:00:00"/>
    <d v="2026-02-13T00:00:00"/>
    <n v="45"/>
    <n v="5"/>
    <n v="0"/>
    <x v="26"/>
  </r>
  <r>
    <s v="CUST0109"/>
    <s v="Brian Rodriguez"/>
    <n v="42"/>
    <s v="Male"/>
    <s v="Quarterly"/>
    <d v="2025-02-02T00:00:00"/>
    <d v="2026-01-29T00:00:00"/>
    <n v="75"/>
    <n v="8"/>
    <n v="0"/>
    <x v="19"/>
  </r>
  <r>
    <s v="CUST0110"/>
    <s v="Matthew Robinson"/>
    <n v="46"/>
    <s v="Other"/>
    <s v="Monthly"/>
    <d v="2025-12-27T00:00:00"/>
    <d v="2026-03-02T00:00:00"/>
    <n v="6"/>
    <n v="2"/>
    <n v="1"/>
    <x v="28"/>
  </r>
  <r>
    <s v="CUST0111"/>
    <s v="Sara Spencer"/>
    <n v="34"/>
    <s v="Female"/>
    <s v="Monthly"/>
    <d v="2024-05-08T00:00:00"/>
    <d v="2026-02-23T00:00:00"/>
    <n v="0"/>
    <n v="6"/>
    <n v="0"/>
    <x v="6"/>
  </r>
  <r>
    <s v="CUST0112"/>
    <s v="Janet Burns"/>
    <n v="36"/>
    <s v="Other"/>
    <s v="Quarterly"/>
    <d v="2026-01-20T00:00:00"/>
    <d v="2026-01-17T00:00:00"/>
    <n v="67"/>
    <n v="4"/>
    <n v="1"/>
    <x v="29"/>
  </r>
  <r>
    <s v="CUST0113"/>
    <s v="Joshua Kirk"/>
    <n v="52"/>
    <s v="Other"/>
    <s v="Quarterly"/>
    <d v="2025-08-28T00:00:00"/>
    <d v="2026-04-26T00:00:00"/>
    <n v="26"/>
    <n v="5"/>
    <n v="0"/>
    <x v="20"/>
  </r>
  <r>
    <s v="CUST0114"/>
    <s v="Gregory Huynh"/>
    <n v="24"/>
    <s v="Male"/>
    <s v="Monthly"/>
    <d v="2024-12-16T00:00:00"/>
    <d v="2026-03-16T00:00:00"/>
    <n v="3"/>
    <n v="9"/>
    <n v="1"/>
    <x v="14"/>
  </r>
  <r>
    <s v="CUST0115"/>
    <s v="Heather Vincent"/>
    <n v="50"/>
    <s v="Female"/>
    <s v="Yearly"/>
    <d v="2025-08-15T00:00:00"/>
    <d v="2026-03-13T00:00:00"/>
    <n v="10"/>
    <n v="9"/>
    <n v="0"/>
    <x v="20"/>
  </r>
  <r>
    <s v="CUST0116"/>
    <s v="Julie Moreno"/>
    <n v="31"/>
    <s v="Other"/>
    <s v="Yearly"/>
    <d v="2025-02-19T00:00:00"/>
    <d v="2026-04-11T00:00:00"/>
    <n v="65"/>
    <n v="3"/>
    <n v="1"/>
    <x v="19"/>
  </r>
  <r>
    <s v="CUST0117"/>
    <s v="Patricia Warner"/>
    <n v="35"/>
    <s v="Other"/>
    <s v="Monthly"/>
    <d v="2023-11-23T00:00:00"/>
    <d v="2026-03-15T00:00:00"/>
    <n v="78"/>
    <n v="1"/>
    <n v="1"/>
    <x v="1"/>
  </r>
  <r>
    <s v="CUST0118"/>
    <s v="Joseph Lopez MD"/>
    <n v="27"/>
    <s v="Male"/>
    <s v="Quarterly"/>
    <d v="2024-08-28T00:00:00"/>
    <d v="2026-04-06T00:00:00"/>
    <n v="31"/>
    <n v="10"/>
    <n v="0"/>
    <x v="21"/>
  </r>
  <r>
    <s v="CUST0119"/>
    <s v="Kimberly Hunter"/>
    <n v="41"/>
    <s v="Other"/>
    <s v="Quarterly"/>
    <d v="2025-11-13T00:00:00"/>
    <d v="2026-03-10T00:00:00"/>
    <n v="25"/>
    <n v="8"/>
    <n v="0"/>
    <x v="4"/>
  </r>
  <r>
    <s v="CUST0120"/>
    <s v="Joshua Knapp"/>
    <n v="23"/>
    <s v="Female"/>
    <s v="Monthly"/>
    <d v="2025-12-20T00:00:00"/>
    <d v="2026-01-16T00:00:00"/>
    <n v="57"/>
    <n v="2"/>
    <n v="1"/>
    <x v="28"/>
  </r>
  <r>
    <s v="CUST0121"/>
    <s v="Richard Ferguson"/>
    <n v="30"/>
    <s v="Other"/>
    <s v="Quarterly"/>
    <d v="2023-11-11T00:00:00"/>
    <d v="2026-03-11T00:00:00"/>
    <n v="49"/>
    <n v="2"/>
    <n v="0"/>
    <x v="1"/>
  </r>
  <r>
    <s v="CUST0122"/>
    <s v="Anna Martin"/>
    <n v="31"/>
    <s v="Female"/>
    <s v="Monthly"/>
    <d v="2024-07-11T00:00:00"/>
    <d v="2026-03-17T00:00:00"/>
    <n v="74"/>
    <n v="5"/>
    <n v="0"/>
    <x v="15"/>
  </r>
  <r>
    <s v="CUST0123"/>
    <s v="Christopher Black"/>
    <n v="52"/>
    <s v="Male"/>
    <s v="Monthly"/>
    <d v="2025-10-31T00:00:00"/>
    <d v="2026-03-08T00:00:00"/>
    <n v="16"/>
    <n v="9"/>
    <n v="1"/>
    <x v="25"/>
  </r>
  <r>
    <s v="CUST0124"/>
    <s v="Lindsay Martinez"/>
    <n v="27"/>
    <s v="Male"/>
    <s v="Monthly"/>
    <d v="2024-07-28T00:00:00"/>
    <d v="2026-04-05T00:00:00"/>
    <n v="6"/>
    <n v="9"/>
    <n v="0"/>
    <x v="15"/>
  </r>
  <r>
    <s v="CUST0125"/>
    <s v="Mrs. Brittany Flores DVM"/>
    <n v="20"/>
    <s v="Female"/>
    <s v="Monthly"/>
    <d v="2025-08-30T00:00:00"/>
    <d v="2026-03-05T00:00:00"/>
    <n v="37"/>
    <n v="1"/>
    <n v="1"/>
    <x v="20"/>
  </r>
  <r>
    <s v="CUST0126"/>
    <s v="Rachel Green"/>
    <n v="53"/>
    <s v="Male"/>
    <s v="Yearly"/>
    <d v="2024-04-26T00:00:00"/>
    <d v="2026-04-05T00:00:00"/>
    <n v="39"/>
    <n v="6"/>
    <n v="0"/>
    <x v="0"/>
  </r>
  <r>
    <s v="CUST0127"/>
    <s v="Mr. Devin Blanchard"/>
    <n v="51"/>
    <s v="Other"/>
    <s v="Monthly"/>
    <d v="2023-11-24T00:00:00"/>
    <d v="2026-01-19T00:00:00"/>
    <n v="52"/>
    <n v="7"/>
    <n v="0"/>
    <x v="1"/>
  </r>
  <r>
    <s v="CUST0128"/>
    <s v="Tamara Schultz"/>
    <n v="58"/>
    <s v="Other"/>
    <s v="Monthly"/>
    <d v="2025-07-21T00:00:00"/>
    <d v="2026-03-18T00:00:00"/>
    <n v="72"/>
    <n v="6"/>
    <n v="0"/>
    <x v="12"/>
  </r>
  <r>
    <s v="CUST0129"/>
    <s v="Juan Roberts"/>
    <n v="47"/>
    <s v="Female"/>
    <s v="Quarterly"/>
    <d v="2024-12-08T00:00:00"/>
    <d v="2026-04-26T00:00:00"/>
    <n v="11"/>
    <n v="2"/>
    <n v="1"/>
    <x v="14"/>
  </r>
  <r>
    <s v="CUST0130"/>
    <s v="Kevin Webb"/>
    <n v="33"/>
    <s v="Male"/>
    <s v="Monthly"/>
    <d v="2024-07-30T00:00:00"/>
    <d v="2026-04-27T00:00:00"/>
    <n v="2"/>
    <n v="7"/>
    <n v="0"/>
    <x v="15"/>
  </r>
  <r>
    <s v="CUST0131"/>
    <s v="Sheena Cochran"/>
    <n v="40"/>
    <s v="Other"/>
    <s v="Yearly"/>
    <d v="2023-12-12T00:00:00"/>
    <d v="2026-01-14T00:00:00"/>
    <n v="48"/>
    <n v="3"/>
    <n v="0"/>
    <x v="5"/>
  </r>
  <r>
    <s v="CUST0132"/>
    <s v="Donna Griffin"/>
    <n v="33"/>
    <s v="Female"/>
    <s v="Monthly"/>
    <d v="2025-12-17T00:00:00"/>
    <d v="2026-04-09T00:00:00"/>
    <n v="10"/>
    <n v="2"/>
    <n v="0"/>
    <x v="28"/>
  </r>
  <r>
    <s v="CUST0133"/>
    <s v="Brent Cox"/>
    <n v="56"/>
    <s v="Female"/>
    <s v="Monthly"/>
    <d v="2024-12-07T00:00:00"/>
    <d v="2026-02-28T00:00:00"/>
    <n v="55"/>
    <n v="5"/>
    <n v="0"/>
    <x v="14"/>
  </r>
  <r>
    <s v="CUST0134"/>
    <s v="Kim Colon"/>
    <n v="23"/>
    <s v="Other"/>
    <s v="Monthly"/>
    <d v="2024-11-22T00:00:00"/>
    <d v="2026-01-16T00:00:00"/>
    <n v="67"/>
    <n v="7"/>
    <n v="0"/>
    <x v="24"/>
  </r>
  <r>
    <s v="CUST0135"/>
    <s v="Curtis Guerrero"/>
    <n v="42"/>
    <s v="Female"/>
    <s v="Monthly"/>
    <d v="2024-02-21T00:00:00"/>
    <d v="2026-04-26T00:00:00"/>
    <n v="2"/>
    <n v="8"/>
    <n v="0"/>
    <x v="3"/>
  </r>
  <r>
    <s v="CUST0136"/>
    <s v="Miss Tammy Tran"/>
    <n v="38"/>
    <s v="Male"/>
    <s v="Quarterly"/>
    <d v="2024-07-07T00:00:00"/>
    <d v="2026-04-09T00:00:00"/>
    <n v="1"/>
    <n v="9"/>
    <n v="1"/>
    <x v="15"/>
  </r>
  <r>
    <s v="CUST0137"/>
    <s v="James Swanson"/>
    <n v="40"/>
    <s v="Female"/>
    <s v="Monthly"/>
    <d v="2024-08-23T00:00:00"/>
    <d v="2026-02-28T00:00:00"/>
    <n v="24"/>
    <n v="5"/>
    <n v="0"/>
    <x v="21"/>
  </r>
  <r>
    <s v="CUST0138"/>
    <s v="Daniel Adams"/>
    <n v="23"/>
    <s v="Female"/>
    <s v="Monthly"/>
    <d v="2025-11-25T00:00:00"/>
    <d v="2026-02-02T00:00:00"/>
    <n v="57"/>
    <n v="5"/>
    <n v="1"/>
    <x v="4"/>
  </r>
  <r>
    <s v="CUST0139"/>
    <s v="Thomas Allison"/>
    <n v="45"/>
    <s v="Male"/>
    <s v="Monthly"/>
    <d v="2023-10-03T00:00:00"/>
    <d v="2026-01-13T00:00:00"/>
    <n v="8"/>
    <n v="3"/>
    <n v="1"/>
    <x v="8"/>
  </r>
  <r>
    <s v="CUST0140"/>
    <s v="Diane Mccarty"/>
    <n v="44"/>
    <s v="Other"/>
    <s v="Monthly"/>
    <d v="2026-01-23T00:00:00"/>
    <d v="2026-03-30T00:00:00"/>
    <n v="3"/>
    <n v="8"/>
    <n v="0"/>
    <x v="29"/>
  </r>
  <r>
    <s v="CUST0141"/>
    <s v="Vincent Huber"/>
    <n v="36"/>
    <s v="Female"/>
    <s v="Yearly"/>
    <d v="2025-05-16T00:00:00"/>
    <d v="2026-03-25T00:00:00"/>
    <n v="69"/>
    <n v="8"/>
    <n v="0"/>
    <x v="2"/>
  </r>
  <r>
    <s v="CUST0142"/>
    <s v="James Webster DDS"/>
    <n v="52"/>
    <s v="Male"/>
    <s v="Monthly"/>
    <d v="2023-09-30T00:00:00"/>
    <d v="2026-03-07T00:00:00"/>
    <n v="41"/>
    <n v="6"/>
    <n v="0"/>
    <x v="7"/>
  </r>
  <r>
    <s v="CUST0143"/>
    <s v="Diana Williams"/>
    <n v="51"/>
    <s v="Male"/>
    <s v="Yearly"/>
    <d v="2024-07-29T00:00:00"/>
    <d v="2026-02-06T00:00:00"/>
    <n v="24"/>
    <n v="3"/>
    <n v="0"/>
    <x v="15"/>
  </r>
  <r>
    <s v="CUST0144"/>
    <s v="Ryan Williams"/>
    <n v="25"/>
    <s v="Male"/>
    <s v="Monthly"/>
    <d v="2025-07-30T00:00:00"/>
    <d v="2026-05-04T00:00:00"/>
    <n v="35"/>
    <n v="6"/>
    <n v="0"/>
    <x v="12"/>
  </r>
  <r>
    <s v="CUST0145"/>
    <s v="Kerry Holloway"/>
    <n v="41"/>
    <s v="Male"/>
    <s v="Quarterly"/>
    <d v="2025-02-16T00:00:00"/>
    <d v="2026-02-28T00:00:00"/>
    <n v="27"/>
    <n v="2"/>
    <n v="1"/>
    <x v="19"/>
  </r>
  <r>
    <s v="CUST0146"/>
    <s v="Debra Hickman"/>
    <n v="56"/>
    <s v="Female"/>
    <s v="Monthly"/>
    <d v="2025-09-28T00:00:00"/>
    <d v="2026-04-22T00:00:00"/>
    <n v="45"/>
    <n v="7"/>
    <n v="0"/>
    <x v="13"/>
  </r>
  <r>
    <s v="CUST0147"/>
    <s v="Heather Wright"/>
    <n v="55"/>
    <s v="Female"/>
    <s v="Monthly"/>
    <d v="2025-09-28T00:00:00"/>
    <d v="2026-03-14T00:00:00"/>
    <n v="48"/>
    <n v="8"/>
    <n v="0"/>
    <x v="13"/>
  </r>
  <r>
    <s v="CUST0148"/>
    <s v="Virginia Sheppard"/>
    <n v="48"/>
    <s v="Female"/>
    <s v="Yearly"/>
    <d v="2025-01-18T00:00:00"/>
    <d v="2026-02-19T00:00:00"/>
    <n v="9"/>
    <n v="8"/>
    <n v="1"/>
    <x v="23"/>
  </r>
  <r>
    <s v="CUST0149"/>
    <s v="Ryan Duffy"/>
    <n v="40"/>
    <s v="Male"/>
    <s v="Yearly"/>
    <d v="2024-02-15T00:00:00"/>
    <d v="2026-02-19T00:00:00"/>
    <n v="80"/>
    <n v="7"/>
    <n v="0"/>
    <x v="3"/>
  </r>
  <r>
    <s v="CUST0150"/>
    <s v="Timothy Turner"/>
    <n v="37"/>
    <s v="Female"/>
    <s v="Yearly"/>
    <d v="2023-11-15T00:00:00"/>
    <d v="2026-03-15T00:00:00"/>
    <n v="14"/>
    <n v="6"/>
    <n v="0"/>
    <x v="1"/>
  </r>
  <r>
    <s v="CUST0151"/>
    <s v="Sarah Monroe"/>
    <n v="38"/>
    <s v="Other"/>
    <s v="Yearly"/>
    <d v="2024-03-03T00:00:00"/>
    <d v="2026-05-02T00:00:00"/>
    <n v="72"/>
    <n v="4"/>
    <n v="0"/>
    <x v="30"/>
  </r>
  <r>
    <s v="CUST0152"/>
    <s v="Charles Holmes"/>
    <n v="56"/>
    <s v="Female"/>
    <s v="Quarterly"/>
    <d v="2023-12-05T00:00:00"/>
    <d v="2026-02-19T00:00:00"/>
    <n v="67"/>
    <n v="9"/>
    <n v="0"/>
    <x v="5"/>
  </r>
  <r>
    <s v="CUST0153"/>
    <s v="Ryan Anderson"/>
    <n v="59"/>
    <s v="Female"/>
    <s v="Quarterly"/>
    <d v="2023-09-03T00:00:00"/>
    <d v="2026-04-28T00:00:00"/>
    <n v="14"/>
    <n v="9"/>
    <n v="0"/>
    <x v="7"/>
  </r>
  <r>
    <s v="CUST0154"/>
    <s v="Gregory Torres"/>
    <n v="54"/>
    <s v="Female"/>
    <s v="Monthly"/>
    <d v="2025-07-24T00:00:00"/>
    <d v="2026-05-01T00:00:00"/>
    <n v="1"/>
    <n v="10"/>
    <n v="1"/>
    <x v="12"/>
  </r>
  <r>
    <s v="CUST0155"/>
    <s v="Andrew Allison"/>
    <n v="36"/>
    <s v="Female"/>
    <s v="Monthly"/>
    <d v="2025-12-19T00:00:00"/>
    <d v="2026-04-02T00:00:00"/>
    <n v="52"/>
    <n v="4"/>
    <n v="1"/>
    <x v="28"/>
  </r>
  <r>
    <s v="CUST0156"/>
    <s v="Christina Phelps"/>
    <n v="50"/>
    <s v="Female"/>
    <s v="Monthly"/>
    <d v="2023-12-09T00:00:00"/>
    <d v="2026-03-22T00:00:00"/>
    <n v="32"/>
    <n v="5"/>
    <n v="0"/>
    <x v="5"/>
  </r>
  <r>
    <s v="CUST0157"/>
    <s v="Carly Johnson"/>
    <n v="29"/>
    <s v="Female"/>
    <s v="Quarterly"/>
    <d v="2024-03-13T00:00:00"/>
    <d v="2026-01-09T00:00:00"/>
    <n v="40"/>
    <n v="10"/>
    <n v="0"/>
    <x v="30"/>
  </r>
  <r>
    <s v="CUST0158"/>
    <s v="Tonya Martin"/>
    <n v="45"/>
    <s v="Male"/>
    <s v="Monthly"/>
    <d v="2023-09-29T00:00:00"/>
    <d v="2026-02-03T00:00:00"/>
    <n v="6"/>
    <n v="7"/>
    <n v="0"/>
    <x v="7"/>
  </r>
  <r>
    <s v="CUST0159"/>
    <s v="Ralph Johnson"/>
    <n v="47"/>
    <s v="Female"/>
    <s v="Monthly"/>
    <d v="2024-12-25T00:00:00"/>
    <d v="2026-04-08T00:00:00"/>
    <n v="29"/>
    <n v="5"/>
    <n v="0"/>
    <x v="14"/>
  </r>
  <r>
    <s v="CUST0160"/>
    <s v="Lee Johnson"/>
    <n v="26"/>
    <s v="Male"/>
    <s v="Yearly"/>
    <d v="2024-08-15T00:00:00"/>
    <d v="2026-03-22T00:00:00"/>
    <n v="31"/>
    <n v="3"/>
    <n v="1"/>
    <x v="21"/>
  </r>
  <r>
    <s v="CUST0161"/>
    <s v="Michael Taylor"/>
    <n v="44"/>
    <s v="Other"/>
    <s v="Yearly"/>
    <d v="2025-12-08T00:00:00"/>
    <d v="2026-03-28T00:00:00"/>
    <n v="47"/>
    <n v="4"/>
    <n v="0"/>
    <x v="28"/>
  </r>
  <r>
    <s v="CUST0162"/>
    <s v="Rachel Salazar"/>
    <n v="33"/>
    <s v="Other"/>
    <s v="Monthly"/>
    <d v="2025-06-19T00:00:00"/>
    <d v="2026-02-03T00:00:00"/>
    <n v="70"/>
    <n v="7"/>
    <n v="0"/>
    <x v="27"/>
  </r>
  <r>
    <s v="CUST0163"/>
    <s v="Joseph Medina"/>
    <n v="52"/>
    <s v="Male"/>
    <s v="Quarterly"/>
    <d v="2026-01-21T00:00:00"/>
    <d v="2026-02-25T00:00:00"/>
    <n v="38"/>
    <n v="6"/>
    <n v="0"/>
    <x v="29"/>
  </r>
  <r>
    <s v="CUST0164"/>
    <s v="Jesus Miller"/>
    <n v="45"/>
    <s v="Female"/>
    <s v="Monthly"/>
    <d v="2025-10-17T00:00:00"/>
    <d v="2026-04-21T00:00:00"/>
    <n v="14"/>
    <n v="4"/>
    <n v="0"/>
    <x v="25"/>
  </r>
  <r>
    <s v="CUST0165"/>
    <s v="Donna Mcfarland"/>
    <n v="55"/>
    <s v="Other"/>
    <s v="Yearly"/>
    <d v="2025-06-16T00:00:00"/>
    <d v="2026-01-09T00:00:00"/>
    <n v="13"/>
    <n v="5"/>
    <n v="0"/>
    <x v="27"/>
  </r>
  <r>
    <s v="CUST0166"/>
    <s v="Stephen Jackson"/>
    <n v="52"/>
    <s v="Other"/>
    <s v="Monthly"/>
    <d v="2024-06-29T00:00:00"/>
    <d v="2026-03-25T00:00:00"/>
    <n v="41"/>
    <n v="10"/>
    <n v="0"/>
    <x v="11"/>
  </r>
  <r>
    <s v="CUST0167"/>
    <s v="Andrew Williams"/>
    <n v="44"/>
    <s v="Other"/>
    <s v="Yearly"/>
    <d v="2025-11-05T00:00:00"/>
    <d v="2026-02-25T00:00:00"/>
    <n v="28"/>
    <n v="7"/>
    <n v="1"/>
    <x v="4"/>
  </r>
  <r>
    <s v="CUST0168"/>
    <s v="Paul Hartman"/>
    <n v="44"/>
    <s v="Male"/>
    <s v="Monthly"/>
    <d v="2026-02-27T00:00:00"/>
    <d v="2026-03-27T00:00:00"/>
    <n v="80"/>
    <n v="10"/>
    <n v="1"/>
    <x v="16"/>
  </r>
  <r>
    <s v="CUST0169"/>
    <s v="Brendan Mayer"/>
    <n v="60"/>
    <s v="Male"/>
    <s v="Monthly"/>
    <d v="2025-03-25T00:00:00"/>
    <d v="2026-02-18T00:00:00"/>
    <n v="2"/>
    <n v="4"/>
    <n v="1"/>
    <x v="18"/>
  </r>
  <r>
    <s v="CUST0170"/>
    <s v="Debbie Diaz"/>
    <n v="55"/>
    <s v="Female"/>
    <s v="Yearly"/>
    <d v="2025-01-24T00:00:00"/>
    <d v="2026-04-09T00:00:00"/>
    <n v="65"/>
    <n v="4"/>
    <n v="1"/>
    <x v="23"/>
  </r>
  <r>
    <s v="CUST0171"/>
    <s v="Lori Cook"/>
    <n v="41"/>
    <s v="Female"/>
    <s v="Quarterly"/>
    <d v="2025-10-16T00:00:00"/>
    <d v="2026-02-10T00:00:00"/>
    <n v="53"/>
    <n v="1"/>
    <n v="1"/>
    <x v="25"/>
  </r>
  <r>
    <s v="CUST0172"/>
    <s v="Francisco Lawson"/>
    <n v="44"/>
    <s v="Male"/>
    <s v="Monthly"/>
    <d v="2025-09-11T00:00:00"/>
    <d v="2026-05-02T00:00:00"/>
    <n v="40"/>
    <n v="4"/>
    <n v="0"/>
    <x v="13"/>
  </r>
  <r>
    <s v="CUST0173"/>
    <s v="Brian Ortiz"/>
    <n v="20"/>
    <s v="Male"/>
    <s v="Quarterly"/>
    <d v="2025-03-08T00:00:00"/>
    <d v="2026-04-02T00:00:00"/>
    <n v="49"/>
    <n v="5"/>
    <n v="0"/>
    <x v="18"/>
  </r>
  <r>
    <s v="CUST0174"/>
    <s v="Robert Harris"/>
    <n v="23"/>
    <s v="Female"/>
    <s v="Monthly"/>
    <d v="2024-06-09T00:00:00"/>
    <d v="2026-02-02T00:00:00"/>
    <n v="78"/>
    <n v="10"/>
    <n v="1"/>
    <x v="11"/>
  </r>
  <r>
    <s v="CUST0175"/>
    <s v="Jonathon West"/>
    <n v="33"/>
    <s v="Other"/>
    <s v="Yearly"/>
    <d v="2024-11-13T00:00:00"/>
    <d v="2026-03-30T00:00:00"/>
    <n v="29"/>
    <n v="10"/>
    <n v="0"/>
    <x v="24"/>
  </r>
  <r>
    <s v="CUST0176"/>
    <s v="Margaret Mason"/>
    <n v="53"/>
    <s v="Female"/>
    <s v="Quarterly"/>
    <d v="2023-11-16T00:00:00"/>
    <d v="2026-04-23T00:00:00"/>
    <n v="70"/>
    <n v="6"/>
    <n v="0"/>
    <x v="1"/>
  </r>
  <r>
    <s v="CUST0177"/>
    <s v="Robert Gray"/>
    <n v="21"/>
    <s v="Female"/>
    <s v="Monthly"/>
    <d v="2024-08-02T00:00:00"/>
    <d v="2026-03-31T00:00:00"/>
    <n v="10"/>
    <n v="8"/>
    <n v="0"/>
    <x v="21"/>
  </r>
  <r>
    <s v="CUST0178"/>
    <s v="Mr. Michael Norton"/>
    <n v="26"/>
    <s v="Other"/>
    <s v="Yearly"/>
    <d v="2025-09-04T00:00:00"/>
    <d v="2026-03-09T00:00:00"/>
    <n v="62"/>
    <n v="2"/>
    <n v="0"/>
    <x v="13"/>
  </r>
  <r>
    <s v="CUST0179"/>
    <s v="Michael Murphy"/>
    <n v="18"/>
    <s v="Other"/>
    <s v="Quarterly"/>
    <d v="2025-03-11T00:00:00"/>
    <d v="2026-03-13T00:00:00"/>
    <n v="51"/>
    <n v="4"/>
    <n v="0"/>
    <x v="18"/>
  </r>
  <r>
    <s v="CUST0180"/>
    <s v="Justin Lee"/>
    <n v="18"/>
    <s v="Female"/>
    <s v="Monthly"/>
    <d v="2024-10-21T00:00:00"/>
    <d v="2026-01-17T00:00:00"/>
    <n v="56"/>
    <n v="1"/>
    <n v="1"/>
    <x v="26"/>
  </r>
  <r>
    <s v="CUST0181"/>
    <s v="Carla Matthews"/>
    <n v="34"/>
    <s v="Male"/>
    <s v="Quarterly"/>
    <d v="2025-06-20T00:00:00"/>
    <d v="2026-04-11T00:00:00"/>
    <n v="37"/>
    <n v="6"/>
    <n v="0"/>
    <x v="27"/>
  </r>
  <r>
    <s v="CUST0182"/>
    <s v="Matthew Cruz"/>
    <n v="45"/>
    <s v="Other"/>
    <s v="Monthly"/>
    <d v="2025-09-09T00:00:00"/>
    <d v="2026-02-02T00:00:00"/>
    <n v="24"/>
    <n v="8"/>
    <n v="0"/>
    <x v="13"/>
  </r>
  <r>
    <s v="CUST0183"/>
    <s v="Shannon Wilkinson"/>
    <n v="52"/>
    <s v="Female"/>
    <s v="Monthly"/>
    <d v="2024-02-28T00:00:00"/>
    <d v="2026-04-23T00:00:00"/>
    <n v="9"/>
    <n v="2"/>
    <n v="1"/>
    <x v="3"/>
  </r>
  <r>
    <s v="CUST0184"/>
    <s v="Rodney Ramos"/>
    <n v="28"/>
    <s v="Female"/>
    <s v="Quarterly"/>
    <d v="2024-03-27T00:00:00"/>
    <d v="2026-03-05T00:00:00"/>
    <n v="25"/>
    <n v="10"/>
    <n v="1"/>
    <x v="30"/>
  </r>
  <r>
    <s v="CUST0185"/>
    <s v="Connie Hughes"/>
    <n v="39"/>
    <s v="Other"/>
    <s v="Yearly"/>
    <d v="2024-10-09T00:00:00"/>
    <d v="2026-05-03T00:00:00"/>
    <n v="4"/>
    <n v="1"/>
    <n v="1"/>
    <x v="26"/>
  </r>
  <r>
    <s v="CUST0186"/>
    <s v="Leslie Gaines"/>
    <n v="18"/>
    <s v="Other"/>
    <s v="Quarterly"/>
    <d v="2024-04-28T00:00:00"/>
    <d v="2026-05-01T00:00:00"/>
    <n v="73"/>
    <n v="8"/>
    <n v="0"/>
    <x v="0"/>
  </r>
  <r>
    <s v="CUST0187"/>
    <s v="Olivia Morrow"/>
    <n v="20"/>
    <s v="Other"/>
    <s v="Quarterly"/>
    <d v="2024-08-12T00:00:00"/>
    <d v="2026-04-29T00:00:00"/>
    <n v="25"/>
    <n v="8"/>
    <n v="0"/>
    <x v="21"/>
  </r>
  <r>
    <s v="CUST0188"/>
    <s v="Jeremy Williams"/>
    <n v="35"/>
    <s v="Female"/>
    <s v="Monthly"/>
    <d v="2025-09-22T00:00:00"/>
    <d v="2026-04-16T00:00:00"/>
    <n v="74"/>
    <n v="5"/>
    <n v="0"/>
    <x v="13"/>
  </r>
  <r>
    <s v="CUST0189"/>
    <s v="Kimberly Davis"/>
    <n v="30"/>
    <s v="Male"/>
    <s v="Monthly"/>
    <d v="2024-07-25T00:00:00"/>
    <d v="2026-01-21T00:00:00"/>
    <n v="74"/>
    <n v="6"/>
    <n v="1"/>
    <x v="15"/>
  </r>
  <r>
    <s v="CUST0190"/>
    <s v="Jeremy Howe"/>
    <n v="21"/>
    <s v="Female"/>
    <s v="Quarterly"/>
    <d v="2025-03-17T00:00:00"/>
    <d v="2026-04-10T00:00:00"/>
    <n v="7"/>
    <n v="7"/>
    <n v="0"/>
    <x v="18"/>
  </r>
  <r>
    <s v="CUST0191"/>
    <s v="Randy Brady"/>
    <n v="21"/>
    <s v="Other"/>
    <s v="Monthly"/>
    <d v="2023-09-15T00:00:00"/>
    <d v="2026-01-18T00:00:00"/>
    <n v="14"/>
    <n v="1"/>
    <n v="0"/>
    <x v="7"/>
  </r>
  <r>
    <s v="CUST0192"/>
    <s v="Amanda Flores"/>
    <n v="21"/>
    <s v="Male"/>
    <s v="Yearly"/>
    <d v="2025-02-25T00:00:00"/>
    <d v="2026-01-28T00:00:00"/>
    <n v="31"/>
    <n v="3"/>
    <n v="0"/>
    <x v="19"/>
  </r>
  <r>
    <s v="CUST0193"/>
    <s v="Mr. Todd Howard"/>
    <n v="59"/>
    <s v="Other"/>
    <s v="Yearly"/>
    <d v="2024-12-19T00:00:00"/>
    <d v="2026-03-31T00:00:00"/>
    <n v="6"/>
    <n v="7"/>
    <n v="1"/>
    <x v="14"/>
  </r>
  <r>
    <s v="CUST0194"/>
    <s v="Cindy Nelson"/>
    <n v="37"/>
    <s v="Male"/>
    <s v="Quarterly"/>
    <d v="2026-03-26T00:00:00"/>
    <d v="2026-05-05T00:00:00"/>
    <n v="1"/>
    <n v="4"/>
    <n v="1"/>
    <x v="22"/>
  </r>
  <r>
    <s v="CUST0195"/>
    <s v="Brittany Mcmillan"/>
    <n v="29"/>
    <s v="Male"/>
    <s v="Monthly"/>
    <d v="2023-11-30T00:00:00"/>
    <d v="2026-03-07T00:00:00"/>
    <n v="73"/>
    <n v="6"/>
    <n v="0"/>
    <x v="1"/>
  </r>
  <r>
    <s v="CUST0196"/>
    <s v="Wesley Gonzales"/>
    <n v="30"/>
    <s v="Female"/>
    <s v="Monthly"/>
    <d v="2024-05-29T00:00:00"/>
    <d v="2026-02-26T00:00:00"/>
    <n v="61"/>
    <n v="10"/>
    <n v="0"/>
    <x v="6"/>
  </r>
  <r>
    <s v="CUST0197"/>
    <s v="Eric Smith"/>
    <n v="44"/>
    <s v="Other"/>
    <s v="Quarterly"/>
    <d v="2025-04-22T00:00:00"/>
    <d v="2026-02-03T00:00:00"/>
    <n v="8"/>
    <n v="9"/>
    <n v="0"/>
    <x v="17"/>
  </r>
  <r>
    <s v="CUST0198"/>
    <s v="Charles Goodman"/>
    <n v="50"/>
    <s v="Male"/>
    <s v="Quarterly"/>
    <d v="2025-04-18T00:00:00"/>
    <d v="2026-03-25T00:00:00"/>
    <n v="2"/>
    <n v="7"/>
    <n v="0"/>
    <x v="17"/>
  </r>
  <r>
    <s v="CUST0199"/>
    <s v="Michelle Murray"/>
    <n v="38"/>
    <s v="Female"/>
    <s v="Quarterly"/>
    <d v="2024-07-08T00:00:00"/>
    <d v="2026-01-09T00:00:00"/>
    <n v="20"/>
    <n v="6"/>
    <n v="1"/>
    <x v="15"/>
  </r>
  <r>
    <s v="CUST0200"/>
    <s v="Jessica Scott"/>
    <n v="38"/>
    <s v="Male"/>
    <s v="Monthly"/>
    <d v="2025-01-08T00:00:00"/>
    <d v="2026-01-20T00:00:00"/>
    <n v="78"/>
    <n v="9"/>
    <n v="0"/>
    <x v="23"/>
  </r>
  <r>
    <s v="CUST0201"/>
    <s v="Joseph Allen"/>
    <n v="24"/>
    <s v="Female"/>
    <s v="Yearly"/>
    <d v="2026-04-06T00:00:00"/>
    <d v="2026-02-24T00:00:00"/>
    <n v="2"/>
    <n v="3"/>
    <n v="1"/>
    <x v="31"/>
  </r>
  <r>
    <s v="CUST0202"/>
    <s v="Lee Andrews"/>
    <n v="26"/>
    <s v="Other"/>
    <s v="Yearly"/>
    <d v="2025-02-27T00:00:00"/>
    <d v="2026-01-22T00:00:00"/>
    <n v="8"/>
    <n v="1"/>
    <n v="1"/>
    <x v="19"/>
  </r>
  <r>
    <s v="CUST0203"/>
    <s v="Richard Chen"/>
    <n v="24"/>
    <s v="Other"/>
    <s v="Monthly"/>
    <d v="2025-10-31T00:00:00"/>
    <d v="2026-02-11T00:00:00"/>
    <n v="75"/>
    <n v="8"/>
    <n v="0"/>
    <x v="25"/>
  </r>
  <r>
    <s v="CUST0204"/>
    <s v="Dakota Medina"/>
    <n v="30"/>
    <s v="Other"/>
    <s v="Monthly"/>
    <d v="2025-09-11T00:00:00"/>
    <d v="2026-04-04T00:00:00"/>
    <n v="6"/>
    <n v="6"/>
    <n v="0"/>
    <x v="13"/>
  </r>
  <r>
    <s v="CUST0205"/>
    <s v="Thomas Graham"/>
    <n v="39"/>
    <s v="Female"/>
    <s v="Monthly"/>
    <d v="2025-02-05T00:00:00"/>
    <d v="2026-02-10T00:00:00"/>
    <n v="61"/>
    <n v="8"/>
    <n v="1"/>
    <x v="19"/>
  </r>
  <r>
    <s v="CUST0206"/>
    <s v="Jeffrey Mays"/>
    <n v="41"/>
    <s v="Male"/>
    <s v="Monthly"/>
    <d v="2025-10-03T00:00:00"/>
    <d v="2026-03-03T00:00:00"/>
    <n v="80"/>
    <n v="6"/>
    <n v="1"/>
    <x v="25"/>
  </r>
  <r>
    <s v="CUST0207"/>
    <s v="Alan Gonzalez"/>
    <n v="40"/>
    <s v="Male"/>
    <s v="Yearly"/>
    <d v="2023-09-04T00:00:00"/>
    <d v="2026-01-10T00:00:00"/>
    <n v="37"/>
    <n v="1"/>
    <n v="1"/>
    <x v="7"/>
  </r>
  <r>
    <s v="CUST0208"/>
    <s v="Tracy Thompson"/>
    <n v="51"/>
    <s v="Female"/>
    <s v="Yearly"/>
    <d v="2025-06-05T00:00:00"/>
    <d v="2026-01-13T00:00:00"/>
    <n v="27"/>
    <n v="5"/>
    <n v="0"/>
    <x v="27"/>
  </r>
  <r>
    <s v="CUST0209"/>
    <s v="Jerome Payne"/>
    <n v="39"/>
    <s v="Female"/>
    <s v="Monthly"/>
    <d v="2026-03-28T00:00:00"/>
    <d v="2026-04-24T00:00:00"/>
    <n v="42"/>
    <n v="6"/>
    <n v="0"/>
    <x v="22"/>
  </r>
  <r>
    <s v="CUST0210"/>
    <s v="Nathaniel Murray"/>
    <n v="58"/>
    <s v="Male"/>
    <s v="Yearly"/>
    <d v="2024-07-16T00:00:00"/>
    <d v="2026-03-01T00:00:00"/>
    <n v="72"/>
    <n v="7"/>
    <n v="0"/>
    <x v="15"/>
  </r>
  <r>
    <s v="CUST0211"/>
    <s v="Megan Sosa"/>
    <n v="49"/>
    <s v="Other"/>
    <s v="Monthly"/>
    <d v="2023-08-28T00:00:00"/>
    <d v="2026-05-04T00:00:00"/>
    <n v="69"/>
    <n v="5"/>
    <n v="0"/>
    <x v="32"/>
  </r>
  <r>
    <s v="CUST0212"/>
    <s v="Heidi Smith"/>
    <n v="59"/>
    <s v="Male"/>
    <s v="Monthly"/>
    <d v="2025-07-07T00:00:00"/>
    <d v="2026-02-01T00:00:00"/>
    <n v="71"/>
    <n v="8"/>
    <n v="1"/>
    <x v="12"/>
  </r>
  <r>
    <s v="CUST0213"/>
    <s v="Michael Johnson"/>
    <n v="27"/>
    <s v="Male"/>
    <s v="Yearly"/>
    <d v="2024-05-29T00:00:00"/>
    <d v="2026-04-02T00:00:00"/>
    <n v="5"/>
    <n v="1"/>
    <n v="1"/>
    <x v="6"/>
  </r>
  <r>
    <s v="CUST0214"/>
    <s v="Melissa Wall"/>
    <n v="49"/>
    <s v="Male"/>
    <s v="Monthly"/>
    <d v="2024-02-18T00:00:00"/>
    <d v="2026-03-15T00:00:00"/>
    <n v="57"/>
    <n v="9"/>
    <n v="0"/>
    <x v="3"/>
  </r>
  <r>
    <s v="CUST0215"/>
    <s v="Diana Wright"/>
    <n v="49"/>
    <s v="Male"/>
    <s v="Yearly"/>
    <d v="2025-04-05T00:00:00"/>
    <d v="2026-03-22T00:00:00"/>
    <n v="24"/>
    <n v="9"/>
    <n v="0"/>
    <x v="17"/>
  </r>
  <r>
    <s v="CUST0216"/>
    <s v="Olivia Bell"/>
    <n v="52"/>
    <s v="Male"/>
    <s v="Quarterly"/>
    <d v="2026-02-11T00:00:00"/>
    <d v="2026-05-08T00:00:00"/>
    <n v="28"/>
    <n v="7"/>
    <n v="0"/>
    <x v="16"/>
  </r>
  <r>
    <s v="CUST0217"/>
    <s v="Brandon Pace Jr."/>
    <n v="27"/>
    <s v="Male"/>
    <s v="Quarterly"/>
    <d v="2024-01-22T00:00:00"/>
    <d v="2026-03-28T00:00:00"/>
    <n v="57"/>
    <n v="8"/>
    <n v="0"/>
    <x v="9"/>
  </r>
  <r>
    <s v="CUST0218"/>
    <s v="Lauren Smith"/>
    <n v="20"/>
    <s v="Female"/>
    <s v="Yearly"/>
    <d v="2025-09-29T00:00:00"/>
    <d v="2026-03-22T00:00:00"/>
    <n v="73"/>
    <n v="5"/>
    <n v="0"/>
    <x v="13"/>
  </r>
  <r>
    <s v="CUST0219"/>
    <s v="Dwayne Hayes"/>
    <n v="23"/>
    <s v="Female"/>
    <s v="Quarterly"/>
    <d v="2024-07-09T00:00:00"/>
    <d v="2026-04-07T00:00:00"/>
    <n v="58"/>
    <n v="5"/>
    <n v="0"/>
    <x v="15"/>
  </r>
  <r>
    <s v="CUST0220"/>
    <s v="John Martin"/>
    <n v="46"/>
    <s v="Female"/>
    <s v="Monthly"/>
    <d v="2025-10-09T00:00:00"/>
    <d v="2026-04-17T00:00:00"/>
    <n v="35"/>
    <n v="2"/>
    <n v="0"/>
    <x v="25"/>
  </r>
  <r>
    <s v="CUST0221"/>
    <s v="Sabrina Allison"/>
    <n v="52"/>
    <s v="Other"/>
    <s v="Yearly"/>
    <d v="2023-11-08T00:00:00"/>
    <d v="2026-04-10T00:00:00"/>
    <n v="66"/>
    <n v="2"/>
    <n v="0"/>
    <x v="1"/>
  </r>
  <r>
    <s v="CUST0222"/>
    <s v="Michelle Warner"/>
    <n v="44"/>
    <s v="Female"/>
    <s v="Monthly"/>
    <d v="2025-01-10T00:00:00"/>
    <d v="2026-02-18T00:00:00"/>
    <n v="7"/>
    <n v="2"/>
    <n v="0"/>
    <x v="23"/>
  </r>
  <r>
    <s v="CUST0223"/>
    <s v="Regina Stewart"/>
    <n v="49"/>
    <s v="Female"/>
    <s v="Monthly"/>
    <d v="2023-09-21T00:00:00"/>
    <d v="2026-04-17T00:00:00"/>
    <n v="57"/>
    <n v="7"/>
    <n v="1"/>
    <x v="7"/>
  </r>
  <r>
    <s v="CUST0224"/>
    <s v="Aaron Mcneil"/>
    <n v="39"/>
    <s v="Female"/>
    <s v="Monthly"/>
    <d v="2025-04-09T00:00:00"/>
    <d v="2026-02-09T00:00:00"/>
    <n v="65"/>
    <n v="5"/>
    <n v="0"/>
    <x v="17"/>
  </r>
  <r>
    <s v="CUST0225"/>
    <s v="Daniel Young"/>
    <n v="36"/>
    <s v="Other"/>
    <s v="Monthly"/>
    <d v="2024-08-30T00:00:00"/>
    <d v="2026-04-07T00:00:00"/>
    <n v="1"/>
    <n v="7"/>
    <n v="0"/>
    <x v="21"/>
  </r>
  <r>
    <s v="CUST0226"/>
    <s v="Marcus Rivera"/>
    <n v="42"/>
    <s v="Female"/>
    <s v="Yearly"/>
    <d v="2026-03-07T00:00:00"/>
    <d v="2026-03-20T00:00:00"/>
    <n v="15"/>
    <n v="8"/>
    <n v="0"/>
    <x v="22"/>
  </r>
  <r>
    <s v="CUST0227"/>
    <s v="Mark Mcgrath"/>
    <n v="36"/>
    <s v="Male"/>
    <s v="Yearly"/>
    <d v="2025-02-24T00:00:00"/>
    <d v="2026-03-26T00:00:00"/>
    <n v="48"/>
    <n v="10"/>
    <n v="0"/>
    <x v="19"/>
  </r>
  <r>
    <s v="CUST0228"/>
    <s v="Greg Taylor"/>
    <n v="49"/>
    <s v="Female"/>
    <s v="Monthly"/>
    <d v="2023-11-24T00:00:00"/>
    <d v="2026-01-22T00:00:00"/>
    <n v="37"/>
    <n v="10"/>
    <n v="1"/>
    <x v="1"/>
  </r>
  <r>
    <s v="CUST0229"/>
    <s v="Holly Moore"/>
    <n v="43"/>
    <s v="Female"/>
    <s v="Yearly"/>
    <d v="2025-08-08T00:00:00"/>
    <d v="2026-03-03T00:00:00"/>
    <n v="48"/>
    <n v="4"/>
    <n v="1"/>
    <x v="20"/>
  </r>
  <r>
    <s v="CUST0230"/>
    <s v="Erin Ramirez"/>
    <n v="35"/>
    <s v="Male"/>
    <s v="Monthly"/>
    <d v="2026-01-15T00:00:00"/>
    <d v="2026-04-04T00:00:00"/>
    <n v="45"/>
    <n v="8"/>
    <n v="0"/>
    <x v="29"/>
  </r>
  <r>
    <s v="CUST0231"/>
    <s v="Dr. Emily Murphy"/>
    <n v="53"/>
    <s v="Female"/>
    <s v="Yearly"/>
    <d v="2024-05-05T00:00:00"/>
    <d v="2026-02-21T00:00:00"/>
    <n v="2"/>
    <n v="2"/>
    <n v="1"/>
    <x v="6"/>
  </r>
  <r>
    <s v="CUST0232"/>
    <s v="John Cervantes"/>
    <n v="46"/>
    <s v="Female"/>
    <s v="Monthly"/>
    <d v="2024-09-22T00:00:00"/>
    <d v="2026-03-11T00:00:00"/>
    <n v="68"/>
    <n v="2"/>
    <n v="1"/>
    <x v="10"/>
  </r>
  <r>
    <s v="CUST0233"/>
    <s v="Regina Weber MD"/>
    <n v="43"/>
    <s v="Male"/>
    <s v="Quarterly"/>
    <d v="2025-05-22T00:00:00"/>
    <d v="2026-01-31T00:00:00"/>
    <n v="32"/>
    <n v="8"/>
    <n v="0"/>
    <x v="2"/>
  </r>
  <r>
    <s v="CUST0234"/>
    <s v="Brett Rogers"/>
    <n v="39"/>
    <s v="Other"/>
    <s v="Monthly"/>
    <d v="2025-05-02T00:00:00"/>
    <d v="2026-03-20T00:00:00"/>
    <n v="25"/>
    <n v="6"/>
    <n v="0"/>
    <x v="2"/>
  </r>
  <r>
    <s v="CUST0235"/>
    <s v="Phyllis Johnson"/>
    <n v="60"/>
    <s v="Other"/>
    <s v="Quarterly"/>
    <d v="2024-09-26T00:00:00"/>
    <d v="2026-04-30T00:00:00"/>
    <n v="48"/>
    <n v="3"/>
    <n v="1"/>
    <x v="10"/>
  </r>
  <r>
    <s v="CUST0236"/>
    <s v="Christopher Curtis"/>
    <n v="25"/>
    <s v="Female"/>
    <s v="Quarterly"/>
    <d v="2026-02-23T00:00:00"/>
    <d v="2026-01-28T00:00:00"/>
    <n v="34"/>
    <n v="10"/>
    <n v="1"/>
    <x v="16"/>
  </r>
  <r>
    <s v="CUST0237"/>
    <s v="Angela Lang"/>
    <n v="39"/>
    <s v="Female"/>
    <s v="Quarterly"/>
    <d v="2025-05-05T00:00:00"/>
    <d v="2026-02-02T00:00:00"/>
    <n v="15"/>
    <n v="3"/>
    <n v="0"/>
    <x v="2"/>
  </r>
  <r>
    <s v="CUST0238"/>
    <s v="Jessica Cunningham"/>
    <n v="51"/>
    <s v="Female"/>
    <s v="Monthly"/>
    <d v="2024-02-23T00:00:00"/>
    <d v="2026-03-02T00:00:00"/>
    <n v="18"/>
    <n v="9"/>
    <n v="0"/>
    <x v="3"/>
  </r>
  <r>
    <s v="CUST0239"/>
    <s v="Kevin Thomas"/>
    <n v="53"/>
    <s v="Other"/>
    <s v="Yearly"/>
    <d v="2025-08-23T00:00:00"/>
    <d v="2026-04-06T00:00:00"/>
    <n v="11"/>
    <n v="6"/>
    <n v="0"/>
    <x v="20"/>
  </r>
  <r>
    <s v="CUST0240"/>
    <s v="Dillon Davis"/>
    <n v="22"/>
    <s v="Male"/>
    <s v="Monthly"/>
    <d v="2023-10-20T00:00:00"/>
    <d v="2026-03-17T00:00:00"/>
    <n v="14"/>
    <n v="2"/>
    <n v="1"/>
    <x v="8"/>
  </r>
  <r>
    <s v="CUST0241"/>
    <s v="Adrienne Andrews"/>
    <n v="38"/>
    <s v="Female"/>
    <s v="Monthly"/>
    <d v="2025-05-21T00:00:00"/>
    <d v="2026-01-14T00:00:00"/>
    <n v="4"/>
    <n v="1"/>
    <n v="1"/>
    <x v="2"/>
  </r>
  <r>
    <s v="CUST0242"/>
    <s v="Peter Smith"/>
    <n v="34"/>
    <s v="Male"/>
    <s v="Monthly"/>
    <d v="2024-05-15T00:00:00"/>
    <d v="2026-04-13T00:00:00"/>
    <n v="28"/>
    <n v="8"/>
    <n v="0"/>
    <x v="6"/>
  </r>
  <r>
    <s v="CUST0243"/>
    <s v="Kevin Sandoval"/>
    <n v="26"/>
    <s v="Other"/>
    <s v="Monthly"/>
    <d v="2026-02-13T00:00:00"/>
    <d v="2026-03-07T00:00:00"/>
    <n v="25"/>
    <n v="6"/>
    <n v="0"/>
    <x v="16"/>
  </r>
  <r>
    <s v="CUST0244"/>
    <s v="Christina Burgess"/>
    <n v="21"/>
    <s v="Other"/>
    <s v="Monthly"/>
    <d v="2024-06-23T00:00:00"/>
    <d v="2026-04-14T00:00:00"/>
    <n v="56"/>
    <n v="9"/>
    <n v="0"/>
    <x v="11"/>
  </r>
  <r>
    <s v="CUST0245"/>
    <s v="Jennifer Silva"/>
    <n v="43"/>
    <s v="Other"/>
    <s v="Yearly"/>
    <d v="2024-01-10T00:00:00"/>
    <d v="2026-04-28T00:00:00"/>
    <n v="44"/>
    <n v="7"/>
    <n v="0"/>
    <x v="9"/>
  </r>
  <r>
    <s v="CUST0246"/>
    <s v="Victoria Rodriguez"/>
    <n v="57"/>
    <s v="Male"/>
    <s v="Quarterly"/>
    <d v="2024-10-13T00:00:00"/>
    <d v="2026-03-26T00:00:00"/>
    <n v="48"/>
    <n v="3"/>
    <n v="0"/>
    <x v="26"/>
  </r>
  <r>
    <s v="CUST0247"/>
    <s v="Joseph Rosales"/>
    <n v="36"/>
    <s v="Male"/>
    <s v="Monthly"/>
    <d v="2025-01-04T00:00:00"/>
    <d v="2026-04-04T00:00:00"/>
    <n v="28"/>
    <n v="9"/>
    <n v="0"/>
    <x v="23"/>
  </r>
  <r>
    <s v="CUST0248"/>
    <s v="Thomas Smith"/>
    <n v="39"/>
    <s v="Male"/>
    <s v="Monthly"/>
    <d v="2025-04-04T00:00:00"/>
    <d v="2026-03-13T00:00:00"/>
    <n v="9"/>
    <n v="6"/>
    <n v="0"/>
    <x v="17"/>
  </r>
  <r>
    <s v="CUST0249"/>
    <s v="John Blake"/>
    <n v="32"/>
    <s v="Male"/>
    <s v="Monthly"/>
    <d v="2025-05-11T00:00:00"/>
    <d v="2026-03-13T00:00:00"/>
    <n v="1"/>
    <n v="3"/>
    <n v="0"/>
    <x v="2"/>
  </r>
  <r>
    <s v="CUST0250"/>
    <s v="Kelli Woods"/>
    <n v="20"/>
    <s v="Other"/>
    <s v="Quarterly"/>
    <d v="2025-10-12T00:00:00"/>
    <d v="2026-02-21T00:00:00"/>
    <n v="72"/>
    <n v="5"/>
    <n v="1"/>
    <x v="25"/>
  </r>
  <r>
    <s v="CUST0251"/>
    <s v="Edwin Lutz"/>
    <n v="42"/>
    <s v="Male"/>
    <s v="Monthly"/>
    <d v="2023-11-08T00:00:00"/>
    <d v="2026-02-02T00:00:00"/>
    <n v="36"/>
    <n v="6"/>
    <n v="1"/>
    <x v="1"/>
  </r>
  <r>
    <s v="CUST0252"/>
    <s v="Jonathan Bailey"/>
    <n v="39"/>
    <s v="Female"/>
    <s v="Yearly"/>
    <d v="2024-08-16T00:00:00"/>
    <d v="2026-05-07T00:00:00"/>
    <n v="2"/>
    <n v="9"/>
    <n v="0"/>
    <x v="21"/>
  </r>
  <r>
    <s v="CUST0253"/>
    <s v="Debra Mckee"/>
    <n v="56"/>
    <s v="Male"/>
    <s v="Monthly"/>
    <d v="2023-11-23T00:00:00"/>
    <d v="2026-03-02T00:00:00"/>
    <n v="38"/>
    <n v="3"/>
    <n v="0"/>
    <x v="1"/>
  </r>
  <r>
    <s v="CUST0254"/>
    <s v="Paula Carroll"/>
    <n v="32"/>
    <s v="Male"/>
    <s v="Yearly"/>
    <d v="2024-07-04T00:00:00"/>
    <d v="2026-01-19T00:00:00"/>
    <n v="78"/>
    <n v="7"/>
    <n v="0"/>
    <x v="15"/>
  </r>
  <r>
    <s v="CUST0255"/>
    <s v="Laura Lewis"/>
    <n v="56"/>
    <s v="Male"/>
    <s v="Monthly"/>
    <d v="2024-01-12T00:00:00"/>
    <d v="2026-04-29T00:00:00"/>
    <n v="65"/>
    <n v="8"/>
    <n v="0"/>
    <x v="9"/>
  </r>
  <r>
    <s v="CUST0256"/>
    <s v="Laura Mcdaniel"/>
    <n v="32"/>
    <s v="Female"/>
    <s v="Monthly"/>
    <d v="2025-03-23T00:00:00"/>
    <d v="2026-04-25T00:00:00"/>
    <n v="44"/>
    <n v="2"/>
    <n v="1"/>
    <x v="18"/>
  </r>
  <r>
    <s v="CUST0257"/>
    <s v="Joshua Silva"/>
    <n v="60"/>
    <s v="Other"/>
    <s v="Quarterly"/>
    <d v="2025-02-18T00:00:00"/>
    <d v="2026-03-28T00:00:00"/>
    <n v="44"/>
    <n v="6"/>
    <n v="0"/>
    <x v="19"/>
  </r>
  <r>
    <s v="CUST0258"/>
    <s v="Jason Carter"/>
    <n v="45"/>
    <s v="Other"/>
    <s v="Monthly"/>
    <d v="2025-05-20T00:00:00"/>
    <d v="2026-03-25T00:00:00"/>
    <n v="19"/>
    <n v="4"/>
    <n v="1"/>
    <x v="2"/>
  </r>
  <r>
    <s v="CUST0259"/>
    <s v="Jessica Bush"/>
    <n v="32"/>
    <s v="Female"/>
    <s v="Yearly"/>
    <d v="2025-05-08T00:00:00"/>
    <d v="2026-04-08T00:00:00"/>
    <n v="32"/>
    <n v="3"/>
    <n v="0"/>
    <x v="2"/>
  </r>
  <r>
    <s v="CUST0260"/>
    <s v="James Torres"/>
    <n v="27"/>
    <s v="Male"/>
    <s v="Yearly"/>
    <d v="2025-11-21T00:00:00"/>
    <d v="2026-03-13T00:00:00"/>
    <n v="38"/>
    <n v="2"/>
    <n v="1"/>
    <x v="4"/>
  </r>
  <r>
    <s v="CUST0261"/>
    <s v="Stephen Daniels"/>
    <n v="51"/>
    <s v="Male"/>
    <s v="Yearly"/>
    <d v="2025-04-17T00:00:00"/>
    <d v="2026-02-09T00:00:00"/>
    <n v="79"/>
    <n v="4"/>
    <n v="0"/>
    <x v="17"/>
  </r>
  <r>
    <s v="CUST0262"/>
    <s v="Susan White"/>
    <n v="36"/>
    <s v="Other"/>
    <s v="Monthly"/>
    <d v="2024-08-17T00:00:00"/>
    <d v="2026-02-20T00:00:00"/>
    <n v="64"/>
    <n v="4"/>
    <n v="1"/>
    <x v="21"/>
  </r>
  <r>
    <s v="CUST0263"/>
    <s v="Joel Ruiz"/>
    <n v="49"/>
    <s v="Female"/>
    <s v="Monthly"/>
    <d v="2023-12-15T00:00:00"/>
    <d v="2026-01-14T00:00:00"/>
    <n v="31"/>
    <n v="5"/>
    <n v="0"/>
    <x v="5"/>
  </r>
  <r>
    <s v="CUST0264"/>
    <s v="Andre Blake"/>
    <n v="43"/>
    <s v="Other"/>
    <s v="Monthly"/>
    <d v="2025-03-10T00:00:00"/>
    <d v="2026-02-13T00:00:00"/>
    <n v="54"/>
    <n v="7"/>
    <n v="0"/>
    <x v="18"/>
  </r>
  <r>
    <s v="CUST0265"/>
    <s v="Jennifer Payne"/>
    <n v="45"/>
    <s v="Female"/>
    <s v="Quarterly"/>
    <d v="2024-07-15T00:00:00"/>
    <d v="2026-03-09T00:00:00"/>
    <n v="62"/>
    <n v="4"/>
    <n v="0"/>
    <x v="15"/>
  </r>
  <r>
    <s v="CUST0266"/>
    <s v="Brianna Torres MD"/>
    <n v="45"/>
    <s v="Male"/>
    <s v="Quarterly"/>
    <d v="2024-11-29T00:00:00"/>
    <d v="2026-02-10T00:00:00"/>
    <n v="5"/>
    <n v="5"/>
    <n v="1"/>
    <x v="24"/>
  </r>
  <r>
    <s v="CUST0267"/>
    <s v="Kelly Potter"/>
    <n v="18"/>
    <s v="Male"/>
    <s v="Yearly"/>
    <d v="2025-06-05T00:00:00"/>
    <d v="2026-03-11T00:00:00"/>
    <n v="44"/>
    <n v="9"/>
    <n v="0"/>
    <x v="27"/>
  </r>
  <r>
    <s v="CUST0268"/>
    <s v="Bruce Barnes"/>
    <n v="31"/>
    <s v="Female"/>
    <s v="Quarterly"/>
    <d v="2024-02-10T00:00:00"/>
    <d v="2026-02-09T00:00:00"/>
    <n v="10"/>
    <n v="10"/>
    <n v="0"/>
    <x v="3"/>
  </r>
  <r>
    <s v="CUST0269"/>
    <s v="Shawn Burnett"/>
    <n v="22"/>
    <s v="Other"/>
    <s v="Yearly"/>
    <d v="2023-08-20T00:00:00"/>
    <d v="2026-03-22T00:00:00"/>
    <n v="33"/>
    <n v="9"/>
    <n v="0"/>
    <x v="32"/>
  </r>
  <r>
    <s v="CUST0270"/>
    <s v="Stephanie Zimmerman"/>
    <n v="27"/>
    <s v="Other"/>
    <s v="Monthly"/>
    <d v="2024-04-07T00:00:00"/>
    <d v="2026-04-09T00:00:00"/>
    <n v="77"/>
    <n v="8"/>
    <n v="0"/>
    <x v="0"/>
  </r>
  <r>
    <s v="CUST0271"/>
    <s v="Savannah Hart"/>
    <n v="36"/>
    <s v="Female"/>
    <s v="Monthly"/>
    <d v="2025-12-21T00:00:00"/>
    <d v="2026-03-30T00:00:00"/>
    <n v="26"/>
    <n v="1"/>
    <n v="1"/>
    <x v="28"/>
  </r>
  <r>
    <s v="CUST0272"/>
    <s v="Keith Ramirez"/>
    <n v="43"/>
    <s v="Male"/>
    <s v="Monthly"/>
    <d v="2024-09-02T00:00:00"/>
    <d v="2026-03-18T00:00:00"/>
    <n v="34"/>
    <n v="2"/>
    <n v="0"/>
    <x v="10"/>
  </r>
  <r>
    <s v="CUST0273"/>
    <s v="Jean Smith"/>
    <n v="52"/>
    <s v="Female"/>
    <s v="Quarterly"/>
    <d v="2025-07-18T00:00:00"/>
    <d v="2026-03-12T00:00:00"/>
    <n v="27"/>
    <n v="3"/>
    <n v="1"/>
    <x v="12"/>
  </r>
  <r>
    <s v="CUST0274"/>
    <s v="John Kim"/>
    <n v="28"/>
    <s v="Male"/>
    <s v="Quarterly"/>
    <d v="2025-10-27T00:00:00"/>
    <d v="2026-01-27T00:00:00"/>
    <n v="8"/>
    <n v="5"/>
    <n v="0"/>
    <x v="25"/>
  </r>
  <r>
    <s v="CUST0275"/>
    <s v="Joshua Rhodes"/>
    <n v="27"/>
    <s v="Male"/>
    <s v="Quarterly"/>
    <d v="2025-07-26T00:00:00"/>
    <d v="2026-01-21T00:00:00"/>
    <n v="48"/>
    <n v="9"/>
    <n v="0"/>
    <x v="12"/>
  </r>
  <r>
    <s v="CUST0276"/>
    <s v="Ray Jimenez"/>
    <n v="24"/>
    <s v="Female"/>
    <s v="Quarterly"/>
    <d v="2025-09-16T00:00:00"/>
    <d v="2026-01-20T00:00:00"/>
    <n v="22"/>
    <n v="7"/>
    <n v="1"/>
    <x v="13"/>
  </r>
  <r>
    <s v="CUST0277"/>
    <s v="Laura Morris"/>
    <n v="51"/>
    <s v="Male"/>
    <s v="Monthly"/>
    <d v="2025-07-22T00:00:00"/>
    <d v="2026-01-13T00:00:00"/>
    <n v="79"/>
    <n v="3"/>
    <n v="1"/>
    <x v="12"/>
  </r>
  <r>
    <s v="CUST0278"/>
    <s v="Lance Porter"/>
    <n v="60"/>
    <s v="Other"/>
    <s v="Yearly"/>
    <d v="2025-01-15T00:00:00"/>
    <d v="2026-04-19T00:00:00"/>
    <n v="63"/>
    <n v="8"/>
    <n v="0"/>
    <x v="23"/>
  </r>
  <r>
    <s v="CUST0279"/>
    <s v="Valerie Wright"/>
    <n v="51"/>
    <s v="Female"/>
    <s v="Monthly"/>
    <d v="2024-07-14T00:00:00"/>
    <d v="2026-01-18T00:00:00"/>
    <n v="58"/>
    <n v="10"/>
    <n v="0"/>
    <x v="15"/>
  </r>
  <r>
    <s v="CUST0280"/>
    <s v="Thomas Delacruz"/>
    <n v="30"/>
    <s v="Female"/>
    <s v="Monthly"/>
    <d v="2024-02-13T00:00:00"/>
    <d v="2026-02-23T00:00:00"/>
    <n v="76"/>
    <n v="6"/>
    <n v="1"/>
    <x v="3"/>
  </r>
  <r>
    <s v="CUST0281"/>
    <s v="Laura Oneal"/>
    <n v="57"/>
    <s v="Male"/>
    <s v="Monthly"/>
    <d v="2023-10-19T00:00:00"/>
    <d v="2026-03-22T00:00:00"/>
    <n v="61"/>
    <n v="7"/>
    <n v="0"/>
    <x v="8"/>
  </r>
  <r>
    <s v="CUST0282"/>
    <s v="Jamie Ramirez"/>
    <n v="29"/>
    <s v="Other"/>
    <s v="Quarterly"/>
    <d v="2026-03-27T00:00:00"/>
    <d v="2026-04-28T00:00:00"/>
    <n v="55"/>
    <n v="10"/>
    <n v="0"/>
    <x v="22"/>
  </r>
  <r>
    <s v="CUST0283"/>
    <s v="William Henry"/>
    <n v="30"/>
    <s v="Male"/>
    <s v="Quarterly"/>
    <d v="2023-11-04T00:00:00"/>
    <d v="2026-04-02T00:00:00"/>
    <n v="31"/>
    <n v="10"/>
    <n v="0"/>
    <x v="1"/>
  </r>
  <r>
    <s v="CUST0284"/>
    <s v="Erika Blankenship"/>
    <n v="55"/>
    <s v="Male"/>
    <s v="Monthly"/>
    <d v="2023-10-26T00:00:00"/>
    <d v="2026-01-19T00:00:00"/>
    <n v="63"/>
    <n v="5"/>
    <n v="1"/>
    <x v="8"/>
  </r>
  <r>
    <s v="CUST0285"/>
    <s v="Samuel Valentine"/>
    <n v="29"/>
    <s v="Male"/>
    <s v="Quarterly"/>
    <d v="2024-09-30T00:00:00"/>
    <d v="2026-02-28T00:00:00"/>
    <n v="14"/>
    <n v="4"/>
    <n v="0"/>
    <x v="10"/>
  </r>
  <r>
    <s v="CUST0286"/>
    <s v="James Coffey"/>
    <n v="38"/>
    <s v="Other"/>
    <s v="Quarterly"/>
    <d v="2023-11-26T00:00:00"/>
    <d v="2026-03-29T00:00:00"/>
    <n v="66"/>
    <n v="10"/>
    <n v="0"/>
    <x v="1"/>
  </r>
  <r>
    <s v="CUST0287"/>
    <s v="Michael Gomez"/>
    <n v="36"/>
    <s v="Male"/>
    <s v="Monthly"/>
    <d v="2024-04-16T00:00:00"/>
    <d v="2026-02-25T00:00:00"/>
    <n v="57"/>
    <n v="1"/>
    <n v="1"/>
    <x v="0"/>
  </r>
  <r>
    <s v="CUST0288"/>
    <s v="Alexis Morrison"/>
    <n v="51"/>
    <s v="Male"/>
    <s v="Monthly"/>
    <d v="2023-09-02T00:00:00"/>
    <d v="2026-04-06T00:00:00"/>
    <n v="26"/>
    <n v="9"/>
    <n v="0"/>
    <x v="7"/>
  </r>
  <r>
    <s v="CUST0289"/>
    <s v="Dennis Grimes"/>
    <n v="33"/>
    <s v="Female"/>
    <s v="Monthly"/>
    <d v="2024-10-09T00:00:00"/>
    <d v="2026-03-22T00:00:00"/>
    <n v="21"/>
    <n v="1"/>
    <n v="0"/>
    <x v="26"/>
  </r>
  <r>
    <s v="CUST0290"/>
    <s v="Molly Kim"/>
    <n v="57"/>
    <s v="Female"/>
    <s v="Monthly"/>
    <d v="2024-11-18T00:00:00"/>
    <d v="2026-04-02T00:00:00"/>
    <n v="44"/>
    <n v="10"/>
    <n v="0"/>
    <x v="24"/>
  </r>
  <r>
    <s v="CUST0291"/>
    <s v="Sherri Mason"/>
    <n v="47"/>
    <s v="Female"/>
    <s v="Yearly"/>
    <d v="2024-11-08T00:00:00"/>
    <d v="2026-03-30T00:00:00"/>
    <n v="74"/>
    <n v="3"/>
    <n v="0"/>
    <x v="24"/>
  </r>
  <r>
    <s v="CUST0292"/>
    <s v="Christina Thornton"/>
    <n v="52"/>
    <s v="Female"/>
    <s v="Yearly"/>
    <d v="2024-10-22T00:00:00"/>
    <d v="2026-03-10T00:00:00"/>
    <n v="71"/>
    <n v="3"/>
    <n v="0"/>
    <x v="26"/>
  </r>
  <r>
    <s v="CUST0293"/>
    <s v="Alexandra Fields"/>
    <n v="42"/>
    <s v="Other"/>
    <s v="Monthly"/>
    <d v="2025-03-12T00:00:00"/>
    <d v="2026-03-16T00:00:00"/>
    <n v="68"/>
    <n v="7"/>
    <n v="1"/>
    <x v="18"/>
  </r>
  <r>
    <s v="CUST0294"/>
    <s v="Matthew Bailey"/>
    <n v="54"/>
    <s v="Female"/>
    <s v="Monthly"/>
    <d v="2025-10-30T00:00:00"/>
    <d v="2026-04-24T00:00:00"/>
    <n v="75"/>
    <n v="10"/>
    <n v="0"/>
    <x v="25"/>
  </r>
  <r>
    <s v="CUST0295"/>
    <s v="Scott Gibson"/>
    <n v="59"/>
    <s v="Male"/>
    <s v="Monthly"/>
    <d v="2025-07-16T00:00:00"/>
    <d v="2026-02-04T00:00:00"/>
    <n v="56"/>
    <n v="5"/>
    <n v="1"/>
    <x v="12"/>
  </r>
  <r>
    <s v="CUST0296"/>
    <s v="Sarah Perez"/>
    <n v="30"/>
    <s v="Other"/>
    <s v="Quarterly"/>
    <d v="2025-09-07T00:00:00"/>
    <d v="2026-04-06T00:00:00"/>
    <n v="8"/>
    <n v="6"/>
    <n v="0"/>
    <x v="13"/>
  </r>
  <r>
    <s v="CUST0297"/>
    <s v="Jackie Sherman"/>
    <n v="41"/>
    <s v="Other"/>
    <s v="Monthly"/>
    <d v="2025-05-28T00:00:00"/>
    <d v="2026-01-25T00:00:00"/>
    <n v="18"/>
    <n v="1"/>
    <n v="1"/>
    <x v="2"/>
  </r>
  <r>
    <s v="CUST0298"/>
    <s v="Richard Meyer"/>
    <n v="50"/>
    <s v="Male"/>
    <s v="Monthly"/>
    <d v="2024-01-19T00:00:00"/>
    <d v="2026-01-27T00:00:00"/>
    <n v="33"/>
    <n v="6"/>
    <n v="1"/>
    <x v="9"/>
  </r>
  <r>
    <s v="CUST0299"/>
    <s v="Johnathan Kelly"/>
    <n v="57"/>
    <s v="Male"/>
    <s v="Quarterly"/>
    <d v="2024-08-29T00:00:00"/>
    <d v="2026-03-15T00:00:00"/>
    <n v="33"/>
    <n v="4"/>
    <n v="0"/>
    <x v="21"/>
  </r>
  <r>
    <s v="CUST0300"/>
    <s v="Shannon Booker"/>
    <n v="21"/>
    <s v="Female"/>
    <s v="Yearly"/>
    <d v="2024-11-21T00:00:00"/>
    <d v="2026-01-15T00:00:00"/>
    <n v="41"/>
    <n v="10"/>
    <n v="0"/>
    <x v="24"/>
  </r>
  <r>
    <s v="CUST0301"/>
    <s v="Dwayne Baldwin"/>
    <n v="36"/>
    <s v="Other"/>
    <s v="Monthly"/>
    <d v="2025-05-05T00:00:00"/>
    <d v="2026-01-23T00:00:00"/>
    <n v="72"/>
    <n v="6"/>
    <n v="1"/>
    <x v="2"/>
  </r>
  <r>
    <s v="CUST0302"/>
    <s v="Ronald Davis"/>
    <n v="53"/>
    <s v="Male"/>
    <s v="Monthly"/>
    <d v="2025-02-15T00:00:00"/>
    <d v="2026-02-08T00:00:00"/>
    <n v="16"/>
    <n v="1"/>
    <n v="1"/>
    <x v="19"/>
  </r>
  <r>
    <s v="CUST0303"/>
    <s v="Lauren May"/>
    <n v="22"/>
    <s v="Other"/>
    <s v="Monthly"/>
    <d v="2024-07-02T00:00:00"/>
    <d v="2026-01-08T00:00:00"/>
    <n v="16"/>
    <n v="1"/>
    <n v="1"/>
    <x v="15"/>
  </r>
  <r>
    <s v="CUST0304"/>
    <s v="Andrew Edwards"/>
    <n v="57"/>
    <s v="Female"/>
    <s v="Quarterly"/>
    <d v="2023-09-12T00:00:00"/>
    <d v="2026-04-15T00:00:00"/>
    <n v="8"/>
    <n v="2"/>
    <n v="0"/>
    <x v="7"/>
  </r>
  <r>
    <s v="CUST0305"/>
    <s v="Robert Reynolds"/>
    <n v="39"/>
    <s v="Male"/>
    <s v="Yearly"/>
    <d v="2024-06-30T00:00:00"/>
    <d v="2026-03-06T00:00:00"/>
    <n v="47"/>
    <n v="8"/>
    <n v="0"/>
    <x v="11"/>
  </r>
  <r>
    <s v="CUST0306"/>
    <s v="William Rivers"/>
    <n v="33"/>
    <s v="Female"/>
    <s v="Monthly"/>
    <d v="2026-03-30T00:00:00"/>
    <d v="2026-02-27T00:00:00"/>
    <n v="55"/>
    <n v="7"/>
    <n v="1"/>
    <x v="22"/>
  </r>
  <r>
    <s v="CUST0307"/>
    <s v="Bradley Gill"/>
    <n v="42"/>
    <s v="Female"/>
    <s v="Monthly"/>
    <d v="2025-03-20T00:00:00"/>
    <d v="2026-04-17T00:00:00"/>
    <n v="9"/>
    <n v="2"/>
    <n v="0"/>
    <x v="18"/>
  </r>
  <r>
    <s v="CUST0308"/>
    <s v="Eric Holder"/>
    <n v="33"/>
    <s v="Female"/>
    <s v="Yearly"/>
    <d v="2025-08-29T00:00:00"/>
    <d v="2026-02-09T00:00:00"/>
    <n v="21"/>
    <n v="1"/>
    <n v="0"/>
    <x v="20"/>
  </r>
  <r>
    <s v="CUST0309"/>
    <s v="Nancy Robinson"/>
    <n v="34"/>
    <s v="Male"/>
    <s v="Yearly"/>
    <d v="2023-12-02T00:00:00"/>
    <d v="2026-04-17T00:00:00"/>
    <n v="74"/>
    <n v="10"/>
    <n v="0"/>
    <x v="5"/>
  </r>
  <r>
    <s v="CUST0310"/>
    <s v="Gregory Kim"/>
    <n v="49"/>
    <s v="Other"/>
    <s v="Monthly"/>
    <d v="2024-03-07T00:00:00"/>
    <d v="2026-04-27T00:00:00"/>
    <n v="9"/>
    <n v="1"/>
    <n v="0"/>
    <x v="30"/>
  </r>
  <r>
    <s v="CUST0311"/>
    <s v="Charles Stanton"/>
    <n v="43"/>
    <s v="Male"/>
    <s v="Monthly"/>
    <d v="2024-04-03T00:00:00"/>
    <d v="2026-03-16T00:00:00"/>
    <n v="77"/>
    <n v="10"/>
    <n v="0"/>
    <x v="0"/>
  </r>
  <r>
    <s v="CUST0312"/>
    <s v="Marco Black"/>
    <n v="47"/>
    <s v="Other"/>
    <s v="Quarterly"/>
    <d v="2026-04-02T00:00:00"/>
    <d v="2026-03-13T00:00:00"/>
    <n v="16"/>
    <n v="9"/>
    <n v="0"/>
    <x v="31"/>
  </r>
  <r>
    <s v="CUST0313"/>
    <s v="Jessica Roy"/>
    <n v="31"/>
    <s v="Female"/>
    <s v="Quarterly"/>
    <d v="2024-12-14T00:00:00"/>
    <d v="2026-01-10T00:00:00"/>
    <n v="62"/>
    <n v="4"/>
    <n v="1"/>
    <x v="14"/>
  </r>
  <r>
    <s v="CUST0314"/>
    <s v="Julie Marquez"/>
    <n v="52"/>
    <s v="Female"/>
    <s v="Monthly"/>
    <d v="2025-06-20T00:00:00"/>
    <d v="2026-01-16T00:00:00"/>
    <n v="65"/>
    <n v="2"/>
    <n v="0"/>
    <x v="27"/>
  </r>
  <r>
    <s v="CUST0315"/>
    <s v="Dawn George"/>
    <n v="42"/>
    <s v="Female"/>
    <s v="Monthly"/>
    <d v="2024-11-20T00:00:00"/>
    <d v="2026-03-08T00:00:00"/>
    <n v="62"/>
    <n v="6"/>
    <n v="1"/>
    <x v="24"/>
  </r>
  <r>
    <s v="CUST0316"/>
    <s v="Jeffery Thomas"/>
    <n v="44"/>
    <s v="Other"/>
    <s v="Quarterly"/>
    <d v="2025-07-27T00:00:00"/>
    <d v="2026-01-30T00:00:00"/>
    <n v="16"/>
    <n v="8"/>
    <n v="0"/>
    <x v="12"/>
  </r>
  <r>
    <s v="CUST0317"/>
    <s v="Amanda Ortiz"/>
    <n v="50"/>
    <s v="Male"/>
    <s v="Quarterly"/>
    <d v="2026-02-28T00:00:00"/>
    <d v="2026-04-12T00:00:00"/>
    <n v="17"/>
    <n v="9"/>
    <n v="0"/>
    <x v="16"/>
  </r>
  <r>
    <s v="CUST0318"/>
    <s v="Jennifer Barber"/>
    <n v="55"/>
    <s v="Male"/>
    <s v="Monthly"/>
    <d v="2024-01-18T00:00:00"/>
    <d v="2026-01-14T00:00:00"/>
    <n v="11"/>
    <n v="7"/>
    <n v="0"/>
    <x v="9"/>
  </r>
  <r>
    <s v="CUST0319"/>
    <s v="Suzanne Wilkinson"/>
    <n v="42"/>
    <s v="Other"/>
    <s v="Yearly"/>
    <d v="2025-02-17T00:00:00"/>
    <d v="2026-04-24T00:00:00"/>
    <n v="0"/>
    <n v="2"/>
    <n v="1"/>
    <x v="19"/>
  </r>
  <r>
    <s v="CUST0320"/>
    <s v="Adam Edwards"/>
    <n v="19"/>
    <s v="Female"/>
    <s v="Quarterly"/>
    <d v="2024-10-01T00:00:00"/>
    <d v="2026-01-26T00:00:00"/>
    <n v="28"/>
    <n v="8"/>
    <n v="0"/>
    <x v="26"/>
  </r>
  <r>
    <s v="CUST0321"/>
    <s v="John Bean"/>
    <n v="57"/>
    <s v="Male"/>
    <s v="Quarterly"/>
    <d v="2025-02-09T00:00:00"/>
    <d v="2026-04-04T00:00:00"/>
    <n v="28"/>
    <n v="9"/>
    <n v="0"/>
    <x v="19"/>
  </r>
  <r>
    <s v="CUST0322"/>
    <s v="Brandon Rivera"/>
    <n v="29"/>
    <s v="Other"/>
    <s v="Yearly"/>
    <d v="2023-09-04T00:00:00"/>
    <d v="2026-01-31T00:00:00"/>
    <n v="4"/>
    <n v="10"/>
    <n v="1"/>
    <x v="7"/>
  </r>
  <r>
    <s v="CUST0323"/>
    <s v="Jordan Huffman"/>
    <n v="23"/>
    <s v="Male"/>
    <s v="Monthly"/>
    <d v="2025-06-30T00:00:00"/>
    <d v="2026-02-13T00:00:00"/>
    <n v="18"/>
    <n v="1"/>
    <n v="1"/>
    <x v="27"/>
  </r>
  <r>
    <s v="CUST0324"/>
    <s v="Lawrence Hall"/>
    <n v="47"/>
    <s v="Female"/>
    <s v="Quarterly"/>
    <d v="2025-07-16T00:00:00"/>
    <d v="2026-04-28T00:00:00"/>
    <n v="78"/>
    <n v="6"/>
    <n v="0"/>
    <x v="12"/>
  </r>
  <r>
    <s v="CUST0325"/>
    <s v="Travis Taylor"/>
    <n v="39"/>
    <s v="Other"/>
    <s v="Monthly"/>
    <d v="2025-06-02T00:00:00"/>
    <d v="2026-04-25T00:00:00"/>
    <n v="10"/>
    <n v="6"/>
    <n v="0"/>
    <x v="27"/>
  </r>
  <r>
    <s v="CUST0326"/>
    <s v="James Goodwin"/>
    <n v="24"/>
    <s v="Female"/>
    <s v="Quarterly"/>
    <d v="2024-08-13T00:00:00"/>
    <d v="2026-01-13T00:00:00"/>
    <n v="55"/>
    <n v="2"/>
    <n v="1"/>
    <x v="21"/>
  </r>
  <r>
    <s v="CUST0327"/>
    <s v="Gregory Davis"/>
    <n v="54"/>
    <s v="Female"/>
    <s v="Monthly"/>
    <d v="2024-11-09T00:00:00"/>
    <d v="2026-04-09T00:00:00"/>
    <n v="22"/>
    <n v="2"/>
    <n v="0"/>
    <x v="24"/>
  </r>
  <r>
    <s v="CUST0328"/>
    <s v="Paul Lopez"/>
    <n v="53"/>
    <s v="Female"/>
    <s v="Monthly"/>
    <d v="2025-08-19T00:00:00"/>
    <d v="2026-01-14T00:00:00"/>
    <n v="47"/>
    <n v="4"/>
    <n v="0"/>
    <x v="20"/>
  </r>
  <r>
    <s v="CUST0329"/>
    <s v="Robert Reese"/>
    <n v="51"/>
    <s v="Male"/>
    <s v="Yearly"/>
    <d v="2023-12-21T00:00:00"/>
    <d v="2026-01-18T00:00:00"/>
    <n v="16"/>
    <n v="2"/>
    <n v="0"/>
    <x v="5"/>
  </r>
  <r>
    <s v="CUST0330"/>
    <s v="Pamela Anthony"/>
    <n v="43"/>
    <s v="Male"/>
    <s v="Monthly"/>
    <d v="2025-08-29T00:00:00"/>
    <d v="2026-05-02T00:00:00"/>
    <n v="71"/>
    <n v="3"/>
    <n v="0"/>
    <x v="20"/>
  </r>
  <r>
    <s v="CUST0331"/>
    <s v="Deanna Miller"/>
    <n v="28"/>
    <s v="Male"/>
    <s v="Monthly"/>
    <d v="2024-07-13T00:00:00"/>
    <d v="2026-03-06T00:00:00"/>
    <n v="50"/>
    <n v="5"/>
    <n v="0"/>
    <x v="15"/>
  </r>
  <r>
    <s v="CUST0332"/>
    <s v="Ashley Allen"/>
    <n v="34"/>
    <s v="Female"/>
    <s v="Monthly"/>
    <d v="2024-05-08T00:00:00"/>
    <d v="2026-04-24T00:00:00"/>
    <n v="79"/>
    <n v="9"/>
    <n v="0"/>
    <x v="6"/>
  </r>
  <r>
    <s v="CUST0333"/>
    <s v="Anthony Dodson"/>
    <n v="47"/>
    <s v="Male"/>
    <s v="Quarterly"/>
    <d v="2025-08-28T00:00:00"/>
    <d v="2026-05-06T00:00:00"/>
    <n v="32"/>
    <n v="3"/>
    <n v="0"/>
    <x v="20"/>
  </r>
  <r>
    <s v="CUST0334"/>
    <s v="Michelle Ruiz"/>
    <n v="53"/>
    <s v="Other"/>
    <s v="Monthly"/>
    <d v="2023-09-02T00:00:00"/>
    <d v="2026-04-26T00:00:00"/>
    <n v="9"/>
    <n v="6"/>
    <n v="1"/>
    <x v="7"/>
  </r>
  <r>
    <s v="CUST0335"/>
    <s v="Chad Stein"/>
    <n v="46"/>
    <s v="Male"/>
    <s v="Monthly"/>
    <d v="2024-11-13T00:00:00"/>
    <d v="2026-03-19T00:00:00"/>
    <n v="57"/>
    <n v="2"/>
    <n v="0"/>
    <x v="24"/>
  </r>
  <r>
    <s v="CUST0336"/>
    <s v="Heather Roberts"/>
    <n v="56"/>
    <s v="Male"/>
    <s v="Yearly"/>
    <d v="2026-02-13T00:00:00"/>
    <d v="2026-03-18T00:00:00"/>
    <n v="77"/>
    <n v="2"/>
    <n v="0"/>
    <x v="16"/>
  </r>
  <r>
    <s v="CUST0337"/>
    <s v="Denise Sullivan"/>
    <n v="25"/>
    <s v="Female"/>
    <s v="Monthly"/>
    <d v="2024-12-16T00:00:00"/>
    <d v="2026-03-16T00:00:00"/>
    <n v="61"/>
    <n v="2"/>
    <n v="1"/>
    <x v="14"/>
  </r>
  <r>
    <s v="CUST0338"/>
    <s v="Derrick Hooper"/>
    <n v="52"/>
    <s v="Male"/>
    <s v="Monthly"/>
    <d v="2026-02-24T00:00:00"/>
    <d v="2026-03-27T00:00:00"/>
    <n v="52"/>
    <n v="8"/>
    <n v="0"/>
    <x v="16"/>
  </r>
  <r>
    <s v="CUST0339"/>
    <s v="David Murphy"/>
    <n v="45"/>
    <s v="Other"/>
    <s v="Monthly"/>
    <d v="2025-08-08T00:00:00"/>
    <d v="2026-02-27T00:00:00"/>
    <n v="38"/>
    <n v="6"/>
    <n v="1"/>
    <x v="20"/>
  </r>
  <r>
    <s v="CUST0340"/>
    <s v="Alisha Porter"/>
    <n v="21"/>
    <s v="Male"/>
    <s v="Monthly"/>
    <d v="2024-11-27T00:00:00"/>
    <d v="2026-02-18T00:00:00"/>
    <n v="69"/>
    <n v="9"/>
    <n v="0"/>
    <x v="24"/>
  </r>
  <r>
    <s v="CUST0341"/>
    <s v="Michael Berry"/>
    <n v="45"/>
    <s v="Male"/>
    <s v="Yearly"/>
    <d v="2025-11-16T00:00:00"/>
    <d v="2026-01-15T00:00:00"/>
    <n v="49"/>
    <n v="1"/>
    <n v="1"/>
    <x v="4"/>
  </r>
  <r>
    <s v="CUST0342"/>
    <s v="Michael Nelson"/>
    <n v="22"/>
    <s v="Female"/>
    <s v="Monthly"/>
    <d v="2025-10-29T00:00:00"/>
    <d v="2026-03-27T00:00:00"/>
    <n v="71"/>
    <n v="8"/>
    <n v="0"/>
    <x v="25"/>
  </r>
  <r>
    <s v="CUST0343"/>
    <s v="Laura Greene"/>
    <n v="42"/>
    <s v="Male"/>
    <s v="Monthly"/>
    <d v="2024-09-07T00:00:00"/>
    <d v="2026-03-24T00:00:00"/>
    <n v="38"/>
    <n v="4"/>
    <n v="0"/>
    <x v="10"/>
  </r>
  <r>
    <s v="CUST0344"/>
    <s v="Alexander Brown"/>
    <n v="24"/>
    <s v="Other"/>
    <s v="Monthly"/>
    <d v="2026-03-18T00:00:00"/>
    <d v="2026-04-01T00:00:00"/>
    <n v="14"/>
    <n v="6"/>
    <n v="0"/>
    <x v="22"/>
  </r>
  <r>
    <s v="CUST0345"/>
    <s v="Mark Medina"/>
    <n v="22"/>
    <s v="Male"/>
    <s v="Monthly"/>
    <d v="2025-03-15T00:00:00"/>
    <d v="2026-02-06T00:00:00"/>
    <n v="13"/>
    <n v="9"/>
    <n v="0"/>
    <x v="18"/>
  </r>
  <r>
    <s v="CUST0346"/>
    <s v="Nancy Mejia"/>
    <n v="36"/>
    <s v="Female"/>
    <s v="Monthly"/>
    <d v="2025-11-26T00:00:00"/>
    <d v="2026-01-23T00:00:00"/>
    <n v="16"/>
    <n v="5"/>
    <n v="0"/>
    <x v="4"/>
  </r>
  <r>
    <s v="CUST0347"/>
    <s v="Terry Stewart III"/>
    <n v="48"/>
    <s v="Female"/>
    <s v="Monthly"/>
    <d v="2025-12-09T00:00:00"/>
    <d v="2026-03-03T00:00:00"/>
    <n v="33"/>
    <n v="4"/>
    <n v="0"/>
    <x v="28"/>
  </r>
  <r>
    <s v="CUST0348"/>
    <s v="Jessica Harrison"/>
    <n v="52"/>
    <s v="Other"/>
    <s v="Monthly"/>
    <d v="2024-03-25T00:00:00"/>
    <d v="2026-03-05T00:00:00"/>
    <n v="5"/>
    <n v="9"/>
    <n v="0"/>
    <x v="30"/>
  </r>
  <r>
    <s v="CUST0349"/>
    <s v="Jeffrey Ball"/>
    <n v="47"/>
    <s v="Female"/>
    <s v="Monthly"/>
    <d v="2024-07-12T00:00:00"/>
    <d v="2026-03-11T00:00:00"/>
    <n v="33"/>
    <n v="7"/>
    <n v="0"/>
    <x v="15"/>
  </r>
  <r>
    <s v="CUST0350"/>
    <s v="Jonathan Sanders"/>
    <n v="53"/>
    <s v="Female"/>
    <s v="Monthly"/>
    <d v="2024-11-16T00:00:00"/>
    <d v="2026-02-16T00:00:00"/>
    <n v="50"/>
    <n v="4"/>
    <n v="1"/>
    <x v="24"/>
  </r>
  <r>
    <s v="CUST0351"/>
    <s v="James Rogers"/>
    <n v="32"/>
    <s v="Other"/>
    <s v="Yearly"/>
    <d v="2025-04-27T00:00:00"/>
    <d v="2026-02-26T00:00:00"/>
    <n v="71"/>
    <n v="9"/>
    <n v="0"/>
    <x v="17"/>
  </r>
  <r>
    <s v="CUST0352"/>
    <s v="John Jackson"/>
    <n v="26"/>
    <s v="Other"/>
    <s v="Quarterly"/>
    <d v="2023-08-14T00:00:00"/>
    <d v="2026-01-31T00:00:00"/>
    <n v="2"/>
    <n v="4"/>
    <n v="1"/>
    <x v="32"/>
  </r>
  <r>
    <s v="CUST0353"/>
    <s v="Daniel Morrison"/>
    <n v="25"/>
    <s v="Female"/>
    <s v="Monthly"/>
    <d v="2024-08-25T00:00:00"/>
    <d v="2026-01-30T00:00:00"/>
    <n v="46"/>
    <n v="4"/>
    <n v="1"/>
    <x v="21"/>
  </r>
  <r>
    <s v="CUST0354"/>
    <s v="Michael Miller"/>
    <n v="42"/>
    <s v="Female"/>
    <s v="Monthly"/>
    <d v="2023-10-12T00:00:00"/>
    <d v="2026-03-13T00:00:00"/>
    <n v="55"/>
    <n v="2"/>
    <n v="1"/>
    <x v="8"/>
  </r>
  <r>
    <s v="CUST0355"/>
    <s v="Brandy Jones"/>
    <n v="41"/>
    <s v="Other"/>
    <s v="Quarterly"/>
    <d v="2024-01-28T00:00:00"/>
    <d v="2026-01-28T00:00:00"/>
    <n v="56"/>
    <n v="9"/>
    <n v="0"/>
    <x v="9"/>
  </r>
  <r>
    <s v="CUST0356"/>
    <s v="Sandra Ray"/>
    <n v="24"/>
    <s v="Other"/>
    <s v="Quarterly"/>
    <d v="2023-09-06T00:00:00"/>
    <d v="2026-03-04T00:00:00"/>
    <n v="36"/>
    <n v="7"/>
    <n v="0"/>
    <x v="7"/>
  </r>
  <r>
    <s v="CUST0357"/>
    <s v="Lauren Thompson"/>
    <n v="25"/>
    <s v="Other"/>
    <s v="Monthly"/>
    <d v="2025-08-14T00:00:00"/>
    <d v="2026-03-13T00:00:00"/>
    <n v="53"/>
    <n v="7"/>
    <n v="0"/>
    <x v="20"/>
  </r>
  <r>
    <s v="CUST0358"/>
    <s v="Joshua Lopez"/>
    <n v="51"/>
    <s v="Male"/>
    <s v="Monthly"/>
    <d v="2024-12-08T00:00:00"/>
    <d v="2026-01-30T00:00:00"/>
    <n v="63"/>
    <n v="3"/>
    <n v="1"/>
    <x v="14"/>
  </r>
  <r>
    <s v="CUST0359"/>
    <s v="Matthew Cameron"/>
    <n v="24"/>
    <s v="Other"/>
    <s v="Monthly"/>
    <d v="2024-02-19T00:00:00"/>
    <d v="2026-01-28T00:00:00"/>
    <n v="15"/>
    <n v="7"/>
    <n v="0"/>
    <x v="3"/>
  </r>
  <r>
    <s v="CUST0360"/>
    <s v="Daniel Fischer"/>
    <n v="23"/>
    <s v="Other"/>
    <s v="Monthly"/>
    <d v="2025-03-31T00:00:00"/>
    <d v="2026-02-22T00:00:00"/>
    <n v="60"/>
    <n v="9"/>
    <n v="0"/>
    <x v="18"/>
  </r>
  <r>
    <s v="CUST0361"/>
    <s v="Jennifer Green"/>
    <n v="32"/>
    <s v="Other"/>
    <s v="Monthly"/>
    <d v="2023-12-30T00:00:00"/>
    <d v="2026-01-12T00:00:00"/>
    <n v="32"/>
    <n v="4"/>
    <n v="1"/>
    <x v="5"/>
  </r>
  <r>
    <s v="CUST0362"/>
    <s v="Denise Alexander"/>
    <n v="32"/>
    <s v="Male"/>
    <s v="Monthly"/>
    <d v="2024-12-19T00:00:00"/>
    <d v="2026-02-04T00:00:00"/>
    <n v="36"/>
    <n v="1"/>
    <n v="0"/>
    <x v="14"/>
  </r>
  <r>
    <s v="CUST0363"/>
    <s v="Derek Collins"/>
    <n v="33"/>
    <s v="Other"/>
    <s v="Monthly"/>
    <d v="2024-02-05T00:00:00"/>
    <d v="2026-02-07T00:00:00"/>
    <n v="39"/>
    <n v="1"/>
    <n v="0"/>
    <x v="3"/>
  </r>
  <r>
    <s v="CUST0364"/>
    <s v="Jennifer Allen"/>
    <n v="26"/>
    <s v="Male"/>
    <s v="Quarterly"/>
    <d v="2023-12-17T00:00:00"/>
    <d v="2026-03-29T00:00:00"/>
    <n v="37"/>
    <n v="7"/>
    <n v="0"/>
    <x v="5"/>
  </r>
  <r>
    <s v="CUST0365"/>
    <s v="Jacob Torres"/>
    <n v="32"/>
    <s v="Female"/>
    <s v="Monthly"/>
    <d v="2025-03-24T00:00:00"/>
    <d v="2026-03-09T00:00:00"/>
    <n v="40"/>
    <n v="7"/>
    <n v="1"/>
    <x v="18"/>
  </r>
  <r>
    <s v="CUST0366"/>
    <s v="Kimberly Gonzales"/>
    <n v="38"/>
    <s v="Male"/>
    <s v="Yearly"/>
    <d v="2024-05-13T00:00:00"/>
    <d v="2026-04-05T00:00:00"/>
    <n v="45"/>
    <n v="7"/>
    <n v="0"/>
    <x v="6"/>
  </r>
  <r>
    <s v="CUST0367"/>
    <s v="Jeremy Burke"/>
    <n v="28"/>
    <s v="Other"/>
    <s v="Monthly"/>
    <d v="2025-05-19T00:00:00"/>
    <d v="2026-04-10T00:00:00"/>
    <n v="4"/>
    <n v="8"/>
    <n v="0"/>
    <x v="2"/>
  </r>
  <r>
    <s v="CUST0368"/>
    <s v="Brianna Powell"/>
    <n v="32"/>
    <s v="Female"/>
    <s v="Yearly"/>
    <d v="2026-03-31T00:00:00"/>
    <d v="2026-04-03T00:00:00"/>
    <n v="8"/>
    <n v="8"/>
    <n v="0"/>
    <x v="22"/>
  </r>
  <r>
    <s v="CUST0369"/>
    <s v="Nicholas Huynh PhD"/>
    <n v="55"/>
    <s v="Other"/>
    <s v="Yearly"/>
    <d v="2025-08-09T00:00:00"/>
    <d v="2026-02-08T00:00:00"/>
    <n v="56"/>
    <n v="8"/>
    <n v="0"/>
    <x v="20"/>
  </r>
  <r>
    <s v="CUST0370"/>
    <s v="Heather Hudson"/>
    <n v="53"/>
    <s v="Other"/>
    <s v="Monthly"/>
    <d v="2023-12-03T00:00:00"/>
    <d v="2026-04-04T00:00:00"/>
    <n v="71"/>
    <n v="7"/>
    <n v="0"/>
    <x v="5"/>
  </r>
  <r>
    <s v="CUST0371"/>
    <s v="Erica Fleming"/>
    <n v="20"/>
    <s v="Male"/>
    <s v="Quarterly"/>
    <d v="2024-02-20T00:00:00"/>
    <d v="2026-05-04T00:00:00"/>
    <n v="13"/>
    <n v="2"/>
    <n v="0"/>
    <x v="3"/>
  </r>
  <r>
    <s v="CUST0372"/>
    <s v="Samantha Gonzales"/>
    <n v="36"/>
    <s v="Other"/>
    <s v="Yearly"/>
    <d v="2025-02-23T00:00:00"/>
    <d v="2026-02-13T00:00:00"/>
    <n v="49"/>
    <n v="10"/>
    <n v="0"/>
    <x v="19"/>
  </r>
  <r>
    <s v="CUST0373"/>
    <s v="Edwin Wyatt DVM"/>
    <n v="60"/>
    <s v="Other"/>
    <s v="Yearly"/>
    <d v="2024-11-18T00:00:00"/>
    <d v="2026-03-26T00:00:00"/>
    <n v="60"/>
    <n v="5"/>
    <n v="0"/>
    <x v="24"/>
  </r>
  <r>
    <s v="CUST0374"/>
    <s v="Joshua Smith"/>
    <n v="36"/>
    <s v="Female"/>
    <s v="Monthly"/>
    <d v="2024-10-12T00:00:00"/>
    <d v="2026-01-27T00:00:00"/>
    <n v="3"/>
    <n v="10"/>
    <n v="1"/>
    <x v="26"/>
  </r>
  <r>
    <s v="CUST0375"/>
    <s v="Kristina Dunn"/>
    <n v="50"/>
    <s v="Other"/>
    <s v="Quarterly"/>
    <d v="2024-11-04T00:00:00"/>
    <d v="2026-04-11T00:00:00"/>
    <n v="53"/>
    <n v="9"/>
    <n v="0"/>
    <x v="24"/>
  </r>
  <r>
    <s v="CUST0376"/>
    <s v="Timothy Hayes"/>
    <n v="31"/>
    <s v="Other"/>
    <s v="Monthly"/>
    <d v="2025-06-29T00:00:00"/>
    <d v="2026-05-06T00:00:00"/>
    <n v="64"/>
    <n v="3"/>
    <n v="0"/>
    <x v="27"/>
  </r>
  <r>
    <s v="CUST0377"/>
    <s v="Diana Wagner"/>
    <n v="54"/>
    <s v="Female"/>
    <s v="Monthly"/>
    <d v="2025-03-27T00:00:00"/>
    <d v="2026-01-10T00:00:00"/>
    <n v="5"/>
    <n v="8"/>
    <n v="1"/>
    <x v="18"/>
  </r>
  <r>
    <s v="CUST0378"/>
    <s v="Maureen Holmes"/>
    <n v="56"/>
    <s v="Other"/>
    <s v="Quarterly"/>
    <d v="2024-02-09T00:00:00"/>
    <d v="2026-01-17T00:00:00"/>
    <n v="39"/>
    <n v="9"/>
    <n v="0"/>
    <x v="3"/>
  </r>
  <r>
    <s v="CUST0379"/>
    <s v="Angelica Hebert"/>
    <n v="36"/>
    <s v="Male"/>
    <s v="Monthly"/>
    <d v="2025-12-05T00:00:00"/>
    <d v="2026-04-21T00:00:00"/>
    <n v="57"/>
    <n v="2"/>
    <n v="1"/>
    <x v="28"/>
  </r>
  <r>
    <s v="CUST0380"/>
    <s v="Jonathan Johnson"/>
    <n v="20"/>
    <s v="Female"/>
    <s v="Quarterly"/>
    <d v="2024-01-26T00:00:00"/>
    <d v="2026-03-19T00:00:00"/>
    <n v="0"/>
    <n v="1"/>
    <n v="0"/>
    <x v="9"/>
  </r>
  <r>
    <s v="CUST0381"/>
    <s v="Selena Parker"/>
    <n v="58"/>
    <s v="Female"/>
    <s v="Quarterly"/>
    <d v="2025-04-30T00:00:00"/>
    <d v="2026-02-15T00:00:00"/>
    <n v="9"/>
    <n v="10"/>
    <n v="0"/>
    <x v="17"/>
  </r>
  <r>
    <s v="CUST0382"/>
    <s v="Jennifer Conley"/>
    <n v="49"/>
    <s v="Other"/>
    <s v="Yearly"/>
    <d v="2023-10-14T00:00:00"/>
    <d v="2026-02-19T00:00:00"/>
    <n v="60"/>
    <n v="8"/>
    <n v="0"/>
    <x v="8"/>
  </r>
  <r>
    <s v="CUST0383"/>
    <s v="Todd Turner"/>
    <n v="25"/>
    <s v="Other"/>
    <s v="Monthly"/>
    <d v="2026-02-25T00:00:00"/>
    <d v="2026-04-12T00:00:00"/>
    <n v="16"/>
    <n v="7"/>
    <n v="0"/>
    <x v="16"/>
  </r>
  <r>
    <s v="CUST0384"/>
    <s v="Melanie Wallace"/>
    <n v="36"/>
    <s v="Male"/>
    <s v="Monthly"/>
    <d v="2024-01-15T00:00:00"/>
    <d v="2026-01-23T00:00:00"/>
    <n v="61"/>
    <n v="3"/>
    <n v="1"/>
    <x v="9"/>
  </r>
  <r>
    <s v="CUST0385"/>
    <s v="April White"/>
    <n v="45"/>
    <s v="Female"/>
    <s v="Quarterly"/>
    <d v="2024-06-18T00:00:00"/>
    <d v="2026-03-10T00:00:00"/>
    <n v="73"/>
    <n v="4"/>
    <n v="0"/>
    <x v="11"/>
  </r>
  <r>
    <s v="CUST0386"/>
    <s v="Jessica Thomas"/>
    <n v="24"/>
    <s v="Male"/>
    <s v="Monthly"/>
    <d v="2026-01-21T00:00:00"/>
    <d v="2026-05-02T00:00:00"/>
    <n v="10"/>
    <n v="8"/>
    <n v="0"/>
    <x v="29"/>
  </r>
  <r>
    <s v="CUST0387"/>
    <s v="Kevin Williams"/>
    <n v="54"/>
    <s v="Other"/>
    <s v="Monthly"/>
    <d v="2024-11-04T00:00:00"/>
    <d v="2026-03-25T00:00:00"/>
    <n v="52"/>
    <n v="7"/>
    <n v="0"/>
    <x v="24"/>
  </r>
  <r>
    <s v="CUST0388"/>
    <s v="Aaron Dunn"/>
    <n v="32"/>
    <s v="Male"/>
    <s v="Monthly"/>
    <d v="2023-11-01T00:00:00"/>
    <d v="2026-04-13T00:00:00"/>
    <n v="71"/>
    <n v="8"/>
    <n v="0"/>
    <x v="1"/>
  </r>
  <r>
    <s v="CUST0389"/>
    <s v="Katherine Smith"/>
    <n v="60"/>
    <s v="Other"/>
    <s v="Monthly"/>
    <d v="2023-12-05T00:00:00"/>
    <d v="2026-04-26T00:00:00"/>
    <n v="30"/>
    <n v="6"/>
    <n v="1"/>
    <x v="5"/>
  </r>
  <r>
    <s v="CUST0390"/>
    <s v="Tyler Huynh"/>
    <n v="48"/>
    <s v="Male"/>
    <s v="Quarterly"/>
    <d v="2024-06-07T00:00:00"/>
    <d v="2026-03-18T00:00:00"/>
    <n v="17"/>
    <n v="8"/>
    <n v="0"/>
    <x v="11"/>
  </r>
  <r>
    <s v="CUST0391"/>
    <s v="Jose Cook"/>
    <n v="54"/>
    <s v="Other"/>
    <s v="Yearly"/>
    <d v="2023-09-23T00:00:00"/>
    <d v="2026-02-26T00:00:00"/>
    <n v="77"/>
    <n v="4"/>
    <n v="1"/>
    <x v="7"/>
  </r>
  <r>
    <s v="CUST0392"/>
    <s v="Nicholas Paul"/>
    <n v="54"/>
    <s v="Other"/>
    <s v="Quarterly"/>
    <d v="2023-10-01T00:00:00"/>
    <d v="2026-03-26T00:00:00"/>
    <n v="62"/>
    <n v="5"/>
    <n v="0"/>
    <x v="8"/>
  </r>
  <r>
    <s v="CUST0393"/>
    <s v="Angela Ramirez"/>
    <n v="44"/>
    <s v="Female"/>
    <s v="Quarterly"/>
    <d v="2025-07-12T00:00:00"/>
    <d v="2026-04-05T00:00:00"/>
    <n v="32"/>
    <n v="6"/>
    <n v="0"/>
    <x v="12"/>
  </r>
  <r>
    <s v="CUST0394"/>
    <s v="Lauren Weiss"/>
    <n v="40"/>
    <s v="Male"/>
    <s v="Yearly"/>
    <d v="2025-10-07T00:00:00"/>
    <d v="2026-04-04T00:00:00"/>
    <n v="14"/>
    <n v="1"/>
    <n v="0"/>
    <x v="25"/>
  </r>
  <r>
    <s v="CUST0395"/>
    <s v="Mr. Timothy Martin Jr."/>
    <n v="42"/>
    <s v="Male"/>
    <s v="Monthly"/>
    <d v="2025-03-26T00:00:00"/>
    <d v="2026-05-08T00:00:00"/>
    <n v="1"/>
    <n v="7"/>
    <n v="0"/>
    <x v="18"/>
  </r>
  <r>
    <s v="CUST0396"/>
    <s v="Theresa Lambert"/>
    <n v="29"/>
    <s v="Male"/>
    <s v="Monthly"/>
    <d v="2024-04-30T00:00:00"/>
    <d v="2026-02-21T00:00:00"/>
    <n v="71"/>
    <n v="9"/>
    <n v="1"/>
    <x v="0"/>
  </r>
  <r>
    <s v="CUST0397"/>
    <s v="Alexis Reyes"/>
    <n v="49"/>
    <s v="Male"/>
    <s v="Monthly"/>
    <d v="2024-10-07T00:00:00"/>
    <d v="2026-03-30T00:00:00"/>
    <n v="31"/>
    <n v="4"/>
    <n v="1"/>
    <x v="26"/>
  </r>
  <r>
    <s v="CUST0398"/>
    <s v="Barbara Banks"/>
    <n v="47"/>
    <s v="Female"/>
    <s v="Monthly"/>
    <d v="2025-08-08T00:00:00"/>
    <d v="2026-04-06T00:00:00"/>
    <n v="42"/>
    <n v="8"/>
    <n v="0"/>
    <x v="20"/>
  </r>
  <r>
    <s v="CUST0399"/>
    <s v="James Archer"/>
    <n v="31"/>
    <s v="Male"/>
    <s v="Yearly"/>
    <d v="2024-12-03T00:00:00"/>
    <d v="2026-02-10T00:00:00"/>
    <n v="34"/>
    <n v="9"/>
    <n v="0"/>
    <x v="14"/>
  </r>
  <r>
    <s v="CUST0400"/>
    <s v="Andrew Thompson"/>
    <n v="22"/>
    <s v="Male"/>
    <s v="Quarterly"/>
    <d v="2024-10-28T00:00:00"/>
    <d v="2026-02-12T00:00:00"/>
    <n v="32"/>
    <n v="1"/>
    <n v="1"/>
    <x v="26"/>
  </r>
  <r>
    <s v="CUST0401"/>
    <s v="Trevor Robbins"/>
    <n v="54"/>
    <s v="Female"/>
    <s v="Quarterly"/>
    <d v="2024-06-29T00:00:00"/>
    <d v="2026-02-09T00:00:00"/>
    <n v="63"/>
    <n v="1"/>
    <n v="1"/>
    <x v="11"/>
  </r>
  <r>
    <s v="CUST0402"/>
    <s v="Kathleen Wade"/>
    <n v="25"/>
    <s v="Other"/>
    <s v="Monthly"/>
    <d v="2024-01-20T00:00:00"/>
    <d v="2026-03-18T00:00:00"/>
    <n v="76"/>
    <n v="1"/>
    <n v="1"/>
    <x v="9"/>
  </r>
  <r>
    <s v="CUST0403"/>
    <s v="Ebony Johnson"/>
    <n v="19"/>
    <s v="Male"/>
    <s v="Quarterly"/>
    <d v="2023-12-04T00:00:00"/>
    <d v="2026-03-12T00:00:00"/>
    <n v="71"/>
    <n v="6"/>
    <n v="0"/>
    <x v="5"/>
  </r>
  <r>
    <s v="CUST0404"/>
    <s v="Mr. Charles Kennedy"/>
    <n v="31"/>
    <s v="Female"/>
    <s v="Yearly"/>
    <d v="2025-01-11T00:00:00"/>
    <d v="2026-01-29T00:00:00"/>
    <n v="16"/>
    <n v="6"/>
    <n v="0"/>
    <x v="23"/>
  </r>
  <r>
    <s v="CUST0405"/>
    <s v="Lisa Hooper"/>
    <n v="52"/>
    <s v="Other"/>
    <s v="Quarterly"/>
    <d v="2026-01-16T00:00:00"/>
    <d v="2026-01-25T00:00:00"/>
    <n v="80"/>
    <n v="10"/>
    <n v="1"/>
    <x v="29"/>
  </r>
  <r>
    <s v="CUST0406"/>
    <s v="Tyler Davis"/>
    <n v="36"/>
    <s v="Other"/>
    <s v="Quarterly"/>
    <d v="2025-03-04T00:00:00"/>
    <d v="2026-03-12T00:00:00"/>
    <n v="56"/>
    <n v="2"/>
    <n v="0"/>
    <x v="18"/>
  </r>
  <r>
    <s v="CUST0407"/>
    <s v="Charles Schwartz"/>
    <n v="49"/>
    <s v="Male"/>
    <s v="Quarterly"/>
    <d v="2023-11-06T00:00:00"/>
    <d v="2026-02-05T00:00:00"/>
    <n v="59"/>
    <n v="1"/>
    <n v="1"/>
    <x v="1"/>
  </r>
  <r>
    <s v="CUST0408"/>
    <s v="Matthew West"/>
    <n v="35"/>
    <s v="Male"/>
    <s v="Yearly"/>
    <d v="2025-02-22T00:00:00"/>
    <d v="2026-04-07T00:00:00"/>
    <n v="18"/>
    <n v="4"/>
    <n v="0"/>
    <x v="19"/>
  </r>
  <r>
    <s v="CUST0409"/>
    <s v="Ryan Holt"/>
    <n v="52"/>
    <s v="Female"/>
    <s v="Monthly"/>
    <d v="2025-10-14T00:00:00"/>
    <d v="2026-01-21T00:00:00"/>
    <n v="30"/>
    <n v="3"/>
    <n v="1"/>
    <x v="25"/>
  </r>
  <r>
    <s v="CUST0410"/>
    <s v="Kathleen Jimenez"/>
    <n v="22"/>
    <s v="Male"/>
    <s v="Monthly"/>
    <d v="2025-01-28T00:00:00"/>
    <d v="2026-03-11T00:00:00"/>
    <n v="22"/>
    <n v="5"/>
    <n v="0"/>
    <x v="23"/>
  </r>
  <r>
    <s v="CUST0411"/>
    <s v="Mr. Jacob Norris"/>
    <n v="30"/>
    <s v="Male"/>
    <s v="Quarterly"/>
    <d v="2025-08-19T00:00:00"/>
    <d v="2026-03-05T00:00:00"/>
    <n v="29"/>
    <n v="6"/>
    <n v="0"/>
    <x v="20"/>
  </r>
  <r>
    <s v="CUST0412"/>
    <s v="Crystal Lewis"/>
    <n v="39"/>
    <s v="Other"/>
    <s v="Monthly"/>
    <d v="2024-10-28T00:00:00"/>
    <d v="2026-02-08T00:00:00"/>
    <n v="54"/>
    <n v="10"/>
    <n v="1"/>
    <x v="26"/>
  </r>
  <r>
    <s v="CUST0413"/>
    <s v="Diana Shepard"/>
    <n v="36"/>
    <s v="Female"/>
    <s v="Quarterly"/>
    <d v="2024-05-03T00:00:00"/>
    <d v="2026-02-14T00:00:00"/>
    <n v="71"/>
    <n v="6"/>
    <n v="0"/>
    <x v="6"/>
  </r>
  <r>
    <s v="CUST0414"/>
    <s v="Ashley Hall"/>
    <n v="37"/>
    <s v="Male"/>
    <s v="Quarterly"/>
    <d v="2025-06-13T00:00:00"/>
    <d v="2026-03-05T00:00:00"/>
    <n v="78"/>
    <n v="9"/>
    <n v="0"/>
    <x v="27"/>
  </r>
  <r>
    <s v="CUST0415"/>
    <s v="Justin Brown"/>
    <n v="18"/>
    <s v="Other"/>
    <s v="Quarterly"/>
    <d v="2024-01-19T00:00:00"/>
    <d v="2026-04-30T00:00:00"/>
    <n v="26"/>
    <n v="7"/>
    <n v="0"/>
    <x v="9"/>
  </r>
  <r>
    <s v="CUST0416"/>
    <s v="Angela Carpenter"/>
    <n v="29"/>
    <s v="Male"/>
    <s v="Monthly"/>
    <d v="2024-10-06T00:00:00"/>
    <d v="2026-02-21T00:00:00"/>
    <n v="9"/>
    <n v="2"/>
    <n v="1"/>
    <x v="26"/>
  </r>
  <r>
    <s v="CUST0417"/>
    <s v="Jeffrey Johnson"/>
    <n v="58"/>
    <s v="Male"/>
    <s v="Monthly"/>
    <d v="2025-04-01T00:00:00"/>
    <d v="2026-03-13T00:00:00"/>
    <n v="63"/>
    <n v="1"/>
    <n v="0"/>
    <x v="17"/>
  </r>
  <r>
    <s v="CUST0418"/>
    <s v="Joel Walker"/>
    <n v="48"/>
    <s v="Other"/>
    <s v="Monthly"/>
    <d v="2026-01-01T00:00:00"/>
    <d v="2026-05-08T00:00:00"/>
    <n v="55"/>
    <n v="5"/>
    <n v="0"/>
    <x v="29"/>
  </r>
  <r>
    <s v="CUST0419"/>
    <s v="Amber Braun"/>
    <n v="40"/>
    <s v="Other"/>
    <s v="Monthly"/>
    <d v="2024-02-04T00:00:00"/>
    <d v="2026-03-15T00:00:00"/>
    <n v="7"/>
    <n v="8"/>
    <n v="0"/>
    <x v="3"/>
  </r>
  <r>
    <s v="CUST0420"/>
    <s v="David Hernandez"/>
    <n v="39"/>
    <s v="Other"/>
    <s v="Monthly"/>
    <d v="2024-05-28T00:00:00"/>
    <d v="2026-02-01T00:00:00"/>
    <n v="68"/>
    <n v="6"/>
    <n v="0"/>
    <x v="6"/>
  </r>
  <r>
    <s v="CUST0421"/>
    <s v="Curtis Rocha"/>
    <n v="55"/>
    <s v="Female"/>
    <s v="Monthly"/>
    <d v="2025-04-14T00:00:00"/>
    <d v="2026-04-14T00:00:00"/>
    <n v="46"/>
    <n v="5"/>
    <n v="1"/>
    <x v="17"/>
  </r>
  <r>
    <s v="CUST0422"/>
    <s v="Michael Howell"/>
    <n v="26"/>
    <s v="Other"/>
    <s v="Monthly"/>
    <d v="2024-12-19T00:00:00"/>
    <d v="2026-02-02T00:00:00"/>
    <n v="49"/>
    <n v="9"/>
    <n v="1"/>
    <x v="14"/>
  </r>
  <r>
    <s v="CUST0423"/>
    <s v="Kara Robinson"/>
    <n v="42"/>
    <s v="Other"/>
    <s v="Quarterly"/>
    <d v="2024-12-13T00:00:00"/>
    <d v="2026-01-29T00:00:00"/>
    <n v="15"/>
    <n v="9"/>
    <n v="0"/>
    <x v="14"/>
  </r>
  <r>
    <s v="CUST0424"/>
    <s v="Justin Moore PhD"/>
    <n v="55"/>
    <s v="Other"/>
    <s v="Yearly"/>
    <d v="2024-04-27T00:00:00"/>
    <d v="2026-02-18T00:00:00"/>
    <n v="0"/>
    <n v="6"/>
    <n v="0"/>
    <x v="0"/>
  </r>
  <r>
    <s v="CUST0425"/>
    <s v="Lisa Smith"/>
    <n v="55"/>
    <s v="Male"/>
    <s v="Quarterly"/>
    <d v="2024-02-17T00:00:00"/>
    <d v="2026-01-09T00:00:00"/>
    <n v="10"/>
    <n v="10"/>
    <n v="0"/>
    <x v="3"/>
  </r>
  <r>
    <s v="CUST0426"/>
    <s v="Karen Haynes"/>
    <n v="58"/>
    <s v="Female"/>
    <s v="Yearly"/>
    <d v="2023-10-19T00:00:00"/>
    <d v="2026-03-03T00:00:00"/>
    <n v="32"/>
    <n v="3"/>
    <n v="0"/>
    <x v="8"/>
  </r>
  <r>
    <s v="CUST0427"/>
    <s v="Juan Sawyer"/>
    <n v="54"/>
    <s v="Other"/>
    <s v="Monthly"/>
    <d v="2024-12-19T00:00:00"/>
    <d v="2026-02-12T00:00:00"/>
    <n v="69"/>
    <n v="2"/>
    <n v="1"/>
    <x v="14"/>
  </r>
  <r>
    <s v="CUST0428"/>
    <s v="Dana Barrera"/>
    <n v="28"/>
    <s v="Female"/>
    <s v="Monthly"/>
    <d v="2024-07-11T00:00:00"/>
    <d v="2026-02-12T00:00:00"/>
    <n v="56"/>
    <n v="4"/>
    <n v="1"/>
    <x v="15"/>
  </r>
  <r>
    <s v="CUST0429"/>
    <s v="Dennis Mendez"/>
    <n v="18"/>
    <s v="Other"/>
    <s v="Quarterly"/>
    <d v="2025-11-05T00:00:00"/>
    <d v="2026-04-18T00:00:00"/>
    <n v="18"/>
    <n v="3"/>
    <n v="0"/>
    <x v="4"/>
  </r>
  <r>
    <s v="CUST0430"/>
    <s v="Donald Lucas"/>
    <n v="52"/>
    <s v="Other"/>
    <s v="Monthly"/>
    <d v="2024-09-18T00:00:00"/>
    <d v="2026-03-10T00:00:00"/>
    <n v="18"/>
    <n v="7"/>
    <n v="0"/>
    <x v="10"/>
  </r>
  <r>
    <s v="CUST0431"/>
    <s v="Russell Lee"/>
    <n v="54"/>
    <s v="Other"/>
    <s v="Monthly"/>
    <d v="2026-03-13T00:00:00"/>
    <d v="2026-03-02T00:00:00"/>
    <n v="69"/>
    <n v="5"/>
    <n v="1"/>
    <x v="22"/>
  </r>
  <r>
    <s v="CUST0432"/>
    <s v="Christine Smith"/>
    <n v="20"/>
    <s v="Female"/>
    <s v="Monthly"/>
    <d v="2026-02-11T00:00:00"/>
    <d v="2026-02-06T00:00:00"/>
    <n v="73"/>
    <n v="8"/>
    <n v="0"/>
    <x v="16"/>
  </r>
  <r>
    <s v="CUST0433"/>
    <s v="George Hill"/>
    <n v="45"/>
    <s v="Female"/>
    <s v="Monthly"/>
    <d v="2025-11-20T00:00:00"/>
    <d v="2026-04-04T00:00:00"/>
    <n v="39"/>
    <n v="6"/>
    <n v="0"/>
    <x v="4"/>
  </r>
  <r>
    <s v="CUST0434"/>
    <s v="Lindsey Lopez"/>
    <n v="34"/>
    <s v="Female"/>
    <s v="Monthly"/>
    <d v="2024-12-14T00:00:00"/>
    <d v="2026-03-25T00:00:00"/>
    <n v="40"/>
    <n v="8"/>
    <n v="1"/>
    <x v="14"/>
  </r>
  <r>
    <s v="CUST0435"/>
    <s v="Joanne Barker"/>
    <n v="51"/>
    <s v="Female"/>
    <s v="Yearly"/>
    <d v="2026-02-06T00:00:00"/>
    <d v="2026-04-07T00:00:00"/>
    <n v="41"/>
    <n v="7"/>
    <n v="0"/>
    <x v="16"/>
  </r>
  <r>
    <s v="CUST0436"/>
    <s v="Arthur Morgan"/>
    <n v="28"/>
    <s v="Female"/>
    <s v="Monthly"/>
    <d v="2024-04-06T00:00:00"/>
    <d v="2026-02-01T00:00:00"/>
    <n v="19"/>
    <n v="9"/>
    <n v="0"/>
    <x v="0"/>
  </r>
  <r>
    <s v="CUST0437"/>
    <s v="Christopher Reed"/>
    <n v="44"/>
    <s v="Female"/>
    <s v="Monthly"/>
    <d v="2025-12-03T00:00:00"/>
    <d v="2026-04-26T00:00:00"/>
    <n v="39"/>
    <n v="9"/>
    <n v="0"/>
    <x v="28"/>
  </r>
  <r>
    <s v="CUST0438"/>
    <s v="Meghan Miller"/>
    <n v="56"/>
    <s v="Male"/>
    <s v="Monthly"/>
    <d v="2025-05-29T00:00:00"/>
    <d v="2026-03-17T00:00:00"/>
    <n v="23"/>
    <n v="10"/>
    <n v="0"/>
    <x v="2"/>
  </r>
  <r>
    <s v="CUST0439"/>
    <s v="Elizabeth Petersen"/>
    <n v="60"/>
    <s v="Other"/>
    <s v="Quarterly"/>
    <d v="2024-04-26T00:00:00"/>
    <d v="2026-03-19T00:00:00"/>
    <n v="24"/>
    <n v="5"/>
    <n v="0"/>
    <x v="0"/>
  </r>
  <r>
    <s v="CUST0440"/>
    <s v="Megan Jimenez"/>
    <n v="43"/>
    <s v="Female"/>
    <s v="Yearly"/>
    <d v="2025-02-02T00:00:00"/>
    <d v="2026-05-03T00:00:00"/>
    <n v="17"/>
    <n v="2"/>
    <n v="1"/>
    <x v="19"/>
  </r>
  <r>
    <s v="CUST0441"/>
    <s v="Andrea Murphy"/>
    <n v="27"/>
    <s v="Male"/>
    <s v="Monthly"/>
    <d v="2025-05-20T00:00:00"/>
    <d v="2026-04-30T00:00:00"/>
    <n v="14"/>
    <n v="10"/>
    <n v="1"/>
    <x v="2"/>
  </r>
  <r>
    <s v="CUST0442"/>
    <s v="Donna Lewis"/>
    <n v="53"/>
    <s v="Other"/>
    <s v="Monthly"/>
    <d v="2024-07-22T00:00:00"/>
    <d v="2026-04-19T00:00:00"/>
    <n v="41"/>
    <n v="3"/>
    <n v="0"/>
    <x v="15"/>
  </r>
  <r>
    <s v="CUST0443"/>
    <s v="John Carlson"/>
    <n v="53"/>
    <s v="Other"/>
    <s v="Quarterly"/>
    <d v="2026-02-05T00:00:00"/>
    <d v="2026-02-12T00:00:00"/>
    <n v="13"/>
    <n v="8"/>
    <n v="1"/>
    <x v="16"/>
  </r>
  <r>
    <s v="CUST0444"/>
    <s v="Brittany Foley"/>
    <n v="42"/>
    <s v="Other"/>
    <s v="Quarterly"/>
    <d v="2025-11-26T00:00:00"/>
    <d v="2026-03-13T00:00:00"/>
    <n v="34"/>
    <n v="10"/>
    <n v="0"/>
    <x v="4"/>
  </r>
  <r>
    <s v="CUST0445"/>
    <s v="Patricia Miller"/>
    <n v="52"/>
    <s v="Male"/>
    <s v="Monthly"/>
    <d v="2025-04-29T00:00:00"/>
    <d v="2026-05-08T00:00:00"/>
    <n v="38"/>
    <n v="10"/>
    <n v="0"/>
    <x v="17"/>
  </r>
  <r>
    <s v="CUST0446"/>
    <s v="Kevin Velez"/>
    <n v="46"/>
    <s v="Other"/>
    <s v="Quarterly"/>
    <d v="2025-06-14T00:00:00"/>
    <d v="2026-01-13T00:00:00"/>
    <n v="5"/>
    <n v="5"/>
    <n v="0"/>
    <x v="27"/>
  </r>
  <r>
    <s v="CUST0447"/>
    <s v="David Guzman"/>
    <n v="50"/>
    <s v="Male"/>
    <s v="Quarterly"/>
    <d v="2026-01-28T00:00:00"/>
    <d v="2026-03-09T00:00:00"/>
    <n v="18"/>
    <n v="1"/>
    <n v="0"/>
    <x v="29"/>
  </r>
  <r>
    <s v="CUST0448"/>
    <s v="Christine Bishop"/>
    <n v="53"/>
    <s v="Other"/>
    <s v="Monthly"/>
    <d v="2026-01-17T00:00:00"/>
    <d v="2026-03-02T00:00:00"/>
    <n v="27"/>
    <n v="5"/>
    <n v="0"/>
    <x v="29"/>
  </r>
  <r>
    <s v="CUST0449"/>
    <s v="Pamela Ryan"/>
    <n v="21"/>
    <s v="Female"/>
    <s v="Monthly"/>
    <d v="2024-07-21T00:00:00"/>
    <d v="2026-02-18T00:00:00"/>
    <n v="43"/>
    <n v="6"/>
    <n v="0"/>
    <x v="15"/>
  </r>
  <r>
    <s v="CUST0450"/>
    <s v="Heather Hernandez"/>
    <n v="42"/>
    <s v="Female"/>
    <s v="Monthly"/>
    <d v="2025-12-12T00:00:00"/>
    <d v="2026-03-29T00:00:00"/>
    <n v="3"/>
    <n v="4"/>
    <n v="1"/>
    <x v="28"/>
  </r>
  <r>
    <s v="CUST0451"/>
    <s v="Joshua Wu"/>
    <n v="23"/>
    <s v="Female"/>
    <s v="Yearly"/>
    <d v="2025-03-17T00:00:00"/>
    <d v="2026-01-28T00:00:00"/>
    <n v="3"/>
    <n v="9"/>
    <n v="1"/>
    <x v="18"/>
  </r>
  <r>
    <s v="CUST0452"/>
    <s v="Michael Frank"/>
    <n v="55"/>
    <s v="Other"/>
    <s v="Yearly"/>
    <d v="2024-08-10T00:00:00"/>
    <d v="2026-04-06T00:00:00"/>
    <n v="46"/>
    <n v="1"/>
    <n v="0"/>
    <x v="21"/>
  </r>
  <r>
    <s v="CUST0453"/>
    <s v="Savannah Rogers"/>
    <n v="50"/>
    <s v="Male"/>
    <s v="Quarterly"/>
    <d v="2024-05-03T00:00:00"/>
    <d v="2026-04-01T00:00:00"/>
    <n v="33"/>
    <n v="1"/>
    <n v="0"/>
    <x v="6"/>
  </r>
  <r>
    <s v="CUST0454"/>
    <s v="Charles Cooper"/>
    <n v="48"/>
    <s v="Female"/>
    <s v="Monthly"/>
    <d v="2026-02-07T00:00:00"/>
    <d v="2026-03-08T00:00:00"/>
    <n v="76"/>
    <n v="3"/>
    <n v="0"/>
    <x v="16"/>
  </r>
  <r>
    <s v="CUST0455"/>
    <s v="Sharon Coleman"/>
    <n v="35"/>
    <s v="Other"/>
    <s v="Yearly"/>
    <d v="2026-02-25T00:00:00"/>
    <d v="2026-01-30T00:00:00"/>
    <n v="44"/>
    <n v="8"/>
    <n v="1"/>
    <x v="16"/>
  </r>
  <r>
    <s v="CUST0456"/>
    <s v="Jenny Fuentes"/>
    <n v="35"/>
    <s v="Other"/>
    <s v="Monthly"/>
    <d v="2023-08-24T00:00:00"/>
    <d v="2026-02-11T00:00:00"/>
    <n v="35"/>
    <n v="5"/>
    <n v="1"/>
    <x v="32"/>
  </r>
  <r>
    <s v="CUST0457"/>
    <s v="Barry Fleming"/>
    <n v="54"/>
    <s v="Male"/>
    <s v="Quarterly"/>
    <d v="2024-11-20T00:00:00"/>
    <d v="2026-04-24T00:00:00"/>
    <n v="1"/>
    <n v="9"/>
    <n v="1"/>
    <x v="24"/>
  </r>
  <r>
    <s v="CUST0458"/>
    <s v="Lindsey Hicks"/>
    <n v="54"/>
    <s v="Other"/>
    <s v="Monthly"/>
    <d v="2025-07-01T00:00:00"/>
    <d v="2026-04-16T00:00:00"/>
    <n v="51"/>
    <n v="1"/>
    <n v="0"/>
    <x v="12"/>
  </r>
  <r>
    <s v="CUST0459"/>
    <s v="Lynn Gentry"/>
    <n v="44"/>
    <s v="Other"/>
    <s v="Quarterly"/>
    <d v="2024-12-25T00:00:00"/>
    <d v="2026-02-17T00:00:00"/>
    <n v="3"/>
    <n v="2"/>
    <n v="1"/>
    <x v="14"/>
  </r>
  <r>
    <s v="CUST0460"/>
    <s v="Michael Matthews"/>
    <n v="40"/>
    <s v="Other"/>
    <s v="Monthly"/>
    <d v="2026-03-09T00:00:00"/>
    <d v="2026-05-05T00:00:00"/>
    <n v="19"/>
    <n v="5"/>
    <n v="0"/>
    <x v="22"/>
  </r>
  <r>
    <s v="CUST0461"/>
    <s v="Catherine Torres"/>
    <n v="22"/>
    <s v="Female"/>
    <s v="Monthly"/>
    <d v="2025-02-14T00:00:00"/>
    <d v="2026-01-16T00:00:00"/>
    <n v="65"/>
    <n v="6"/>
    <n v="0"/>
    <x v="19"/>
  </r>
  <r>
    <s v="CUST0462"/>
    <s v="Janice Gardner"/>
    <n v="18"/>
    <s v="Male"/>
    <s v="Monthly"/>
    <d v="2025-04-23T00:00:00"/>
    <d v="2026-04-09T00:00:00"/>
    <n v="79"/>
    <n v="7"/>
    <n v="1"/>
    <x v="17"/>
  </r>
  <r>
    <s v="CUST0463"/>
    <s v="Samuel Barnes"/>
    <n v="31"/>
    <s v="Female"/>
    <s v="Monthly"/>
    <d v="2025-10-30T00:00:00"/>
    <d v="2026-01-12T00:00:00"/>
    <n v="42"/>
    <n v="5"/>
    <n v="0"/>
    <x v="25"/>
  </r>
  <r>
    <s v="CUST0464"/>
    <s v="Jody Jones"/>
    <n v="51"/>
    <s v="Other"/>
    <s v="Quarterly"/>
    <d v="2024-10-16T00:00:00"/>
    <d v="2026-02-18T00:00:00"/>
    <n v="68"/>
    <n v="2"/>
    <n v="1"/>
    <x v="26"/>
  </r>
  <r>
    <s v="CUST0465"/>
    <s v="Marie Williams"/>
    <n v="40"/>
    <s v="Male"/>
    <s v="Yearly"/>
    <d v="2024-01-24T00:00:00"/>
    <d v="2026-04-12T00:00:00"/>
    <n v="4"/>
    <n v="3"/>
    <n v="0"/>
    <x v="9"/>
  </r>
  <r>
    <s v="CUST0466"/>
    <s v="Kayla Gregory"/>
    <n v="53"/>
    <s v="Other"/>
    <s v="Monthly"/>
    <d v="2026-01-16T00:00:00"/>
    <d v="2026-03-06T00:00:00"/>
    <n v="51"/>
    <n v="7"/>
    <n v="1"/>
    <x v="29"/>
  </r>
  <r>
    <s v="CUST0467"/>
    <s v="Kelly Snyder"/>
    <n v="34"/>
    <s v="Female"/>
    <s v="Quarterly"/>
    <d v="2025-06-12T00:00:00"/>
    <d v="2026-03-15T00:00:00"/>
    <n v="61"/>
    <n v="4"/>
    <n v="0"/>
    <x v="27"/>
  </r>
  <r>
    <s v="CUST0468"/>
    <s v="Amanda Patrick"/>
    <n v="22"/>
    <s v="Male"/>
    <s v="Quarterly"/>
    <d v="2023-11-17T00:00:00"/>
    <d v="2026-02-18T00:00:00"/>
    <n v="39"/>
    <n v="6"/>
    <n v="0"/>
    <x v="1"/>
  </r>
  <r>
    <s v="CUST0469"/>
    <s v="Ryan Adams"/>
    <n v="43"/>
    <s v="Other"/>
    <s v="Quarterly"/>
    <d v="2024-09-23T00:00:00"/>
    <d v="2026-02-19T00:00:00"/>
    <n v="38"/>
    <n v="10"/>
    <n v="0"/>
    <x v="10"/>
  </r>
  <r>
    <s v="CUST0470"/>
    <s v="William Mitchell"/>
    <n v="49"/>
    <s v="Male"/>
    <s v="Monthly"/>
    <d v="2023-08-27T00:00:00"/>
    <d v="2026-03-28T00:00:00"/>
    <n v="73"/>
    <n v="4"/>
    <n v="0"/>
    <x v="32"/>
  </r>
  <r>
    <s v="CUST0471"/>
    <s v="Sergio Davenport"/>
    <n v="38"/>
    <s v="Female"/>
    <s v="Yearly"/>
    <d v="2023-10-18T00:00:00"/>
    <d v="2026-02-05T00:00:00"/>
    <n v="67"/>
    <n v="10"/>
    <n v="1"/>
    <x v="8"/>
  </r>
  <r>
    <s v="CUST0472"/>
    <s v="Shane Frederick"/>
    <n v="20"/>
    <s v="Other"/>
    <s v="Monthly"/>
    <d v="2025-09-26T00:00:00"/>
    <d v="2026-02-16T00:00:00"/>
    <n v="7"/>
    <n v="1"/>
    <n v="1"/>
    <x v="13"/>
  </r>
  <r>
    <s v="CUST0473"/>
    <s v="James Gonzales"/>
    <n v="20"/>
    <s v="Other"/>
    <s v="Monthly"/>
    <d v="2024-06-18T00:00:00"/>
    <d v="2026-04-30T00:00:00"/>
    <n v="62"/>
    <n v="5"/>
    <n v="0"/>
    <x v="11"/>
  </r>
  <r>
    <s v="CUST0474"/>
    <s v="Jonathan Riley"/>
    <n v="30"/>
    <s v="Male"/>
    <s v="Monthly"/>
    <d v="2024-08-15T00:00:00"/>
    <d v="2026-04-15T00:00:00"/>
    <n v="50"/>
    <n v="3"/>
    <n v="1"/>
    <x v="21"/>
  </r>
  <r>
    <s v="CUST0475"/>
    <s v="Barbara Jones"/>
    <n v="41"/>
    <s v="Other"/>
    <s v="Monthly"/>
    <d v="2025-02-14T00:00:00"/>
    <d v="2026-02-14T00:00:00"/>
    <n v="42"/>
    <n v="8"/>
    <n v="1"/>
    <x v="19"/>
  </r>
  <r>
    <s v="CUST0476"/>
    <s v="John Irwin"/>
    <n v="59"/>
    <s v="Female"/>
    <s v="Quarterly"/>
    <d v="2024-05-06T00:00:00"/>
    <d v="2026-04-13T00:00:00"/>
    <n v="12"/>
    <n v="3"/>
    <n v="1"/>
    <x v="6"/>
  </r>
  <r>
    <s v="CUST0477"/>
    <s v="Eric Jackson"/>
    <n v="29"/>
    <s v="Female"/>
    <s v="Monthly"/>
    <d v="2024-02-16T00:00:00"/>
    <d v="2026-01-20T00:00:00"/>
    <n v="1"/>
    <n v="5"/>
    <n v="0"/>
    <x v="3"/>
  </r>
  <r>
    <s v="CUST0478"/>
    <s v="Amanda Mckay"/>
    <n v="34"/>
    <s v="Male"/>
    <s v="Monthly"/>
    <d v="2023-08-22T00:00:00"/>
    <d v="2026-03-03T00:00:00"/>
    <n v="30"/>
    <n v="7"/>
    <n v="1"/>
    <x v="32"/>
  </r>
  <r>
    <s v="CUST0479"/>
    <s v="James Khan"/>
    <n v="35"/>
    <s v="Other"/>
    <s v="Monthly"/>
    <d v="2023-12-23T00:00:00"/>
    <d v="2026-04-20T00:00:00"/>
    <n v="17"/>
    <n v="9"/>
    <n v="0"/>
    <x v="5"/>
  </r>
  <r>
    <s v="CUST0480"/>
    <s v="Andrew Watson"/>
    <n v="36"/>
    <s v="Male"/>
    <s v="Monthly"/>
    <d v="2024-01-16T00:00:00"/>
    <d v="2026-02-28T00:00:00"/>
    <n v="35"/>
    <n v="9"/>
    <n v="0"/>
    <x v="9"/>
  </r>
  <r>
    <s v="CUST0481"/>
    <s v="Erica Jackson"/>
    <n v="28"/>
    <s v="Female"/>
    <s v="Monthly"/>
    <d v="2024-12-30T00:00:00"/>
    <d v="2026-01-26T00:00:00"/>
    <n v="35"/>
    <n v="7"/>
    <n v="0"/>
    <x v="14"/>
  </r>
  <r>
    <s v="CUST0482"/>
    <s v="Mark Pham"/>
    <n v="39"/>
    <s v="Other"/>
    <s v="Yearly"/>
    <d v="2025-12-02T00:00:00"/>
    <d v="2026-03-03T00:00:00"/>
    <n v="65"/>
    <n v="10"/>
    <n v="1"/>
    <x v="28"/>
  </r>
  <r>
    <s v="CUST0483"/>
    <s v="Rachel Price"/>
    <n v="24"/>
    <s v="Female"/>
    <s v="Monthly"/>
    <d v="2025-04-20T00:00:00"/>
    <d v="2026-04-19T00:00:00"/>
    <n v="6"/>
    <n v="10"/>
    <n v="1"/>
    <x v="17"/>
  </r>
  <r>
    <s v="CUST0484"/>
    <s v="Rebecca Bowen"/>
    <n v="47"/>
    <s v="Female"/>
    <s v="Monthly"/>
    <d v="2024-06-24T00:00:00"/>
    <d v="2026-04-05T00:00:00"/>
    <n v="0"/>
    <n v="6"/>
    <n v="0"/>
    <x v="11"/>
  </r>
  <r>
    <s v="CUST0485"/>
    <s v="Jared Malone"/>
    <n v="47"/>
    <s v="Female"/>
    <s v="Monthly"/>
    <d v="2025-08-28T00:00:00"/>
    <d v="2026-01-19T00:00:00"/>
    <n v="27"/>
    <n v="7"/>
    <n v="0"/>
    <x v="20"/>
  </r>
  <r>
    <s v="CUST0486"/>
    <s v="Jennifer Rios"/>
    <n v="44"/>
    <s v="Other"/>
    <s v="Monthly"/>
    <d v="2024-01-15T00:00:00"/>
    <d v="2026-02-10T00:00:00"/>
    <n v="25"/>
    <n v="2"/>
    <n v="0"/>
    <x v="9"/>
  </r>
  <r>
    <s v="CUST0487"/>
    <s v="Brittany Skinner"/>
    <n v="28"/>
    <s v="Male"/>
    <s v="Yearly"/>
    <d v="2025-11-24T00:00:00"/>
    <d v="2026-03-22T00:00:00"/>
    <n v="75"/>
    <n v="9"/>
    <n v="0"/>
    <x v="4"/>
  </r>
  <r>
    <s v="CUST0488"/>
    <s v="John Thompson"/>
    <n v="25"/>
    <s v="Other"/>
    <s v="Monthly"/>
    <d v="2024-01-22T00:00:00"/>
    <d v="2026-03-28T00:00:00"/>
    <n v="62"/>
    <n v="7"/>
    <n v="1"/>
    <x v="9"/>
  </r>
  <r>
    <s v="CUST0489"/>
    <s v="Aaron Smith"/>
    <n v="54"/>
    <s v="Other"/>
    <s v="Monthly"/>
    <d v="2024-04-05T00:00:00"/>
    <d v="2026-04-24T00:00:00"/>
    <n v="17"/>
    <n v="7"/>
    <n v="1"/>
    <x v="0"/>
  </r>
  <r>
    <s v="CUST0490"/>
    <s v="Dr. Robert Hebert"/>
    <n v="45"/>
    <s v="Female"/>
    <s v="Quarterly"/>
    <d v="2025-04-17T00:00:00"/>
    <d v="2026-03-20T00:00:00"/>
    <n v="7"/>
    <n v="3"/>
    <n v="0"/>
    <x v="17"/>
  </r>
  <r>
    <s v="CUST0491"/>
    <s v="Lisa Coleman"/>
    <n v="29"/>
    <s v="Female"/>
    <s v="Monthly"/>
    <d v="2024-08-09T00:00:00"/>
    <d v="2026-02-14T00:00:00"/>
    <n v="11"/>
    <n v="5"/>
    <n v="0"/>
    <x v="21"/>
  </r>
  <r>
    <s v="CUST0492"/>
    <s v="Taylor Parker"/>
    <n v="41"/>
    <s v="Male"/>
    <s v="Monthly"/>
    <d v="2026-03-29T00:00:00"/>
    <d v="2026-02-27T00:00:00"/>
    <n v="65"/>
    <n v="7"/>
    <n v="0"/>
    <x v="22"/>
  </r>
  <r>
    <s v="CUST0493"/>
    <s v="Kenneth Hanna"/>
    <n v="46"/>
    <s v="Female"/>
    <s v="Quarterly"/>
    <d v="2023-10-30T00:00:00"/>
    <d v="2026-02-15T00:00:00"/>
    <n v="7"/>
    <n v="8"/>
    <n v="0"/>
    <x v="8"/>
  </r>
  <r>
    <s v="CUST0494"/>
    <s v="William Bailey"/>
    <n v="36"/>
    <s v="Male"/>
    <s v="Quarterly"/>
    <d v="2023-12-21T00:00:00"/>
    <d v="2026-03-01T00:00:00"/>
    <n v="9"/>
    <n v="1"/>
    <n v="0"/>
    <x v="5"/>
  </r>
  <r>
    <s v="CUST0495"/>
    <s v="Kendra Rodriguez"/>
    <n v="39"/>
    <s v="Male"/>
    <s v="Monthly"/>
    <d v="2024-06-05T00:00:00"/>
    <d v="2026-01-17T00:00:00"/>
    <n v="20"/>
    <n v="5"/>
    <n v="1"/>
    <x v="11"/>
  </r>
  <r>
    <s v="CUST0496"/>
    <s v="Sara Strong"/>
    <n v="59"/>
    <s v="Other"/>
    <s v="Yearly"/>
    <d v="2025-02-26T00:00:00"/>
    <d v="2026-01-28T00:00:00"/>
    <n v="50"/>
    <n v="7"/>
    <n v="1"/>
    <x v="19"/>
  </r>
  <r>
    <s v="CUST0497"/>
    <s v="Gina Thomas"/>
    <n v="34"/>
    <s v="Male"/>
    <s v="Quarterly"/>
    <d v="2023-11-24T00:00:00"/>
    <d v="2026-03-29T00:00:00"/>
    <n v="32"/>
    <n v="7"/>
    <n v="0"/>
    <x v="1"/>
  </r>
  <r>
    <s v="CUST0498"/>
    <s v="Jessica Moody"/>
    <n v="56"/>
    <s v="Female"/>
    <s v="Quarterly"/>
    <d v="2024-12-17T00:00:00"/>
    <d v="2026-01-21T00:00:00"/>
    <n v="5"/>
    <n v="4"/>
    <n v="0"/>
    <x v="14"/>
  </r>
  <r>
    <s v="CUST0499"/>
    <s v="David Sutton"/>
    <n v="22"/>
    <s v="Other"/>
    <s v="Monthly"/>
    <d v="2024-08-17T00:00:00"/>
    <d v="2026-04-30T00:00:00"/>
    <n v="25"/>
    <n v="10"/>
    <n v="0"/>
    <x v="21"/>
  </r>
  <r>
    <s v="CUST0500"/>
    <s v="Diane English"/>
    <n v="30"/>
    <s v="Other"/>
    <s v="Monthly"/>
    <d v="2023-11-30T00:00:00"/>
    <d v="2026-03-21T00:00:00"/>
    <n v="31"/>
    <n v="9"/>
    <n v="0"/>
    <x v="1"/>
  </r>
  <r>
    <s v="CUST0501"/>
    <s v="Sarah Ellis"/>
    <n v="28"/>
    <s v="Female"/>
    <s v="Quarterly"/>
    <d v="2023-09-13T00:00:00"/>
    <d v="2026-04-19T00:00:00"/>
    <n v="45"/>
    <n v="4"/>
    <n v="1"/>
    <x v="7"/>
  </r>
  <r>
    <s v="CUST0502"/>
    <s v="Sara Gibson"/>
    <n v="38"/>
    <s v="Other"/>
    <s v="Yearly"/>
    <d v="2026-03-28T00:00:00"/>
    <d v="2026-02-14T00:00:00"/>
    <n v="13"/>
    <n v="1"/>
    <n v="0"/>
    <x v="22"/>
  </r>
  <r>
    <s v="CUST0503"/>
    <s v="Alicia Evans"/>
    <n v="34"/>
    <s v="Female"/>
    <s v="Yearly"/>
    <d v="2025-07-08T00:00:00"/>
    <d v="2026-01-12T00:00:00"/>
    <n v="53"/>
    <n v="7"/>
    <n v="1"/>
    <x v="12"/>
  </r>
  <r>
    <s v="CUST0504"/>
    <s v="William Porter"/>
    <n v="33"/>
    <s v="Male"/>
    <s v="Yearly"/>
    <d v="2023-12-30T00:00:00"/>
    <d v="2026-02-18T00:00:00"/>
    <n v="28"/>
    <n v="5"/>
    <n v="1"/>
    <x v="5"/>
  </r>
  <r>
    <s v="CUST0505"/>
    <s v="Mark Gibson"/>
    <n v="29"/>
    <s v="Other"/>
    <s v="Monthly"/>
    <d v="2024-05-03T00:00:00"/>
    <d v="2026-05-05T00:00:00"/>
    <n v="23"/>
    <n v="2"/>
    <n v="1"/>
    <x v="6"/>
  </r>
  <r>
    <s v="CUST0506"/>
    <s v="Patricia Johnson"/>
    <n v="29"/>
    <s v="Male"/>
    <s v="Monthly"/>
    <d v="2025-07-17T00:00:00"/>
    <d v="2026-01-10T00:00:00"/>
    <n v="32"/>
    <n v="5"/>
    <n v="0"/>
    <x v="12"/>
  </r>
  <r>
    <s v="CUST0507"/>
    <s v="Bobby Franklin"/>
    <n v="45"/>
    <s v="Male"/>
    <s v="Monthly"/>
    <d v="2024-11-22T00:00:00"/>
    <d v="2026-02-14T00:00:00"/>
    <n v="42"/>
    <n v="2"/>
    <n v="1"/>
    <x v="24"/>
  </r>
  <r>
    <s v="CUST0508"/>
    <s v="Wyatt Lopez"/>
    <n v="26"/>
    <s v="Other"/>
    <s v="Yearly"/>
    <d v="2025-06-06T00:00:00"/>
    <d v="2026-04-23T00:00:00"/>
    <n v="6"/>
    <n v="10"/>
    <n v="0"/>
    <x v="27"/>
  </r>
  <r>
    <s v="CUST0509"/>
    <s v="Noah Castro DVM"/>
    <n v="56"/>
    <s v="Other"/>
    <s v="Yearly"/>
    <d v="2025-12-02T00:00:00"/>
    <d v="2026-03-15T00:00:00"/>
    <n v="75"/>
    <n v="1"/>
    <n v="0"/>
    <x v="28"/>
  </r>
  <r>
    <s v="CUST0510"/>
    <s v="Logan Duke"/>
    <n v="26"/>
    <s v="Male"/>
    <s v="Yearly"/>
    <d v="2025-07-31T00:00:00"/>
    <d v="2026-02-09T00:00:00"/>
    <n v="29"/>
    <n v="9"/>
    <n v="0"/>
    <x v="12"/>
  </r>
  <r>
    <s v="CUST0511"/>
    <s v="Marilyn Mann"/>
    <n v="45"/>
    <s v="Other"/>
    <s v="Monthly"/>
    <d v="2023-10-02T00:00:00"/>
    <d v="2026-05-05T00:00:00"/>
    <n v="78"/>
    <n v="10"/>
    <n v="0"/>
    <x v="8"/>
  </r>
  <r>
    <s v="CUST0512"/>
    <s v="Stephanie Clark"/>
    <n v="25"/>
    <s v="Female"/>
    <s v="Monthly"/>
    <d v="2025-06-05T00:00:00"/>
    <d v="2026-04-21T00:00:00"/>
    <n v="13"/>
    <n v="10"/>
    <n v="0"/>
    <x v="27"/>
  </r>
  <r>
    <s v="CUST0513"/>
    <s v="Alicia Wilson"/>
    <n v="56"/>
    <s v="Female"/>
    <s v="Quarterly"/>
    <d v="2025-01-04T00:00:00"/>
    <d v="2026-03-09T00:00:00"/>
    <n v="41"/>
    <n v="3"/>
    <n v="1"/>
    <x v="23"/>
  </r>
  <r>
    <s v="CUST0514"/>
    <s v="Aaron Jackson"/>
    <n v="35"/>
    <s v="Other"/>
    <s v="Yearly"/>
    <d v="2024-09-29T00:00:00"/>
    <d v="2026-02-12T00:00:00"/>
    <n v="62"/>
    <n v="8"/>
    <n v="0"/>
    <x v="10"/>
  </r>
  <r>
    <s v="CUST0515"/>
    <s v="Jamie Perez"/>
    <n v="51"/>
    <s v="Male"/>
    <s v="Monthly"/>
    <d v="2024-02-10T00:00:00"/>
    <d v="2026-03-13T00:00:00"/>
    <n v="58"/>
    <n v="6"/>
    <n v="0"/>
    <x v="3"/>
  </r>
  <r>
    <s v="CUST0516"/>
    <s v="Chris Reyes"/>
    <n v="38"/>
    <s v="Male"/>
    <s v="Monthly"/>
    <d v="2024-06-05T00:00:00"/>
    <d v="2026-03-27T00:00:00"/>
    <n v="68"/>
    <n v="1"/>
    <n v="0"/>
    <x v="11"/>
  </r>
  <r>
    <s v="CUST0517"/>
    <s v="Stephanie Wallace"/>
    <n v="46"/>
    <s v="Other"/>
    <s v="Quarterly"/>
    <d v="2026-02-01T00:00:00"/>
    <d v="2026-03-25T00:00:00"/>
    <n v="39"/>
    <n v="1"/>
    <n v="1"/>
    <x v="16"/>
  </r>
  <r>
    <s v="CUST0518"/>
    <s v="Emily Estrada"/>
    <n v="35"/>
    <s v="Other"/>
    <s v="Quarterly"/>
    <d v="2024-09-16T00:00:00"/>
    <d v="2026-01-10T00:00:00"/>
    <n v="33"/>
    <n v="8"/>
    <n v="0"/>
    <x v="10"/>
  </r>
  <r>
    <s v="CUST0519"/>
    <s v="John Rivera"/>
    <n v="35"/>
    <s v="Female"/>
    <s v="Monthly"/>
    <d v="2023-10-27T00:00:00"/>
    <d v="2026-03-15T00:00:00"/>
    <n v="41"/>
    <n v="10"/>
    <n v="0"/>
    <x v="8"/>
  </r>
  <r>
    <s v="CUST0520"/>
    <s v="Travis Hooper"/>
    <n v="60"/>
    <s v="Female"/>
    <s v="Quarterly"/>
    <d v="2025-03-15T00:00:00"/>
    <d v="2026-05-08T00:00:00"/>
    <n v="78"/>
    <n v="5"/>
    <n v="0"/>
    <x v="18"/>
  </r>
  <r>
    <s v="CUST0521"/>
    <s v="Thomas Rosario"/>
    <n v="34"/>
    <s v="Male"/>
    <s v="Monthly"/>
    <d v="2025-11-28T00:00:00"/>
    <d v="2026-04-29T00:00:00"/>
    <n v="39"/>
    <n v="6"/>
    <n v="1"/>
    <x v="4"/>
  </r>
  <r>
    <s v="CUST0522"/>
    <s v="Jacob Graves"/>
    <n v="21"/>
    <s v="Other"/>
    <s v="Monthly"/>
    <d v="2024-07-10T00:00:00"/>
    <d v="2026-05-04T00:00:00"/>
    <n v="70"/>
    <n v="9"/>
    <n v="0"/>
    <x v="15"/>
  </r>
  <r>
    <s v="CUST0523"/>
    <s v="Travis Beck MD"/>
    <n v="34"/>
    <s v="Other"/>
    <s v="Monthly"/>
    <d v="2025-10-27T00:00:00"/>
    <d v="2026-04-19T00:00:00"/>
    <n v="39"/>
    <n v="8"/>
    <n v="0"/>
    <x v="25"/>
  </r>
  <r>
    <s v="CUST0524"/>
    <s v="Johnny Myers"/>
    <n v="38"/>
    <s v="Female"/>
    <s v="Quarterly"/>
    <d v="2025-11-30T00:00:00"/>
    <d v="2026-01-29T00:00:00"/>
    <n v="39"/>
    <n v="9"/>
    <n v="0"/>
    <x v="4"/>
  </r>
  <r>
    <s v="CUST0525"/>
    <s v="Gregory Turner"/>
    <n v="41"/>
    <s v="Female"/>
    <s v="Yearly"/>
    <d v="2026-03-19T00:00:00"/>
    <d v="2026-01-12T00:00:00"/>
    <n v="24"/>
    <n v="3"/>
    <n v="1"/>
    <x v="22"/>
  </r>
  <r>
    <s v="CUST0526"/>
    <s v="Karen Hunt"/>
    <n v="22"/>
    <s v="Other"/>
    <s v="Quarterly"/>
    <d v="2024-09-19T00:00:00"/>
    <d v="2026-03-27T00:00:00"/>
    <n v="58"/>
    <n v="1"/>
    <n v="1"/>
    <x v="10"/>
  </r>
  <r>
    <s v="CUST0527"/>
    <s v="Margaret Clark"/>
    <n v="37"/>
    <s v="Other"/>
    <s v="Yearly"/>
    <d v="2024-03-16T00:00:00"/>
    <d v="2026-04-30T00:00:00"/>
    <n v="77"/>
    <n v="8"/>
    <n v="0"/>
    <x v="30"/>
  </r>
  <r>
    <s v="CUST0528"/>
    <s v="James James"/>
    <n v="33"/>
    <s v="Male"/>
    <s v="Quarterly"/>
    <d v="2026-02-08T00:00:00"/>
    <d v="2026-01-22T00:00:00"/>
    <n v="76"/>
    <n v="2"/>
    <n v="0"/>
    <x v="16"/>
  </r>
  <r>
    <s v="CUST0529"/>
    <s v="Alexis Alvarez"/>
    <n v="52"/>
    <s v="Other"/>
    <s v="Quarterly"/>
    <d v="2025-07-20T00:00:00"/>
    <d v="2026-05-03T00:00:00"/>
    <n v="78"/>
    <n v="8"/>
    <n v="0"/>
    <x v="12"/>
  </r>
  <r>
    <s v="CUST0530"/>
    <s v="Jeremiah Hall"/>
    <n v="57"/>
    <s v="Male"/>
    <s v="Quarterly"/>
    <d v="2024-10-24T00:00:00"/>
    <d v="2026-04-28T00:00:00"/>
    <n v="73"/>
    <n v="3"/>
    <n v="0"/>
    <x v="26"/>
  </r>
  <r>
    <s v="CUST0531"/>
    <s v="Ronald Kennedy"/>
    <n v="41"/>
    <s v="Female"/>
    <s v="Monthly"/>
    <d v="2025-07-30T00:00:00"/>
    <d v="2026-01-21T00:00:00"/>
    <n v="58"/>
    <n v="9"/>
    <n v="0"/>
    <x v="12"/>
  </r>
  <r>
    <s v="CUST0532"/>
    <s v="Daniel Allen"/>
    <n v="38"/>
    <s v="Male"/>
    <s v="Monthly"/>
    <d v="2024-08-15T00:00:00"/>
    <d v="2026-05-04T00:00:00"/>
    <n v="8"/>
    <n v="7"/>
    <n v="0"/>
    <x v="21"/>
  </r>
  <r>
    <s v="CUST0533"/>
    <s v="Brian Patel"/>
    <n v="32"/>
    <s v="Other"/>
    <s v="Yearly"/>
    <d v="2026-04-05T00:00:00"/>
    <d v="2026-04-27T00:00:00"/>
    <n v="5"/>
    <n v="2"/>
    <n v="1"/>
    <x v="31"/>
  </r>
  <r>
    <s v="CUST0534"/>
    <s v="Jeffrey Vargas"/>
    <n v="34"/>
    <s v="Female"/>
    <s v="Monthly"/>
    <d v="2025-01-25T00:00:00"/>
    <d v="2026-01-16T00:00:00"/>
    <n v="56"/>
    <n v="3"/>
    <n v="1"/>
    <x v="23"/>
  </r>
  <r>
    <s v="CUST0535"/>
    <s v="Robert Jenkins"/>
    <n v="56"/>
    <s v="Other"/>
    <s v="Monthly"/>
    <d v="2023-10-22T00:00:00"/>
    <d v="2026-01-25T00:00:00"/>
    <n v="48"/>
    <n v="5"/>
    <n v="0"/>
    <x v="8"/>
  </r>
  <r>
    <s v="CUST0536"/>
    <s v="Troy Torres"/>
    <n v="40"/>
    <s v="Male"/>
    <s v="Quarterly"/>
    <d v="2024-01-12T00:00:00"/>
    <d v="2026-02-11T00:00:00"/>
    <n v="75"/>
    <n v="6"/>
    <n v="0"/>
    <x v="9"/>
  </r>
  <r>
    <s v="CUST0537"/>
    <s v="Mindy Brown"/>
    <n v="23"/>
    <s v="Male"/>
    <s v="Quarterly"/>
    <d v="2025-05-17T00:00:00"/>
    <d v="2026-03-26T00:00:00"/>
    <n v="76"/>
    <n v="3"/>
    <n v="0"/>
    <x v="2"/>
  </r>
  <r>
    <s v="CUST0538"/>
    <s v="Catherine Alexander"/>
    <n v="31"/>
    <s v="Male"/>
    <s v="Monthly"/>
    <d v="2025-09-06T00:00:00"/>
    <d v="2026-01-22T00:00:00"/>
    <n v="80"/>
    <n v="2"/>
    <n v="1"/>
    <x v="13"/>
  </r>
  <r>
    <s v="CUST0539"/>
    <s v="Angel Jackson"/>
    <n v="59"/>
    <s v="Female"/>
    <s v="Quarterly"/>
    <d v="2025-01-04T00:00:00"/>
    <d v="2026-03-28T00:00:00"/>
    <n v="30"/>
    <n v="10"/>
    <n v="0"/>
    <x v="23"/>
  </r>
  <r>
    <s v="CUST0540"/>
    <s v="Oscar Marquez"/>
    <n v="50"/>
    <s v="Female"/>
    <s v="Monthly"/>
    <d v="2024-06-16T00:00:00"/>
    <d v="2026-02-03T00:00:00"/>
    <n v="69"/>
    <n v="6"/>
    <n v="1"/>
    <x v="11"/>
  </r>
  <r>
    <s v="CUST0541"/>
    <s v="Randy Anderson"/>
    <n v="45"/>
    <s v="Female"/>
    <s v="Yearly"/>
    <d v="2025-06-29T00:00:00"/>
    <d v="2026-03-30T00:00:00"/>
    <n v="34"/>
    <n v="6"/>
    <n v="0"/>
    <x v="27"/>
  </r>
  <r>
    <s v="CUST0542"/>
    <s v="Matthew Nguyen"/>
    <n v="40"/>
    <s v="Male"/>
    <s v="Quarterly"/>
    <d v="2024-09-22T00:00:00"/>
    <d v="2026-04-18T00:00:00"/>
    <n v="11"/>
    <n v="6"/>
    <n v="0"/>
    <x v="10"/>
  </r>
  <r>
    <s v="CUST0543"/>
    <s v="Amanda Hebert"/>
    <n v="38"/>
    <s v="Female"/>
    <s v="Quarterly"/>
    <d v="2025-02-05T00:00:00"/>
    <d v="2026-04-16T00:00:00"/>
    <n v="68"/>
    <n v="9"/>
    <n v="0"/>
    <x v="19"/>
  </r>
  <r>
    <s v="CUST0544"/>
    <s v="Jenna Dennis"/>
    <n v="35"/>
    <s v="Other"/>
    <s v="Yearly"/>
    <d v="2024-10-12T00:00:00"/>
    <d v="2026-02-12T00:00:00"/>
    <n v="22"/>
    <n v="6"/>
    <n v="1"/>
    <x v="26"/>
  </r>
  <r>
    <s v="CUST0545"/>
    <s v="Shannon Johnson"/>
    <n v="31"/>
    <s v="Other"/>
    <s v="Monthly"/>
    <d v="2025-01-07T00:00:00"/>
    <d v="2026-02-06T00:00:00"/>
    <n v="70"/>
    <n v="7"/>
    <n v="1"/>
    <x v="23"/>
  </r>
  <r>
    <s v="CUST0546"/>
    <s v="Michael Kim"/>
    <n v="18"/>
    <s v="Female"/>
    <s v="Quarterly"/>
    <d v="2023-09-29T00:00:00"/>
    <d v="2026-05-04T00:00:00"/>
    <n v="80"/>
    <n v="2"/>
    <n v="0"/>
    <x v="7"/>
  </r>
  <r>
    <s v="CUST0547"/>
    <s v="Heidi Diaz"/>
    <n v="29"/>
    <s v="Other"/>
    <s v="Quarterly"/>
    <d v="2023-11-14T00:00:00"/>
    <d v="2026-02-23T00:00:00"/>
    <n v="29"/>
    <n v="3"/>
    <n v="1"/>
    <x v="1"/>
  </r>
  <r>
    <s v="CUST0548"/>
    <s v="Whitney Martin"/>
    <n v="51"/>
    <s v="Male"/>
    <s v="Quarterly"/>
    <d v="2023-08-15T00:00:00"/>
    <d v="2026-02-28T00:00:00"/>
    <n v="68"/>
    <n v="8"/>
    <n v="1"/>
    <x v="32"/>
  </r>
  <r>
    <s v="CUST0549"/>
    <s v="Edward Williams"/>
    <n v="35"/>
    <s v="Female"/>
    <s v="Monthly"/>
    <d v="2024-05-26T00:00:00"/>
    <d v="2026-01-30T00:00:00"/>
    <n v="33"/>
    <n v="5"/>
    <n v="0"/>
    <x v="6"/>
  </r>
  <r>
    <s v="CUST0550"/>
    <s v="Tina Harris"/>
    <n v="54"/>
    <s v="Female"/>
    <s v="Yearly"/>
    <d v="2024-03-18T00:00:00"/>
    <d v="2026-01-30T00:00:00"/>
    <n v="73"/>
    <n v="1"/>
    <n v="1"/>
    <x v="30"/>
  </r>
  <r>
    <s v="CUST0551"/>
    <s v="Arthur Tran"/>
    <n v="43"/>
    <s v="Other"/>
    <s v="Quarterly"/>
    <d v="2024-03-11T00:00:00"/>
    <d v="2026-04-30T00:00:00"/>
    <n v="77"/>
    <n v="8"/>
    <n v="0"/>
    <x v="30"/>
  </r>
  <r>
    <s v="CUST0552"/>
    <s v="Susan Johnson"/>
    <n v="36"/>
    <s v="Female"/>
    <s v="Quarterly"/>
    <d v="2026-02-23T00:00:00"/>
    <d v="2026-05-07T00:00:00"/>
    <n v="45"/>
    <n v="2"/>
    <n v="1"/>
    <x v="16"/>
  </r>
  <r>
    <s v="CUST0553"/>
    <s v="Joshua Davila"/>
    <n v="22"/>
    <s v="Male"/>
    <s v="Yearly"/>
    <d v="2023-11-11T00:00:00"/>
    <d v="2026-04-25T00:00:00"/>
    <n v="4"/>
    <n v="1"/>
    <n v="0"/>
    <x v="1"/>
  </r>
  <r>
    <s v="CUST0554"/>
    <s v="Barbara Valdez"/>
    <n v="49"/>
    <s v="Other"/>
    <s v="Monthly"/>
    <d v="2025-10-18T00:00:00"/>
    <d v="2026-05-07T00:00:00"/>
    <n v="57"/>
    <n v="3"/>
    <n v="0"/>
    <x v="25"/>
  </r>
  <r>
    <s v="CUST0555"/>
    <s v="Alfred Russo"/>
    <n v="44"/>
    <s v="Male"/>
    <s v="Quarterly"/>
    <d v="2025-12-23T00:00:00"/>
    <d v="2026-04-14T00:00:00"/>
    <n v="12"/>
    <n v="5"/>
    <n v="0"/>
    <x v="28"/>
  </r>
  <r>
    <s v="CUST0556"/>
    <s v="Amy Wilson"/>
    <n v="60"/>
    <s v="Other"/>
    <s v="Quarterly"/>
    <d v="2025-02-16T00:00:00"/>
    <d v="2026-02-08T00:00:00"/>
    <n v="49"/>
    <n v="6"/>
    <n v="0"/>
    <x v="19"/>
  </r>
  <r>
    <s v="CUST0557"/>
    <s v="Mark Vang"/>
    <n v="41"/>
    <s v="Female"/>
    <s v="Yearly"/>
    <d v="2025-07-18T00:00:00"/>
    <d v="2026-03-08T00:00:00"/>
    <n v="70"/>
    <n v="9"/>
    <n v="0"/>
    <x v="12"/>
  </r>
  <r>
    <s v="CUST0558"/>
    <s v="James Aguilar"/>
    <n v="20"/>
    <s v="Male"/>
    <s v="Monthly"/>
    <d v="2025-11-07T00:00:00"/>
    <d v="2026-02-09T00:00:00"/>
    <n v="12"/>
    <n v="2"/>
    <n v="1"/>
    <x v="4"/>
  </r>
  <r>
    <s v="CUST0559"/>
    <s v="Amy Leblanc"/>
    <n v="49"/>
    <s v="Other"/>
    <s v="Yearly"/>
    <d v="2025-12-22T00:00:00"/>
    <d v="2026-04-27T00:00:00"/>
    <n v="55"/>
    <n v="8"/>
    <n v="0"/>
    <x v="28"/>
  </r>
  <r>
    <s v="CUST0560"/>
    <s v="Justin Miller"/>
    <n v="38"/>
    <s v="Other"/>
    <s v="Monthly"/>
    <d v="2024-04-02T00:00:00"/>
    <d v="2026-02-20T00:00:00"/>
    <n v="37"/>
    <n v="6"/>
    <n v="1"/>
    <x v="0"/>
  </r>
  <r>
    <s v="CUST0561"/>
    <s v="Barbara Hampton"/>
    <n v="40"/>
    <s v="Male"/>
    <s v="Monthly"/>
    <d v="2025-11-09T00:00:00"/>
    <d v="2026-03-31T00:00:00"/>
    <n v="34"/>
    <n v="5"/>
    <n v="1"/>
    <x v="4"/>
  </r>
  <r>
    <s v="CUST0562"/>
    <s v="Michael Love"/>
    <n v="44"/>
    <s v="Male"/>
    <s v="Quarterly"/>
    <d v="2026-04-06T00:00:00"/>
    <d v="2026-03-18T00:00:00"/>
    <n v="14"/>
    <n v="8"/>
    <n v="0"/>
    <x v="31"/>
  </r>
  <r>
    <s v="CUST0563"/>
    <s v="Steven Bender"/>
    <n v="58"/>
    <s v="Other"/>
    <s v="Yearly"/>
    <d v="2025-07-06T00:00:00"/>
    <d v="2026-01-18T00:00:00"/>
    <n v="49"/>
    <n v="1"/>
    <n v="0"/>
    <x v="12"/>
  </r>
  <r>
    <s v="CUST0564"/>
    <s v="Matthew Boone"/>
    <n v="48"/>
    <s v="Female"/>
    <s v="Monthly"/>
    <d v="2024-09-12T00:00:00"/>
    <d v="2026-04-20T00:00:00"/>
    <n v="70"/>
    <n v="3"/>
    <n v="0"/>
    <x v="10"/>
  </r>
  <r>
    <s v="CUST0565"/>
    <s v="Lauren Jones"/>
    <n v="59"/>
    <s v="Female"/>
    <s v="Quarterly"/>
    <d v="2025-05-11T00:00:00"/>
    <d v="2026-05-02T00:00:00"/>
    <n v="61"/>
    <n v="3"/>
    <n v="1"/>
    <x v="2"/>
  </r>
  <r>
    <s v="CUST0566"/>
    <s v="Theodore Peterson"/>
    <n v="34"/>
    <s v="Female"/>
    <s v="Monthly"/>
    <d v="2023-10-02T00:00:00"/>
    <d v="2026-04-15T00:00:00"/>
    <n v="3"/>
    <n v="8"/>
    <n v="0"/>
    <x v="8"/>
  </r>
  <r>
    <s v="CUST0567"/>
    <s v="Heather Garner"/>
    <n v="59"/>
    <s v="Other"/>
    <s v="Monthly"/>
    <d v="2023-10-09T00:00:00"/>
    <d v="2026-03-30T00:00:00"/>
    <n v="8"/>
    <n v="9"/>
    <n v="0"/>
    <x v="8"/>
  </r>
  <r>
    <s v="CUST0568"/>
    <s v="Heather Ortiz"/>
    <n v="57"/>
    <s v="Female"/>
    <s v="Monthly"/>
    <d v="2024-06-24T00:00:00"/>
    <d v="2026-01-19T00:00:00"/>
    <n v="14"/>
    <n v="6"/>
    <n v="1"/>
    <x v="11"/>
  </r>
  <r>
    <s v="CUST0569"/>
    <s v="Ryan Cook"/>
    <n v="60"/>
    <s v="Other"/>
    <s v="Monthly"/>
    <d v="2023-11-04T00:00:00"/>
    <d v="2026-03-29T00:00:00"/>
    <n v="14"/>
    <n v="7"/>
    <n v="0"/>
    <x v="1"/>
  </r>
  <r>
    <s v="CUST0570"/>
    <s v="Jeffrey Mcintosh"/>
    <n v="57"/>
    <s v="Other"/>
    <s v="Quarterly"/>
    <d v="2025-04-09T00:00:00"/>
    <d v="2026-02-20T00:00:00"/>
    <n v="74"/>
    <n v="7"/>
    <n v="1"/>
    <x v="17"/>
  </r>
  <r>
    <s v="CUST0571"/>
    <s v="Travis Smith"/>
    <n v="39"/>
    <s v="Other"/>
    <s v="Monthly"/>
    <d v="2025-10-02T00:00:00"/>
    <d v="2026-02-20T00:00:00"/>
    <n v="72"/>
    <n v="4"/>
    <n v="1"/>
    <x v="25"/>
  </r>
  <r>
    <s v="CUST0572"/>
    <s v="Jennifer Meyer"/>
    <n v="18"/>
    <s v="Male"/>
    <s v="Quarterly"/>
    <d v="2024-04-03T00:00:00"/>
    <d v="2026-04-15T00:00:00"/>
    <n v="71"/>
    <n v="2"/>
    <n v="1"/>
    <x v="0"/>
  </r>
  <r>
    <s v="CUST0573"/>
    <s v="Steven Taylor"/>
    <n v="59"/>
    <s v="Female"/>
    <s v="Monthly"/>
    <d v="2025-10-20T00:00:00"/>
    <d v="2026-03-10T00:00:00"/>
    <n v="56"/>
    <n v="6"/>
    <n v="0"/>
    <x v="25"/>
  </r>
  <r>
    <s v="CUST0574"/>
    <s v="Gerald Arellano"/>
    <n v="19"/>
    <s v="Female"/>
    <s v="Monthly"/>
    <d v="2023-11-03T00:00:00"/>
    <d v="2026-04-05T00:00:00"/>
    <n v="28"/>
    <n v="7"/>
    <n v="1"/>
    <x v="1"/>
  </r>
  <r>
    <s v="CUST0575"/>
    <s v="Rachel Glass"/>
    <n v="47"/>
    <s v="Other"/>
    <s v="Monthly"/>
    <d v="2024-03-22T00:00:00"/>
    <d v="2026-01-09T00:00:00"/>
    <n v="35"/>
    <n v="9"/>
    <n v="0"/>
    <x v="30"/>
  </r>
  <r>
    <s v="CUST0576"/>
    <s v="Jasmine Murphy"/>
    <n v="57"/>
    <s v="Male"/>
    <s v="Monthly"/>
    <d v="2025-03-10T00:00:00"/>
    <d v="2026-03-20T00:00:00"/>
    <n v="47"/>
    <n v="8"/>
    <n v="0"/>
    <x v="18"/>
  </r>
  <r>
    <s v="CUST0577"/>
    <s v="James Alvarado"/>
    <n v="43"/>
    <s v="Female"/>
    <s v="Monthly"/>
    <d v="2024-05-14T00:00:00"/>
    <d v="2026-01-24T00:00:00"/>
    <n v="15"/>
    <n v="8"/>
    <n v="1"/>
    <x v="6"/>
  </r>
  <r>
    <s v="CUST0578"/>
    <s v="David Wade"/>
    <n v="39"/>
    <s v="Male"/>
    <s v="Monthly"/>
    <d v="2023-11-12T00:00:00"/>
    <d v="2026-02-10T00:00:00"/>
    <n v="8"/>
    <n v="6"/>
    <n v="1"/>
    <x v="1"/>
  </r>
  <r>
    <s v="CUST0579"/>
    <s v="Maria Lewis"/>
    <n v="24"/>
    <s v="Male"/>
    <s v="Quarterly"/>
    <d v="2025-03-09T00:00:00"/>
    <d v="2026-02-27T00:00:00"/>
    <n v="67"/>
    <n v="9"/>
    <n v="0"/>
    <x v="18"/>
  </r>
  <r>
    <s v="CUST0580"/>
    <s v="Kimberly Singleton"/>
    <n v="18"/>
    <s v="Male"/>
    <s v="Quarterly"/>
    <d v="2025-04-05T00:00:00"/>
    <d v="2026-04-27T00:00:00"/>
    <n v="35"/>
    <n v="2"/>
    <n v="1"/>
    <x v="17"/>
  </r>
  <r>
    <s v="CUST0581"/>
    <s v="Valerie Cummings"/>
    <n v="44"/>
    <s v="Female"/>
    <s v="Monthly"/>
    <d v="2023-11-01T00:00:00"/>
    <d v="2026-05-04T00:00:00"/>
    <n v="26"/>
    <n v="5"/>
    <n v="0"/>
    <x v="1"/>
  </r>
  <r>
    <s v="CUST0582"/>
    <s v="Marcus Ramirez"/>
    <n v="36"/>
    <s v="Female"/>
    <s v="Monthly"/>
    <d v="2026-02-04T00:00:00"/>
    <d v="2026-02-09T00:00:00"/>
    <n v="6"/>
    <n v="2"/>
    <n v="1"/>
    <x v="16"/>
  </r>
  <r>
    <s v="CUST0583"/>
    <s v="Diana Tran"/>
    <n v="60"/>
    <s v="Female"/>
    <s v="Quarterly"/>
    <d v="2024-09-04T00:00:00"/>
    <d v="2026-03-05T00:00:00"/>
    <n v="25"/>
    <n v="6"/>
    <n v="0"/>
    <x v="10"/>
  </r>
  <r>
    <s v="CUST0584"/>
    <s v="Tanner Sanchez"/>
    <n v="35"/>
    <s v="Other"/>
    <s v="Quarterly"/>
    <d v="2024-05-29T00:00:00"/>
    <d v="2026-02-15T00:00:00"/>
    <n v="2"/>
    <n v="5"/>
    <n v="0"/>
    <x v="6"/>
  </r>
  <r>
    <s v="CUST0585"/>
    <s v="Troy Ruiz"/>
    <n v="47"/>
    <s v="Female"/>
    <s v="Monthly"/>
    <d v="2023-09-09T00:00:00"/>
    <d v="2026-05-07T00:00:00"/>
    <n v="50"/>
    <n v="6"/>
    <n v="0"/>
    <x v="7"/>
  </r>
  <r>
    <s v="CUST0586"/>
    <s v="Belinda Garrett"/>
    <n v="58"/>
    <s v="Other"/>
    <s v="Monthly"/>
    <d v="2025-06-25T00:00:00"/>
    <d v="2026-04-12T00:00:00"/>
    <n v="48"/>
    <n v="6"/>
    <n v="1"/>
    <x v="27"/>
  </r>
  <r>
    <s v="CUST0587"/>
    <s v="Matthew Gardner"/>
    <n v="37"/>
    <s v="Male"/>
    <s v="Quarterly"/>
    <d v="2025-08-18T00:00:00"/>
    <d v="2026-01-15T00:00:00"/>
    <n v="17"/>
    <n v="8"/>
    <n v="0"/>
    <x v="20"/>
  </r>
  <r>
    <s v="CUST0588"/>
    <s v="Mary Walters"/>
    <n v="55"/>
    <s v="Male"/>
    <s v="Monthly"/>
    <d v="2025-03-18T00:00:00"/>
    <d v="2026-02-18T00:00:00"/>
    <n v="56"/>
    <n v="5"/>
    <n v="0"/>
    <x v="18"/>
  </r>
  <r>
    <s v="CUST0589"/>
    <s v="Joshua Turner"/>
    <n v="18"/>
    <s v="Other"/>
    <s v="Quarterly"/>
    <d v="2025-10-01T00:00:00"/>
    <d v="2026-05-04T00:00:00"/>
    <n v="53"/>
    <n v="1"/>
    <n v="1"/>
    <x v="25"/>
  </r>
  <r>
    <s v="CUST0590"/>
    <s v="Mary Gentry"/>
    <n v="43"/>
    <s v="Male"/>
    <s v="Monthly"/>
    <d v="2025-05-02T00:00:00"/>
    <d v="2026-03-21T00:00:00"/>
    <n v="26"/>
    <n v="5"/>
    <n v="0"/>
    <x v="2"/>
  </r>
  <r>
    <s v="CUST0591"/>
    <s v="Jessica Clay"/>
    <n v="30"/>
    <s v="Female"/>
    <s v="Quarterly"/>
    <d v="2026-02-01T00:00:00"/>
    <d v="2026-02-18T00:00:00"/>
    <n v="65"/>
    <n v="2"/>
    <n v="0"/>
    <x v="16"/>
  </r>
  <r>
    <s v="CUST0592"/>
    <s v="Miss Rhonda Rodriguez"/>
    <n v="44"/>
    <s v="Male"/>
    <s v="Quarterly"/>
    <d v="2025-03-16T00:00:00"/>
    <d v="2026-03-28T00:00:00"/>
    <n v="62"/>
    <n v="8"/>
    <n v="0"/>
    <x v="18"/>
  </r>
  <r>
    <s v="CUST0593"/>
    <s v="Nathaniel Roth"/>
    <n v="22"/>
    <s v="Other"/>
    <s v="Monthly"/>
    <d v="2025-01-02T00:00:00"/>
    <d v="2026-04-04T00:00:00"/>
    <n v="48"/>
    <n v="2"/>
    <n v="1"/>
    <x v="23"/>
  </r>
  <r>
    <s v="CUST0594"/>
    <s v="Laura Russo"/>
    <n v="46"/>
    <s v="Other"/>
    <s v="Monthly"/>
    <d v="2026-03-18T00:00:00"/>
    <d v="2026-03-14T00:00:00"/>
    <n v="27"/>
    <n v="9"/>
    <n v="0"/>
    <x v="22"/>
  </r>
  <r>
    <s v="CUST0595"/>
    <s v="Thomas Long"/>
    <n v="19"/>
    <s v="Male"/>
    <s v="Monthly"/>
    <d v="2023-08-25T00:00:00"/>
    <d v="2026-01-10T00:00:00"/>
    <n v="68"/>
    <n v="2"/>
    <n v="1"/>
    <x v="32"/>
  </r>
  <r>
    <s v="CUST0596"/>
    <s v="Joseph Abbott"/>
    <n v="34"/>
    <s v="Male"/>
    <s v="Monthly"/>
    <d v="2025-10-07T00:00:00"/>
    <d v="2026-03-10T00:00:00"/>
    <n v="36"/>
    <n v="6"/>
    <n v="0"/>
    <x v="25"/>
  </r>
  <r>
    <s v="CUST0597"/>
    <s v="William Silva"/>
    <n v="54"/>
    <s v="Male"/>
    <s v="Monthly"/>
    <d v="2025-12-05T00:00:00"/>
    <d v="2026-01-19T00:00:00"/>
    <n v="76"/>
    <n v="10"/>
    <n v="1"/>
    <x v="28"/>
  </r>
  <r>
    <s v="CUST0598"/>
    <s v="Nancy Cameron"/>
    <n v="18"/>
    <s v="Female"/>
    <s v="Quarterly"/>
    <d v="2024-04-14T00:00:00"/>
    <d v="2026-03-27T00:00:00"/>
    <n v="59"/>
    <n v="1"/>
    <n v="1"/>
    <x v="0"/>
  </r>
  <r>
    <s v="CUST0599"/>
    <s v="Jeffrey Jackson"/>
    <n v="19"/>
    <s v="Other"/>
    <s v="Monthly"/>
    <d v="2025-01-15T00:00:00"/>
    <d v="2026-02-17T00:00:00"/>
    <n v="47"/>
    <n v="7"/>
    <n v="1"/>
    <x v="23"/>
  </r>
  <r>
    <s v="CUST0600"/>
    <s v="Anthony Griffin"/>
    <n v="28"/>
    <s v="Female"/>
    <s v="Monthly"/>
    <d v="2024-11-10T00:00:00"/>
    <d v="2026-03-24T00:00:00"/>
    <n v="11"/>
    <n v="10"/>
    <n v="0"/>
    <x v="24"/>
  </r>
  <r>
    <s v="CUST0601"/>
    <s v="Lisa Myers"/>
    <n v="54"/>
    <s v="Male"/>
    <s v="Quarterly"/>
    <d v="2026-02-08T00:00:00"/>
    <d v="2026-01-19T00:00:00"/>
    <n v="72"/>
    <n v="1"/>
    <n v="1"/>
    <x v="16"/>
  </r>
  <r>
    <s v="CUST0602"/>
    <s v="Christopher Summers"/>
    <n v="37"/>
    <s v="Other"/>
    <s v="Monthly"/>
    <d v="2024-07-04T00:00:00"/>
    <d v="2026-01-08T00:00:00"/>
    <n v="8"/>
    <n v="7"/>
    <n v="0"/>
    <x v="15"/>
  </r>
  <r>
    <s v="CUST0603"/>
    <s v="Nicholas Reynolds"/>
    <n v="43"/>
    <s v="Male"/>
    <s v="Monthly"/>
    <d v="2025-01-01T00:00:00"/>
    <d v="2026-03-17T00:00:00"/>
    <n v="34"/>
    <n v="4"/>
    <n v="0"/>
    <x v="23"/>
  </r>
  <r>
    <s v="CUST0604"/>
    <s v="Eddie Gross"/>
    <n v="21"/>
    <s v="Other"/>
    <s v="Monthly"/>
    <d v="2023-12-30T00:00:00"/>
    <d v="2026-02-15T00:00:00"/>
    <n v="36"/>
    <n v="6"/>
    <n v="1"/>
    <x v="5"/>
  </r>
  <r>
    <s v="CUST0605"/>
    <s v="Nicole Anderson"/>
    <n v="28"/>
    <s v="Male"/>
    <s v="Yearly"/>
    <d v="2024-06-10T00:00:00"/>
    <d v="2026-01-25T00:00:00"/>
    <n v="33"/>
    <n v="10"/>
    <n v="0"/>
    <x v="11"/>
  </r>
  <r>
    <s v="CUST0606"/>
    <s v="Erika Dawson"/>
    <n v="22"/>
    <s v="Other"/>
    <s v="Quarterly"/>
    <d v="2024-09-22T00:00:00"/>
    <d v="2026-05-01T00:00:00"/>
    <n v="79"/>
    <n v="10"/>
    <n v="0"/>
    <x v="10"/>
  </r>
  <r>
    <s v="CUST0607"/>
    <s v="Lauren Nolan"/>
    <n v="26"/>
    <s v="Other"/>
    <s v="Quarterly"/>
    <d v="2024-07-31T00:00:00"/>
    <d v="2026-03-10T00:00:00"/>
    <n v="50"/>
    <n v="2"/>
    <n v="0"/>
    <x v="15"/>
  </r>
  <r>
    <s v="CUST0608"/>
    <s v="Mary King"/>
    <n v="46"/>
    <s v="Female"/>
    <s v="Monthly"/>
    <d v="2026-03-11T00:00:00"/>
    <d v="2026-01-24T00:00:00"/>
    <n v="76"/>
    <n v="4"/>
    <n v="0"/>
    <x v="22"/>
  </r>
  <r>
    <s v="CUST0609"/>
    <s v="Kara Barnes"/>
    <n v="28"/>
    <s v="Female"/>
    <s v="Quarterly"/>
    <d v="2024-02-01T00:00:00"/>
    <d v="2026-01-16T00:00:00"/>
    <n v="22"/>
    <n v="10"/>
    <n v="0"/>
    <x v="3"/>
  </r>
  <r>
    <s v="CUST0610"/>
    <s v="Joel Padilla"/>
    <n v="59"/>
    <s v="Other"/>
    <s v="Quarterly"/>
    <d v="2024-12-03T00:00:00"/>
    <d v="2026-03-15T00:00:00"/>
    <n v="51"/>
    <n v="8"/>
    <n v="0"/>
    <x v="14"/>
  </r>
  <r>
    <s v="CUST0611"/>
    <s v="Scott Oconnor"/>
    <n v="24"/>
    <s v="Female"/>
    <s v="Monthly"/>
    <d v="2025-06-08T00:00:00"/>
    <d v="2026-04-19T00:00:00"/>
    <n v="46"/>
    <n v="8"/>
    <n v="1"/>
    <x v="27"/>
  </r>
  <r>
    <s v="CUST0612"/>
    <s v="Mrs. Lynn Pearson"/>
    <n v="27"/>
    <s v="Female"/>
    <s v="Monthly"/>
    <d v="2026-03-10T00:00:00"/>
    <d v="2026-02-28T00:00:00"/>
    <n v="5"/>
    <n v="2"/>
    <n v="1"/>
    <x v="22"/>
  </r>
  <r>
    <s v="CUST0613"/>
    <s v="Amber Wilson"/>
    <n v="49"/>
    <s v="Other"/>
    <s v="Monthly"/>
    <d v="2024-03-26T00:00:00"/>
    <d v="2026-04-21T00:00:00"/>
    <n v="32"/>
    <n v="9"/>
    <n v="0"/>
    <x v="30"/>
  </r>
  <r>
    <s v="CUST0614"/>
    <s v="Ashley Martinez"/>
    <n v="50"/>
    <s v="Female"/>
    <s v="Monthly"/>
    <d v="2025-06-02T00:00:00"/>
    <d v="2026-03-27T00:00:00"/>
    <n v="2"/>
    <n v="2"/>
    <n v="1"/>
    <x v="27"/>
  </r>
  <r>
    <s v="CUST0615"/>
    <s v="George Dougherty"/>
    <n v="51"/>
    <s v="Other"/>
    <s v="Quarterly"/>
    <d v="2026-02-17T00:00:00"/>
    <d v="2026-05-08T00:00:00"/>
    <n v="69"/>
    <n v="4"/>
    <n v="1"/>
    <x v="16"/>
  </r>
  <r>
    <s v="CUST0616"/>
    <s v="Brady Gomez"/>
    <n v="26"/>
    <s v="Female"/>
    <s v="Quarterly"/>
    <d v="2026-03-16T00:00:00"/>
    <d v="2026-02-24T00:00:00"/>
    <n v="15"/>
    <n v="6"/>
    <n v="0"/>
    <x v="22"/>
  </r>
  <r>
    <s v="CUST0617"/>
    <s v="Jason Larson"/>
    <n v="31"/>
    <s v="Male"/>
    <s v="Yearly"/>
    <d v="2023-09-28T00:00:00"/>
    <d v="2026-01-29T00:00:00"/>
    <n v="29"/>
    <n v="9"/>
    <n v="0"/>
    <x v="7"/>
  </r>
  <r>
    <s v="CUST0618"/>
    <s v="Barry Stafford"/>
    <n v="27"/>
    <s v="Male"/>
    <s v="Monthly"/>
    <d v="2024-12-11T00:00:00"/>
    <d v="2026-02-07T00:00:00"/>
    <n v="15"/>
    <n v="1"/>
    <n v="1"/>
    <x v="14"/>
  </r>
  <r>
    <s v="CUST0619"/>
    <s v="Michael Porter"/>
    <n v="31"/>
    <s v="Female"/>
    <s v="Quarterly"/>
    <d v="2024-05-22T00:00:00"/>
    <d v="2026-02-13T00:00:00"/>
    <n v="25"/>
    <n v="9"/>
    <n v="0"/>
    <x v="6"/>
  </r>
  <r>
    <s v="CUST0620"/>
    <s v="Jennifer Sanders"/>
    <n v="21"/>
    <s v="Female"/>
    <s v="Monthly"/>
    <d v="2025-08-26T00:00:00"/>
    <d v="2026-01-24T00:00:00"/>
    <n v="78"/>
    <n v="6"/>
    <n v="1"/>
    <x v="20"/>
  </r>
  <r>
    <s v="CUST0621"/>
    <s v="Pamela Kelly"/>
    <n v="24"/>
    <s v="Other"/>
    <s v="Quarterly"/>
    <d v="2025-04-28T00:00:00"/>
    <d v="2026-02-19T00:00:00"/>
    <n v="52"/>
    <n v="8"/>
    <n v="1"/>
    <x v="17"/>
  </r>
  <r>
    <s v="CUST0622"/>
    <s v="Lisa Foster"/>
    <n v="53"/>
    <s v="Female"/>
    <s v="Quarterly"/>
    <d v="2024-10-02T00:00:00"/>
    <d v="2026-02-06T00:00:00"/>
    <n v="15"/>
    <n v="7"/>
    <n v="0"/>
    <x v="26"/>
  </r>
  <r>
    <s v="CUST0623"/>
    <s v="Joshua Lawson"/>
    <n v="46"/>
    <s v="Male"/>
    <s v="Yearly"/>
    <d v="2025-03-10T00:00:00"/>
    <d v="2026-02-19T00:00:00"/>
    <n v="31"/>
    <n v="5"/>
    <n v="0"/>
    <x v="18"/>
  </r>
  <r>
    <s v="CUST0624"/>
    <s v="Stacy Hughes"/>
    <n v="55"/>
    <s v="Male"/>
    <s v="Monthly"/>
    <d v="2024-12-24T00:00:00"/>
    <d v="2026-03-22T00:00:00"/>
    <n v="53"/>
    <n v="4"/>
    <n v="1"/>
    <x v="14"/>
  </r>
  <r>
    <s v="CUST0625"/>
    <s v="Kelli Mendoza"/>
    <n v="44"/>
    <s v="Other"/>
    <s v="Monthly"/>
    <d v="2024-05-23T00:00:00"/>
    <d v="2026-01-21T00:00:00"/>
    <n v="65"/>
    <n v="3"/>
    <n v="0"/>
    <x v="6"/>
  </r>
  <r>
    <s v="CUST0626"/>
    <s v="Michael Miller"/>
    <n v="29"/>
    <s v="Male"/>
    <s v="Quarterly"/>
    <d v="2023-10-17T00:00:00"/>
    <d v="2026-03-01T00:00:00"/>
    <n v="42"/>
    <n v="6"/>
    <n v="0"/>
    <x v="8"/>
  </r>
  <r>
    <s v="CUST0627"/>
    <s v="Jennifer Smith"/>
    <n v="26"/>
    <s v="Female"/>
    <s v="Yearly"/>
    <d v="2024-12-02T00:00:00"/>
    <d v="2026-02-18T00:00:00"/>
    <n v="28"/>
    <n v="6"/>
    <n v="0"/>
    <x v="14"/>
  </r>
  <r>
    <s v="CUST0628"/>
    <s v="Robert Ryan"/>
    <n v="44"/>
    <s v="Other"/>
    <s v="Yearly"/>
    <d v="2026-02-05T00:00:00"/>
    <d v="2026-02-21T00:00:00"/>
    <n v="77"/>
    <n v="8"/>
    <n v="0"/>
    <x v="16"/>
  </r>
  <r>
    <s v="CUST0629"/>
    <s v="Christine Dorsey"/>
    <n v="30"/>
    <s v="Female"/>
    <s v="Monthly"/>
    <d v="2025-06-04T00:00:00"/>
    <d v="2026-04-08T00:00:00"/>
    <n v="46"/>
    <n v="5"/>
    <n v="0"/>
    <x v="27"/>
  </r>
  <r>
    <s v="CUST0630"/>
    <s v="Holly Adams"/>
    <n v="49"/>
    <s v="Male"/>
    <s v="Monthly"/>
    <d v="2024-02-14T00:00:00"/>
    <d v="2026-05-03T00:00:00"/>
    <n v="6"/>
    <n v="2"/>
    <n v="1"/>
    <x v="3"/>
  </r>
  <r>
    <s v="CUST0631"/>
    <s v="Alexandra Hicks"/>
    <n v="27"/>
    <s v="Male"/>
    <s v="Monthly"/>
    <d v="2023-11-13T00:00:00"/>
    <d v="2026-04-19T00:00:00"/>
    <n v="75"/>
    <n v="7"/>
    <n v="0"/>
    <x v="1"/>
  </r>
  <r>
    <s v="CUST0632"/>
    <s v="Crystal White"/>
    <n v="27"/>
    <s v="Male"/>
    <s v="Quarterly"/>
    <d v="2024-05-12T00:00:00"/>
    <d v="2026-02-19T00:00:00"/>
    <n v="21"/>
    <n v="1"/>
    <n v="0"/>
    <x v="6"/>
  </r>
  <r>
    <s v="CUST0633"/>
    <s v="George Howard"/>
    <n v="33"/>
    <s v="Other"/>
    <s v="Quarterly"/>
    <d v="2023-12-07T00:00:00"/>
    <d v="2026-04-05T00:00:00"/>
    <n v="71"/>
    <n v="9"/>
    <n v="0"/>
    <x v="5"/>
  </r>
  <r>
    <s v="CUST0634"/>
    <s v="Sarah Burton"/>
    <n v="47"/>
    <s v="Female"/>
    <s v="Yearly"/>
    <d v="2024-07-08T00:00:00"/>
    <d v="2026-03-21T00:00:00"/>
    <n v="37"/>
    <n v="6"/>
    <n v="0"/>
    <x v="15"/>
  </r>
  <r>
    <s v="CUST0635"/>
    <s v="Miss Amber Conrad"/>
    <n v="28"/>
    <s v="Other"/>
    <s v="Quarterly"/>
    <d v="2024-09-19T00:00:00"/>
    <d v="2026-04-17T00:00:00"/>
    <n v="46"/>
    <n v="8"/>
    <n v="1"/>
    <x v="10"/>
  </r>
  <r>
    <s v="CUST0636"/>
    <s v="Michael Russell"/>
    <n v="19"/>
    <s v="Other"/>
    <s v="Yearly"/>
    <d v="2025-03-11T00:00:00"/>
    <d v="2026-03-20T00:00:00"/>
    <n v="60"/>
    <n v="10"/>
    <n v="0"/>
    <x v="18"/>
  </r>
  <r>
    <s v="CUST0637"/>
    <s v="Jennifer Phelps"/>
    <n v="41"/>
    <s v="Female"/>
    <s v="Monthly"/>
    <d v="2024-03-07T00:00:00"/>
    <d v="2026-03-14T00:00:00"/>
    <n v="33"/>
    <n v="6"/>
    <n v="1"/>
    <x v="30"/>
  </r>
  <r>
    <s v="CUST0638"/>
    <s v="Stephen Nelson"/>
    <n v="20"/>
    <s v="Female"/>
    <s v="Monthly"/>
    <d v="2023-11-27T00:00:00"/>
    <d v="2026-04-07T00:00:00"/>
    <n v="42"/>
    <n v="4"/>
    <n v="0"/>
    <x v="1"/>
  </r>
  <r>
    <s v="CUST0639"/>
    <s v="Dwayne Bailey"/>
    <n v="18"/>
    <s v="Female"/>
    <s v="Quarterly"/>
    <d v="2025-09-04T00:00:00"/>
    <d v="2026-04-26T00:00:00"/>
    <n v="6"/>
    <n v="7"/>
    <n v="0"/>
    <x v="13"/>
  </r>
  <r>
    <s v="CUST0640"/>
    <s v="Michael Pierce"/>
    <n v="38"/>
    <s v="Female"/>
    <s v="Monthly"/>
    <d v="2024-09-10T00:00:00"/>
    <d v="2026-04-01T00:00:00"/>
    <n v="29"/>
    <n v="2"/>
    <n v="0"/>
    <x v="10"/>
  </r>
  <r>
    <s v="CUST0641"/>
    <s v="Peter Simpson"/>
    <n v="18"/>
    <s v="Female"/>
    <s v="Quarterly"/>
    <d v="2025-12-26T00:00:00"/>
    <d v="2026-04-13T00:00:00"/>
    <n v="7"/>
    <n v="4"/>
    <n v="1"/>
    <x v="28"/>
  </r>
  <r>
    <s v="CUST0642"/>
    <s v="Derek Dawson"/>
    <n v="45"/>
    <s v="Female"/>
    <s v="Quarterly"/>
    <d v="2025-12-16T00:00:00"/>
    <d v="2026-02-14T00:00:00"/>
    <n v="11"/>
    <n v="5"/>
    <n v="1"/>
    <x v="28"/>
  </r>
  <r>
    <s v="CUST0643"/>
    <s v="Stephanie Frazier"/>
    <n v="45"/>
    <s v="Male"/>
    <s v="Monthly"/>
    <d v="2024-07-09T00:00:00"/>
    <d v="2026-03-14T00:00:00"/>
    <n v="43"/>
    <n v="5"/>
    <n v="0"/>
    <x v="15"/>
  </r>
  <r>
    <s v="CUST0644"/>
    <s v="Brittany Miller"/>
    <n v="28"/>
    <s v="Female"/>
    <s v="Yearly"/>
    <d v="2024-10-26T00:00:00"/>
    <d v="2026-01-19T00:00:00"/>
    <n v="40"/>
    <n v="10"/>
    <n v="0"/>
    <x v="26"/>
  </r>
  <r>
    <s v="CUST0645"/>
    <s v="Benjamin Heath"/>
    <n v="20"/>
    <s v="Female"/>
    <s v="Yearly"/>
    <d v="2024-01-25T00:00:00"/>
    <d v="2026-03-23T00:00:00"/>
    <n v="55"/>
    <n v="5"/>
    <n v="0"/>
    <x v="9"/>
  </r>
  <r>
    <s v="CUST0646"/>
    <s v="Lisa Jensen"/>
    <n v="58"/>
    <s v="Other"/>
    <s v="Monthly"/>
    <d v="2025-08-05T00:00:00"/>
    <d v="2026-03-30T00:00:00"/>
    <n v="63"/>
    <n v="3"/>
    <n v="1"/>
    <x v="20"/>
  </r>
  <r>
    <s v="CUST0647"/>
    <s v="Jared Taylor"/>
    <n v="21"/>
    <s v="Female"/>
    <s v="Monthly"/>
    <d v="2023-12-26T00:00:00"/>
    <d v="2026-03-18T00:00:00"/>
    <n v="32"/>
    <n v="6"/>
    <n v="1"/>
    <x v="5"/>
  </r>
  <r>
    <s v="CUST0648"/>
    <s v="Elizabeth Mckenzie"/>
    <n v="27"/>
    <s v="Male"/>
    <s v="Quarterly"/>
    <d v="2024-04-22T00:00:00"/>
    <d v="2026-01-18T00:00:00"/>
    <n v="21"/>
    <n v="4"/>
    <n v="0"/>
    <x v="0"/>
  </r>
  <r>
    <s v="CUST0649"/>
    <s v="Charles Smith"/>
    <n v="60"/>
    <s v="Female"/>
    <s v="Quarterly"/>
    <d v="2025-01-26T00:00:00"/>
    <d v="2026-05-02T00:00:00"/>
    <n v="29"/>
    <n v="10"/>
    <n v="0"/>
    <x v="23"/>
  </r>
  <r>
    <s v="CUST0650"/>
    <s v="Anna Fuentes"/>
    <n v="57"/>
    <s v="Male"/>
    <s v="Quarterly"/>
    <d v="2023-11-22T00:00:00"/>
    <d v="2026-04-11T00:00:00"/>
    <n v="80"/>
    <n v="9"/>
    <n v="0"/>
    <x v="1"/>
  </r>
  <r>
    <s v="CUST0651"/>
    <s v="Madison Lamb"/>
    <n v="40"/>
    <s v="Male"/>
    <s v="Monthly"/>
    <d v="2024-01-20T00:00:00"/>
    <d v="2026-03-27T00:00:00"/>
    <n v="12"/>
    <n v="2"/>
    <n v="0"/>
    <x v="9"/>
  </r>
  <r>
    <s v="CUST0652"/>
    <s v="Bruce Thompson"/>
    <n v="25"/>
    <s v="Other"/>
    <s v="Monthly"/>
    <d v="2025-09-29T00:00:00"/>
    <d v="2026-03-07T00:00:00"/>
    <n v="36"/>
    <n v="10"/>
    <n v="1"/>
    <x v="13"/>
  </r>
  <r>
    <s v="CUST0653"/>
    <s v="Allison King"/>
    <n v="39"/>
    <s v="Male"/>
    <s v="Monthly"/>
    <d v="2026-03-06T00:00:00"/>
    <d v="2026-04-21T00:00:00"/>
    <n v="20"/>
    <n v="9"/>
    <n v="0"/>
    <x v="22"/>
  </r>
  <r>
    <s v="CUST0654"/>
    <s v="Craig Perez"/>
    <n v="35"/>
    <s v="Female"/>
    <s v="Yearly"/>
    <d v="2025-03-31T00:00:00"/>
    <d v="2026-02-09T00:00:00"/>
    <n v="12"/>
    <n v="9"/>
    <n v="0"/>
    <x v="18"/>
  </r>
  <r>
    <s v="CUST0655"/>
    <s v="Michael Woods"/>
    <n v="25"/>
    <s v="Male"/>
    <s v="Monthly"/>
    <d v="2025-12-09T00:00:00"/>
    <d v="2026-05-03T00:00:00"/>
    <n v="75"/>
    <n v="3"/>
    <n v="0"/>
    <x v="28"/>
  </r>
  <r>
    <s v="CUST0656"/>
    <s v="Michele Hodge"/>
    <n v="31"/>
    <s v="Other"/>
    <s v="Monthly"/>
    <d v="2026-01-27T00:00:00"/>
    <d v="2026-03-12T00:00:00"/>
    <n v="19"/>
    <n v="8"/>
    <n v="1"/>
    <x v="29"/>
  </r>
  <r>
    <s v="CUST0657"/>
    <s v="Eric Smith"/>
    <n v="27"/>
    <s v="Male"/>
    <s v="Monthly"/>
    <d v="2025-07-15T00:00:00"/>
    <d v="2026-04-10T00:00:00"/>
    <n v="59"/>
    <n v="5"/>
    <n v="1"/>
    <x v="12"/>
  </r>
  <r>
    <s v="CUST0658"/>
    <s v="David Lopez"/>
    <n v="29"/>
    <s v="Male"/>
    <s v="Monthly"/>
    <d v="2025-10-09T00:00:00"/>
    <d v="2026-02-03T00:00:00"/>
    <n v="28"/>
    <n v="3"/>
    <n v="1"/>
    <x v="25"/>
  </r>
  <r>
    <s v="CUST0659"/>
    <s v="Bryan King"/>
    <n v="24"/>
    <s v="Male"/>
    <s v="Yearly"/>
    <d v="2025-12-10T00:00:00"/>
    <d v="2026-05-07T00:00:00"/>
    <n v="29"/>
    <n v="6"/>
    <n v="0"/>
    <x v="28"/>
  </r>
  <r>
    <s v="CUST0660"/>
    <s v="David Orozco"/>
    <n v="18"/>
    <s v="Female"/>
    <s v="Monthly"/>
    <d v="2025-05-10T00:00:00"/>
    <d v="2026-01-08T00:00:00"/>
    <n v="49"/>
    <n v="8"/>
    <n v="1"/>
    <x v="2"/>
  </r>
  <r>
    <s v="CUST0661"/>
    <s v="Vanessa Gibson"/>
    <n v="18"/>
    <s v="Other"/>
    <s v="Yearly"/>
    <d v="2025-10-22T00:00:00"/>
    <d v="2026-01-26T00:00:00"/>
    <n v="65"/>
    <n v="6"/>
    <n v="0"/>
    <x v="25"/>
  </r>
  <r>
    <s v="CUST0662"/>
    <s v="Paula Spencer"/>
    <n v="25"/>
    <s v="Male"/>
    <s v="Monthly"/>
    <d v="2025-01-06T00:00:00"/>
    <d v="2026-02-04T00:00:00"/>
    <n v="53"/>
    <n v="5"/>
    <n v="1"/>
    <x v="23"/>
  </r>
  <r>
    <s v="CUST0663"/>
    <s v="Marcia Lewis"/>
    <n v="27"/>
    <s v="Female"/>
    <s v="Quarterly"/>
    <d v="2024-02-14T00:00:00"/>
    <d v="2026-02-02T00:00:00"/>
    <n v="44"/>
    <n v="5"/>
    <n v="0"/>
    <x v="3"/>
  </r>
  <r>
    <s v="CUST0664"/>
    <s v="Christopher Erickson"/>
    <n v="20"/>
    <s v="Other"/>
    <s v="Monthly"/>
    <d v="2024-03-28T00:00:00"/>
    <d v="2026-01-24T00:00:00"/>
    <n v="79"/>
    <n v="7"/>
    <n v="1"/>
    <x v="30"/>
  </r>
  <r>
    <s v="CUST0665"/>
    <s v="Stephanie Curtis"/>
    <n v="25"/>
    <s v="Female"/>
    <s v="Monthly"/>
    <d v="2025-09-04T00:00:00"/>
    <d v="2026-01-13T00:00:00"/>
    <n v="13"/>
    <n v="10"/>
    <n v="0"/>
    <x v="13"/>
  </r>
  <r>
    <s v="CUST0666"/>
    <s v="Nicholas Ortega DVM"/>
    <n v="55"/>
    <s v="Male"/>
    <s v="Quarterly"/>
    <d v="2023-10-18T00:00:00"/>
    <d v="2026-03-10T00:00:00"/>
    <n v="1"/>
    <n v="8"/>
    <n v="0"/>
    <x v="8"/>
  </r>
  <r>
    <s v="CUST0667"/>
    <s v="Joshua Cooper"/>
    <n v="55"/>
    <s v="Female"/>
    <s v="Monthly"/>
    <d v="2024-10-01T00:00:00"/>
    <d v="2026-02-20T00:00:00"/>
    <n v="67"/>
    <n v="4"/>
    <n v="1"/>
    <x v="26"/>
  </r>
  <r>
    <s v="CUST0668"/>
    <s v="Catherine Petersen"/>
    <n v="53"/>
    <s v="Female"/>
    <s v="Quarterly"/>
    <d v="2025-05-05T00:00:00"/>
    <d v="2026-01-30T00:00:00"/>
    <n v="50"/>
    <n v="5"/>
    <n v="1"/>
    <x v="2"/>
  </r>
  <r>
    <s v="CUST0669"/>
    <s v="Shawn Austin"/>
    <n v="41"/>
    <s v="Other"/>
    <s v="Monthly"/>
    <d v="2024-03-20T00:00:00"/>
    <d v="2026-04-09T00:00:00"/>
    <n v="6"/>
    <n v="1"/>
    <n v="1"/>
    <x v="30"/>
  </r>
  <r>
    <s v="CUST0670"/>
    <s v="Gina Cruz"/>
    <n v="48"/>
    <s v="Female"/>
    <s v="Monthly"/>
    <d v="2025-07-02T00:00:00"/>
    <d v="2026-03-16T00:00:00"/>
    <n v="35"/>
    <n v="10"/>
    <n v="0"/>
    <x v="12"/>
  </r>
  <r>
    <s v="CUST0671"/>
    <s v="Tonya Olson"/>
    <n v="31"/>
    <s v="Other"/>
    <s v="Yearly"/>
    <d v="2023-10-14T00:00:00"/>
    <d v="2026-04-19T00:00:00"/>
    <n v="1"/>
    <n v="3"/>
    <n v="1"/>
    <x v="8"/>
  </r>
  <r>
    <s v="CUST0672"/>
    <s v="William Walker"/>
    <n v="29"/>
    <s v="Other"/>
    <s v="Monthly"/>
    <d v="2025-07-16T00:00:00"/>
    <d v="2026-02-07T00:00:00"/>
    <n v="17"/>
    <n v="4"/>
    <n v="1"/>
    <x v="12"/>
  </r>
  <r>
    <s v="CUST0673"/>
    <s v="Amanda Anderson"/>
    <n v="38"/>
    <s v="Female"/>
    <s v="Quarterly"/>
    <d v="2025-06-16T00:00:00"/>
    <d v="2026-02-16T00:00:00"/>
    <n v="68"/>
    <n v="10"/>
    <n v="0"/>
    <x v="27"/>
  </r>
  <r>
    <s v="CUST0674"/>
    <s v="Lawrence Heath"/>
    <n v="52"/>
    <s v="Female"/>
    <s v="Yearly"/>
    <d v="2024-02-21T00:00:00"/>
    <d v="2026-02-10T00:00:00"/>
    <n v="73"/>
    <n v="4"/>
    <n v="1"/>
    <x v="3"/>
  </r>
  <r>
    <s v="CUST0675"/>
    <s v="Sarah Brown"/>
    <n v="20"/>
    <s v="Female"/>
    <s v="Yearly"/>
    <d v="2024-04-13T00:00:00"/>
    <d v="2026-04-21T00:00:00"/>
    <n v="67"/>
    <n v="5"/>
    <n v="1"/>
    <x v="0"/>
  </r>
  <r>
    <s v="CUST0676"/>
    <s v="Timothy Hernandez"/>
    <n v="38"/>
    <s v="Other"/>
    <s v="Monthly"/>
    <d v="2023-12-27T00:00:00"/>
    <d v="2026-02-11T00:00:00"/>
    <n v="59"/>
    <n v="1"/>
    <n v="1"/>
    <x v="5"/>
  </r>
  <r>
    <s v="CUST0677"/>
    <s v="Kirsten Young"/>
    <n v="35"/>
    <s v="Male"/>
    <s v="Monthly"/>
    <d v="2026-02-25T00:00:00"/>
    <d v="2026-02-19T00:00:00"/>
    <n v="3"/>
    <n v="3"/>
    <n v="1"/>
    <x v="16"/>
  </r>
  <r>
    <s v="CUST0678"/>
    <s v="Gregory Dalton"/>
    <n v="52"/>
    <s v="Female"/>
    <s v="Monthly"/>
    <d v="2025-05-21T00:00:00"/>
    <d v="2026-05-08T00:00:00"/>
    <n v="6"/>
    <n v="1"/>
    <n v="0"/>
    <x v="2"/>
  </r>
  <r>
    <s v="CUST0679"/>
    <s v="John Holloway"/>
    <n v="19"/>
    <s v="Other"/>
    <s v="Yearly"/>
    <d v="2025-09-24T00:00:00"/>
    <d v="2026-01-11T00:00:00"/>
    <n v="80"/>
    <n v="1"/>
    <n v="1"/>
    <x v="13"/>
  </r>
  <r>
    <s v="CUST0680"/>
    <s v="Holly Buckley"/>
    <n v="53"/>
    <s v="Male"/>
    <s v="Quarterly"/>
    <d v="2025-01-12T00:00:00"/>
    <d v="2026-04-05T00:00:00"/>
    <n v="18"/>
    <n v="2"/>
    <n v="1"/>
    <x v="23"/>
  </r>
  <r>
    <s v="CUST0681"/>
    <s v="Robert Case"/>
    <n v="56"/>
    <s v="Other"/>
    <s v="Yearly"/>
    <d v="2025-11-02T00:00:00"/>
    <d v="2026-02-21T00:00:00"/>
    <n v="23"/>
    <n v="10"/>
    <n v="0"/>
    <x v="4"/>
  </r>
  <r>
    <s v="CUST0682"/>
    <s v="Crystal Hunter"/>
    <n v="47"/>
    <s v="Other"/>
    <s v="Monthly"/>
    <d v="2025-04-24T00:00:00"/>
    <d v="2026-02-12T00:00:00"/>
    <n v="65"/>
    <n v="5"/>
    <n v="1"/>
    <x v="17"/>
  </r>
  <r>
    <s v="CUST0683"/>
    <s v="Tyler Hammond"/>
    <n v="20"/>
    <s v="Female"/>
    <s v="Monthly"/>
    <d v="2024-09-17T00:00:00"/>
    <d v="2026-03-31T00:00:00"/>
    <n v="14"/>
    <n v="4"/>
    <n v="1"/>
    <x v="10"/>
  </r>
  <r>
    <s v="CUST0684"/>
    <s v="Paul Sanchez"/>
    <n v="43"/>
    <s v="Male"/>
    <s v="Yearly"/>
    <d v="2026-01-02T00:00:00"/>
    <d v="2026-03-19T00:00:00"/>
    <n v="17"/>
    <n v="1"/>
    <n v="0"/>
    <x v="29"/>
  </r>
  <r>
    <s v="CUST0685"/>
    <s v="Tanya Lindsey"/>
    <n v="40"/>
    <s v="Male"/>
    <s v="Quarterly"/>
    <d v="2025-07-19T00:00:00"/>
    <d v="2026-01-11T00:00:00"/>
    <n v="27"/>
    <n v="10"/>
    <n v="1"/>
    <x v="12"/>
  </r>
  <r>
    <s v="CUST0686"/>
    <s v="Terrance Beck"/>
    <n v="33"/>
    <s v="Female"/>
    <s v="Monthly"/>
    <d v="2024-07-09T00:00:00"/>
    <d v="2026-01-16T00:00:00"/>
    <n v="30"/>
    <n v="1"/>
    <n v="0"/>
    <x v="15"/>
  </r>
  <r>
    <s v="CUST0687"/>
    <s v="Sharon Martinez"/>
    <n v="34"/>
    <s v="Female"/>
    <s v="Monthly"/>
    <d v="2025-04-24T00:00:00"/>
    <d v="2026-04-16T00:00:00"/>
    <n v="14"/>
    <n v="9"/>
    <n v="0"/>
    <x v="17"/>
  </r>
  <r>
    <s v="CUST0688"/>
    <s v="John Lowery"/>
    <n v="45"/>
    <s v="Female"/>
    <s v="Monthly"/>
    <d v="2025-07-25T00:00:00"/>
    <d v="2026-03-01T00:00:00"/>
    <n v="57"/>
    <n v="10"/>
    <n v="0"/>
    <x v="12"/>
  </r>
  <r>
    <s v="CUST0689"/>
    <s v="Diana Graham"/>
    <n v="40"/>
    <s v="Male"/>
    <s v="Quarterly"/>
    <d v="2024-03-22T00:00:00"/>
    <d v="2026-03-28T00:00:00"/>
    <n v="27"/>
    <n v="7"/>
    <n v="0"/>
    <x v="30"/>
  </r>
  <r>
    <s v="CUST0690"/>
    <s v="Geoffrey Prince"/>
    <n v="45"/>
    <s v="Other"/>
    <s v="Yearly"/>
    <d v="2026-04-08T00:00:00"/>
    <d v="2026-03-19T00:00:00"/>
    <n v="69"/>
    <n v="6"/>
    <n v="0"/>
    <x v="31"/>
  </r>
  <r>
    <s v="CUST0691"/>
    <s v="Mr. Carl Hopkins"/>
    <n v="60"/>
    <s v="Other"/>
    <s v="Monthly"/>
    <d v="2023-12-03T00:00:00"/>
    <d v="2026-03-26T00:00:00"/>
    <n v="26"/>
    <n v="5"/>
    <n v="0"/>
    <x v="5"/>
  </r>
  <r>
    <s v="CUST0692"/>
    <s v="Laura Wade"/>
    <n v="50"/>
    <s v="Other"/>
    <s v="Monthly"/>
    <d v="2025-08-13T00:00:00"/>
    <d v="2026-01-15T00:00:00"/>
    <n v="12"/>
    <n v="6"/>
    <n v="1"/>
    <x v="20"/>
  </r>
  <r>
    <s v="CUST0693"/>
    <s v="Theresa Sanchez"/>
    <n v="45"/>
    <s v="Male"/>
    <s v="Monthly"/>
    <d v="2023-11-12T00:00:00"/>
    <d v="2026-02-18T00:00:00"/>
    <n v="12"/>
    <n v="7"/>
    <n v="1"/>
    <x v="1"/>
  </r>
  <r>
    <s v="CUST0694"/>
    <s v="Donald Hawkins"/>
    <n v="40"/>
    <s v="Female"/>
    <s v="Monthly"/>
    <d v="2024-07-30T00:00:00"/>
    <d v="2026-02-08T00:00:00"/>
    <n v="69"/>
    <n v="9"/>
    <n v="0"/>
    <x v="15"/>
  </r>
  <r>
    <s v="CUST0695"/>
    <s v="Jeffrey Tran"/>
    <n v="38"/>
    <s v="Female"/>
    <s v="Quarterly"/>
    <d v="2024-05-29T00:00:00"/>
    <d v="2026-02-17T00:00:00"/>
    <n v="27"/>
    <n v="3"/>
    <n v="0"/>
    <x v="6"/>
  </r>
  <r>
    <s v="CUST0696"/>
    <s v="Antonio Jackson"/>
    <n v="20"/>
    <s v="Other"/>
    <s v="Monthly"/>
    <d v="2026-02-28T00:00:00"/>
    <d v="2026-01-09T00:00:00"/>
    <n v="37"/>
    <n v="5"/>
    <n v="1"/>
    <x v="16"/>
  </r>
  <r>
    <s v="CUST0697"/>
    <s v="Henry Smith"/>
    <n v="59"/>
    <s v="Male"/>
    <s v="Monthly"/>
    <d v="2025-07-22T00:00:00"/>
    <d v="2026-04-25T00:00:00"/>
    <n v="30"/>
    <n v="3"/>
    <n v="0"/>
    <x v="12"/>
  </r>
  <r>
    <s v="CUST0698"/>
    <s v="John Taylor"/>
    <n v="26"/>
    <s v="Female"/>
    <s v="Monthly"/>
    <d v="2025-11-14T00:00:00"/>
    <d v="2026-02-13T00:00:00"/>
    <n v="29"/>
    <n v="6"/>
    <n v="0"/>
    <x v="4"/>
  </r>
  <r>
    <s v="CUST0699"/>
    <s v="Cristina Moore"/>
    <n v="40"/>
    <s v="Female"/>
    <s v="Monthly"/>
    <d v="2025-06-11T00:00:00"/>
    <d v="2026-03-15T00:00:00"/>
    <n v="60"/>
    <n v="2"/>
    <n v="1"/>
    <x v="27"/>
  </r>
  <r>
    <s v="CUST0700"/>
    <s v="Scott Rodriguez"/>
    <n v="27"/>
    <s v="Other"/>
    <s v="Quarterly"/>
    <d v="2025-10-09T00:00:00"/>
    <d v="2026-02-26T00:00:00"/>
    <n v="9"/>
    <n v="2"/>
    <n v="0"/>
    <x v="25"/>
  </r>
  <r>
    <s v="CUST0701"/>
    <s v="Lori Lawrence"/>
    <n v="60"/>
    <s v="Female"/>
    <s v="Monthly"/>
    <d v="2024-08-17T00:00:00"/>
    <d v="2026-04-26T00:00:00"/>
    <n v="45"/>
    <n v="4"/>
    <n v="0"/>
    <x v="21"/>
  </r>
  <r>
    <s v="CUST0702"/>
    <s v="Valerie Williams"/>
    <n v="25"/>
    <s v="Male"/>
    <s v="Yearly"/>
    <d v="2023-08-17T00:00:00"/>
    <d v="2026-02-27T00:00:00"/>
    <n v="74"/>
    <n v="8"/>
    <n v="0"/>
    <x v="32"/>
  </r>
  <r>
    <s v="CUST0703"/>
    <s v="Kathy Castro"/>
    <n v="36"/>
    <s v="Other"/>
    <s v="Monthly"/>
    <d v="2023-11-28T00:00:00"/>
    <d v="2026-04-21T00:00:00"/>
    <n v="80"/>
    <n v="5"/>
    <n v="1"/>
    <x v="1"/>
  </r>
  <r>
    <s v="CUST0704"/>
    <s v="Benjamin White"/>
    <n v="36"/>
    <s v="Female"/>
    <s v="Monthly"/>
    <d v="2025-04-05T00:00:00"/>
    <d v="2026-02-27T00:00:00"/>
    <n v="21"/>
    <n v="7"/>
    <n v="0"/>
    <x v="17"/>
  </r>
  <r>
    <s v="CUST0705"/>
    <s v="Chelsea Mcdowell"/>
    <n v="31"/>
    <s v="Other"/>
    <s v="Monthly"/>
    <d v="2025-05-21T00:00:00"/>
    <d v="2026-02-17T00:00:00"/>
    <n v="77"/>
    <n v="4"/>
    <n v="1"/>
    <x v="2"/>
  </r>
  <r>
    <s v="CUST0706"/>
    <s v="Crystal Johnson"/>
    <n v="43"/>
    <s v="Female"/>
    <s v="Monthly"/>
    <d v="2025-11-30T00:00:00"/>
    <d v="2026-04-03T00:00:00"/>
    <n v="32"/>
    <n v="10"/>
    <n v="0"/>
    <x v="4"/>
  </r>
  <r>
    <s v="CUST0707"/>
    <s v="Elizabeth Acosta"/>
    <n v="56"/>
    <s v="Male"/>
    <s v="Monthly"/>
    <d v="2025-11-20T00:00:00"/>
    <d v="2026-04-09T00:00:00"/>
    <n v="74"/>
    <n v="7"/>
    <n v="1"/>
    <x v="4"/>
  </r>
  <r>
    <s v="CUST0708"/>
    <s v="Rachel Middleton"/>
    <n v="28"/>
    <s v="Other"/>
    <s v="Monthly"/>
    <d v="2024-05-07T00:00:00"/>
    <d v="2026-04-23T00:00:00"/>
    <n v="15"/>
    <n v="7"/>
    <n v="0"/>
    <x v="6"/>
  </r>
  <r>
    <s v="CUST0709"/>
    <s v="Michael Shea DVM"/>
    <n v="23"/>
    <s v="Male"/>
    <s v="Monthly"/>
    <d v="2026-01-13T00:00:00"/>
    <d v="2026-02-25T00:00:00"/>
    <n v="59"/>
    <n v="4"/>
    <n v="1"/>
    <x v="29"/>
  </r>
  <r>
    <s v="CUST0710"/>
    <s v="Krystal Duncan"/>
    <n v="26"/>
    <s v="Female"/>
    <s v="Quarterly"/>
    <d v="2025-07-12T00:00:00"/>
    <d v="2026-03-08T00:00:00"/>
    <n v="28"/>
    <n v="3"/>
    <n v="1"/>
    <x v="12"/>
  </r>
  <r>
    <s v="CUST0711"/>
    <s v="Kristin Lopez"/>
    <n v="38"/>
    <s v="Male"/>
    <s v="Monthly"/>
    <d v="2024-07-16T00:00:00"/>
    <d v="2026-02-12T00:00:00"/>
    <n v="15"/>
    <n v="10"/>
    <n v="0"/>
    <x v="15"/>
  </r>
  <r>
    <s v="CUST0712"/>
    <s v="Kevin Brown"/>
    <n v="39"/>
    <s v="Male"/>
    <s v="Monthly"/>
    <d v="2025-07-07T00:00:00"/>
    <d v="2026-02-24T00:00:00"/>
    <n v="61"/>
    <n v="7"/>
    <n v="0"/>
    <x v="12"/>
  </r>
  <r>
    <s v="CUST0713"/>
    <s v="Steve Holloway"/>
    <n v="30"/>
    <s v="Male"/>
    <s v="Quarterly"/>
    <d v="2025-12-26T00:00:00"/>
    <d v="2026-03-30T00:00:00"/>
    <n v="27"/>
    <n v="4"/>
    <n v="0"/>
    <x v="28"/>
  </r>
  <r>
    <s v="CUST0714"/>
    <s v="Jeffrey Mendez"/>
    <n v="33"/>
    <s v="Other"/>
    <s v="Quarterly"/>
    <d v="2024-08-11T00:00:00"/>
    <d v="2026-02-23T00:00:00"/>
    <n v="60"/>
    <n v="5"/>
    <n v="0"/>
    <x v="21"/>
  </r>
  <r>
    <s v="CUST0715"/>
    <s v="Anthony Schmitt"/>
    <n v="23"/>
    <s v="Other"/>
    <s v="Quarterly"/>
    <d v="2024-09-12T00:00:00"/>
    <d v="2026-02-06T00:00:00"/>
    <n v="14"/>
    <n v="10"/>
    <n v="1"/>
    <x v="10"/>
  </r>
  <r>
    <s v="CUST0716"/>
    <s v="Daniel Savage"/>
    <n v="55"/>
    <s v="Male"/>
    <s v="Quarterly"/>
    <d v="2026-01-11T00:00:00"/>
    <d v="2026-03-12T00:00:00"/>
    <n v="11"/>
    <n v="7"/>
    <n v="1"/>
    <x v="29"/>
  </r>
  <r>
    <s v="CUST0717"/>
    <s v="David Schneider"/>
    <n v="46"/>
    <s v="Other"/>
    <s v="Yearly"/>
    <d v="2024-10-01T00:00:00"/>
    <d v="2026-03-30T00:00:00"/>
    <n v="53"/>
    <n v="7"/>
    <n v="0"/>
    <x v="26"/>
  </r>
  <r>
    <s v="CUST0718"/>
    <s v="Christopher Todd"/>
    <n v="21"/>
    <s v="Other"/>
    <s v="Quarterly"/>
    <d v="2023-11-27T00:00:00"/>
    <d v="2026-03-10T00:00:00"/>
    <n v="45"/>
    <n v="10"/>
    <n v="0"/>
    <x v="1"/>
  </r>
  <r>
    <s v="CUST0719"/>
    <s v="Michelle Singh"/>
    <n v="37"/>
    <s v="Male"/>
    <s v="Yearly"/>
    <d v="2026-03-08T00:00:00"/>
    <d v="2026-01-11T00:00:00"/>
    <n v="26"/>
    <n v="1"/>
    <n v="1"/>
    <x v="22"/>
  </r>
  <r>
    <s v="CUST0720"/>
    <s v="Matthew Spears"/>
    <n v="45"/>
    <s v="Male"/>
    <s v="Monthly"/>
    <d v="2024-12-25T00:00:00"/>
    <d v="2026-02-20T00:00:00"/>
    <n v="24"/>
    <n v="7"/>
    <n v="0"/>
    <x v="14"/>
  </r>
  <r>
    <s v="CUST0721"/>
    <s v="Jacob Estrada"/>
    <n v="46"/>
    <s v="Female"/>
    <s v="Yearly"/>
    <d v="2025-02-12T00:00:00"/>
    <d v="2026-04-17T00:00:00"/>
    <n v="36"/>
    <n v="1"/>
    <n v="1"/>
    <x v="19"/>
  </r>
  <r>
    <s v="CUST0722"/>
    <s v="Jeffrey Clark"/>
    <n v="29"/>
    <s v="Male"/>
    <s v="Quarterly"/>
    <d v="2025-11-30T00:00:00"/>
    <d v="2026-01-17T00:00:00"/>
    <n v="12"/>
    <n v="4"/>
    <n v="0"/>
    <x v="4"/>
  </r>
  <r>
    <s v="CUST0723"/>
    <s v="Jennifer Davis"/>
    <n v="31"/>
    <s v="Other"/>
    <s v="Yearly"/>
    <d v="2025-02-02T00:00:00"/>
    <d v="2026-02-23T00:00:00"/>
    <n v="22"/>
    <n v="3"/>
    <n v="0"/>
    <x v="19"/>
  </r>
  <r>
    <s v="CUST0724"/>
    <s v="Christopher Charles"/>
    <n v="32"/>
    <s v="Other"/>
    <s v="Monthly"/>
    <d v="2026-03-12T00:00:00"/>
    <d v="2026-03-13T00:00:00"/>
    <n v="50"/>
    <n v="8"/>
    <n v="0"/>
    <x v="22"/>
  </r>
  <r>
    <s v="CUST0725"/>
    <s v="Donald Jones"/>
    <n v="51"/>
    <s v="Male"/>
    <s v="Monthly"/>
    <d v="2025-08-04T00:00:00"/>
    <d v="2026-04-03T00:00:00"/>
    <n v="37"/>
    <n v="6"/>
    <n v="0"/>
    <x v="20"/>
  </r>
  <r>
    <s v="CUST0726"/>
    <s v="Devon Jones"/>
    <n v="22"/>
    <s v="Female"/>
    <s v="Quarterly"/>
    <d v="2024-06-09T00:00:00"/>
    <d v="2026-03-03T00:00:00"/>
    <n v="45"/>
    <n v="9"/>
    <n v="0"/>
    <x v="11"/>
  </r>
  <r>
    <s v="CUST0727"/>
    <s v="Jessica Ortiz"/>
    <n v="50"/>
    <s v="Other"/>
    <s v="Monthly"/>
    <d v="2024-05-06T00:00:00"/>
    <d v="2026-01-26T00:00:00"/>
    <n v="55"/>
    <n v="9"/>
    <n v="0"/>
    <x v="6"/>
  </r>
  <r>
    <s v="CUST0728"/>
    <s v="Lawrence Sharp"/>
    <n v="53"/>
    <s v="Male"/>
    <s v="Monthly"/>
    <d v="2023-08-16T00:00:00"/>
    <d v="2026-02-13T00:00:00"/>
    <n v="51"/>
    <n v="2"/>
    <n v="1"/>
    <x v="32"/>
  </r>
  <r>
    <s v="CUST0729"/>
    <s v="Maria Thomas"/>
    <n v="45"/>
    <s v="Other"/>
    <s v="Monthly"/>
    <d v="2026-01-15T00:00:00"/>
    <d v="2026-02-06T00:00:00"/>
    <n v="65"/>
    <n v="5"/>
    <n v="1"/>
    <x v="29"/>
  </r>
  <r>
    <s v="CUST0730"/>
    <s v="Erik Jones"/>
    <n v="57"/>
    <s v="Male"/>
    <s v="Yearly"/>
    <d v="2025-12-03T00:00:00"/>
    <d v="2026-03-20T00:00:00"/>
    <n v="55"/>
    <n v="7"/>
    <n v="0"/>
    <x v="28"/>
  </r>
  <r>
    <s v="CUST0731"/>
    <s v="Jennifer Smith"/>
    <n v="45"/>
    <s v="Female"/>
    <s v="Quarterly"/>
    <d v="2026-03-21T00:00:00"/>
    <d v="2026-01-21T00:00:00"/>
    <n v="72"/>
    <n v="4"/>
    <n v="1"/>
    <x v="22"/>
  </r>
  <r>
    <s v="CUST0732"/>
    <s v="Kevin Jackson"/>
    <n v="29"/>
    <s v="Female"/>
    <s v="Monthly"/>
    <d v="2024-04-10T00:00:00"/>
    <d v="2026-03-04T00:00:00"/>
    <n v="78"/>
    <n v="9"/>
    <n v="0"/>
    <x v="0"/>
  </r>
  <r>
    <s v="CUST0733"/>
    <s v="Denise Pena"/>
    <n v="19"/>
    <s v="Other"/>
    <s v="Monthly"/>
    <d v="2024-11-22T00:00:00"/>
    <d v="2026-05-06T00:00:00"/>
    <n v="80"/>
    <n v="2"/>
    <n v="1"/>
    <x v="24"/>
  </r>
  <r>
    <s v="CUST0734"/>
    <s v="Angela Mckee"/>
    <n v="55"/>
    <s v="Female"/>
    <s v="Quarterly"/>
    <d v="2025-09-21T00:00:00"/>
    <d v="2026-05-08T00:00:00"/>
    <n v="62"/>
    <n v="9"/>
    <n v="0"/>
    <x v="13"/>
  </r>
  <r>
    <s v="CUST0735"/>
    <s v="Michelle Martinez"/>
    <n v="57"/>
    <s v="Other"/>
    <s v="Monthly"/>
    <d v="2024-11-05T00:00:00"/>
    <d v="2026-02-12T00:00:00"/>
    <n v="58"/>
    <n v="3"/>
    <n v="0"/>
    <x v="24"/>
  </r>
  <r>
    <s v="CUST0736"/>
    <s v="Tina Johnson"/>
    <n v="46"/>
    <s v="Female"/>
    <s v="Quarterly"/>
    <d v="2025-03-24T00:00:00"/>
    <d v="2026-02-17T00:00:00"/>
    <n v="13"/>
    <n v="3"/>
    <n v="1"/>
    <x v="18"/>
  </r>
  <r>
    <s v="CUST0737"/>
    <s v="Phillip Newton"/>
    <n v="23"/>
    <s v="Other"/>
    <s v="Monthly"/>
    <d v="2024-04-02T00:00:00"/>
    <d v="2026-05-08T00:00:00"/>
    <n v="74"/>
    <n v="9"/>
    <n v="0"/>
    <x v="0"/>
  </r>
  <r>
    <s v="CUST0738"/>
    <s v="Paul Flores"/>
    <n v="39"/>
    <s v="Other"/>
    <s v="Monthly"/>
    <d v="2023-12-26T00:00:00"/>
    <d v="2026-01-20T00:00:00"/>
    <n v="18"/>
    <n v="5"/>
    <n v="0"/>
    <x v="5"/>
  </r>
  <r>
    <s v="CUST0739"/>
    <s v="Amy Murray"/>
    <n v="53"/>
    <s v="Male"/>
    <s v="Quarterly"/>
    <d v="2025-09-22T00:00:00"/>
    <d v="2026-01-13T00:00:00"/>
    <n v="43"/>
    <n v="5"/>
    <n v="0"/>
    <x v="13"/>
  </r>
  <r>
    <s v="CUST0740"/>
    <s v="Michael Peterson"/>
    <n v="20"/>
    <s v="Male"/>
    <s v="Monthly"/>
    <d v="2025-01-01T00:00:00"/>
    <d v="2026-03-24T00:00:00"/>
    <n v="4"/>
    <n v="9"/>
    <n v="1"/>
    <x v="23"/>
  </r>
  <r>
    <s v="CUST0741"/>
    <s v="Erica Pugh"/>
    <n v="27"/>
    <s v="Other"/>
    <s v="Monthly"/>
    <d v="2023-12-06T00:00:00"/>
    <d v="2026-05-08T00:00:00"/>
    <n v="48"/>
    <n v="10"/>
    <n v="0"/>
    <x v="5"/>
  </r>
  <r>
    <s v="CUST0742"/>
    <s v="Matthew Lopez"/>
    <n v="37"/>
    <s v="Female"/>
    <s v="Quarterly"/>
    <d v="2025-03-13T00:00:00"/>
    <d v="2026-05-04T00:00:00"/>
    <n v="28"/>
    <n v="8"/>
    <n v="0"/>
    <x v="18"/>
  </r>
  <r>
    <s v="CUST0743"/>
    <s v="Maria Mitchell"/>
    <n v="59"/>
    <s v="Female"/>
    <s v="Quarterly"/>
    <d v="2023-10-31T00:00:00"/>
    <d v="2026-04-20T00:00:00"/>
    <n v="25"/>
    <n v="7"/>
    <n v="0"/>
    <x v="8"/>
  </r>
  <r>
    <s v="CUST0744"/>
    <s v="Jeffrey Arnold"/>
    <n v="35"/>
    <s v="Female"/>
    <s v="Monthly"/>
    <d v="2024-07-20T00:00:00"/>
    <d v="2026-03-04T00:00:00"/>
    <n v="9"/>
    <n v="2"/>
    <n v="1"/>
    <x v="15"/>
  </r>
  <r>
    <s v="CUST0745"/>
    <s v="Kayla Mcgee"/>
    <n v="35"/>
    <s v="Other"/>
    <s v="Quarterly"/>
    <d v="2024-12-20T00:00:00"/>
    <d v="2026-03-02T00:00:00"/>
    <n v="50"/>
    <n v="5"/>
    <n v="0"/>
    <x v="14"/>
  </r>
  <r>
    <s v="CUST0746"/>
    <s v="Mr. Robert Brooks"/>
    <n v="58"/>
    <s v="Male"/>
    <s v="Yearly"/>
    <d v="2025-02-27T00:00:00"/>
    <d v="2026-02-01T00:00:00"/>
    <n v="67"/>
    <n v="8"/>
    <n v="0"/>
    <x v="19"/>
  </r>
  <r>
    <s v="CUST0747"/>
    <s v="Christopher Anderson"/>
    <n v="26"/>
    <s v="Other"/>
    <s v="Monthly"/>
    <d v="2023-12-13T00:00:00"/>
    <d v="2026-05-04T00:00:00"/>
    <n v="2"/>
    <n v="2"/>
    <n v="1"/>
    <x v="5"/>
  </r>
  <r>
    <s v="CUST0748"/>
    <s v="Michael Levine"/>
    <n v="50"/>
    <s v="Male"/>
    <s v="Monthly"/>
    <d v="2024-01-01T00:00:00"/>
    <d v="2026-04-13T00:00:00"/>
    <n v="25"/>
    <n v="10"/>
    <n v="0"/>
    <x v="9"/>
  </r>
  <r>
    <s v="CUST0749"/>
    <s v="Jeffrey Wilson"/>
    <n v="27"/>
    <s v="Female"/>
    <s v="Quarterly"/>
    <d v="2024-07-14T00:00:00"/>
    <d v="2026-02-02T00:00:00"/>
    <n v="39"/>
    <n v="1"/>
    <n v="1"/>
    <x v="15"/>
  </r>
  <r>
    <s v="CUST0750"/>
    <s v="Ashley Travis"/>
    <n v="32"/>
    <s v="Female"/>
    <s v="Monthly"/>
    <d v="2024-08-29T00:00:00"/>
    <d v="2026-04-23T00:00:00"/>
    <n v="13"/>
    <n v="9"/>
    <n v="0"/>
    <x v="21"/>
  </r>
  <r>
    <s v="CUST0751"/>
    <s v="Warren Acevedo"/>
    <n v="23"/>
    <s v="Male"/>
    <s v="Quarterly"/>
    <d v="2024-01-17T00:00:00"/>
    <d v="2026-02-03T00:00:00"/>
    <n v="62"/>
    <n v="1"/>
    <n v="1"/>
    <x v="9"/>
  </r>
  <r>
    <s v="CUST0752"/>
    <s v="Ann Roy"/>
    <n v="23"/>
    <s v="Male"/>
    <s v="Monthly"/>
    <d v="2025-05-12T00:00:00"/>
    <d v="2026-04-16T00:00:00"/>
    <n v="51"/>
    <n v="6"/>
    <n v="0"/>
    <x v="2"/>
  </r>
  <r>
    <s v="CUST0753"/>
    <s v="Paula Ball"/>
    <n v="46"/>
    <s v="Male"/>
    <s v="Monthly"/>
    <d v="2023-12-29T00:00:00"/>
    <d v="2026-02-16T00:00:00"/>
    <n v="51"/>
    <n v="6"/>
    <n v="0"/>
    <x v="5"/>
  </r>
  <r>
    <s v="CUST0754"/>
    <s v="Jeffrey Perez"/>
    <n v="20"/>
    <s v="Male"/>
    <s v="Monthly"/>
    <d v="2024-01-09T00:00:00"/>
    <d v="2026-03-11T00:00:00"/>
    <n v="31"/>
    <n v="6"/>
    <n v="0"/>
    <x v="9"/>
  </r>
  <r>
    <s v="CUST0755"/>
    <s v="Rebecca Barr"/>
    <n v="59"/>
    <s v="Male"/>
    <s v="Yearly"/>
    <d v="2023-09-13T00:00:00"/>
    <d v="2026-04-01T00:00:00"/>
    <n v="66"/>
    <n v="9"/>
    <n v="0"/>
    <x v="7"/>
  </r>
  <r>
    <s v="CUST0756"/>
    <s v="Kyle Huff"/>
    <n v="47"/>
    <s v="Other"/>
    <s v="Yearly"/>
    <d v="2025-06-21T00:00:00"/>
    <d v="2026-01-24T00:00:00"/>
    <n v="17"/>
    <n v="7"/>
    <n v="1"/>
    <x v="27"/>
  </r>
  <r>
    <s v="CUST0757"/>
    <s v="Angela Wheeler"/>
    <n v="54"/>
    <s v="Other"/>
    <s v="Monthly"/>
    <d v="2026-01-18T00:00:00"/>
    <d v="2026-02-02T00:00:00"/>
    <n v="33"/>
    <n v="5"/>
    <n v="0"/>
    <x v="29"/>
  </r>
  <r>
    <s v="CUST0758"/>
    <s v="Justin Green"/>
    <n v="52"/>
    <s v="Female"/>
    <s v="Quarterly"/>
    <d v="2025-12-24T00:00:00"/>
    <d v="2026-05-04T00:00:00"/>
    <n v="28"/>
    <n v="6"/>
    <n v="0"/>
    <x v="28"/>
  </r>
  <r>
    <s v="CUST0759"/>
    <s v="Nathaniel Armstrong"/>
    <n v="23"/>
    <s v="Female"/>
    <s v="Yearly"/>
    <d v="2025-02-18T00:00:00"/>
    <d v="2026-01-25T00:00:00"/>
    <n v="47"/>
    <n v="6"/>
    <n v="0"/>
    <x v="19"/>
  </r>
  <r>
    <s v="CUST0760"/>
    <s v="Brianna Moore"/>
    <n v="33"/>
    <s v="Female"/>
    <s v="Monthly"/>
    <d v="2025-09-13T00:00:00"/>
    <d v="2026-05-01T00:00:00"/>
    <n v="40"/>
    <n v="10"/>
    <n v="1"/>
    <x v="13"/>
  </r>
  <r>
    <s v="CUST0761"/>
    <s v="Elizabeth Mccann"/>
    <n v="43"/>
    <s v="Female"/>
    <s v="Monthly"/>
    <d v="2025-02-27T00:00:00"/>
    <d v="2026-02-25T00:00:00"/>
    <n v="25"/>
    <n v="2"/>
    <n v="0"/>
    <x v="19"/>
  </r>
  <r>
    <s v="CUST0762"/>
    <s v="David Fletcher"/>
    <n v="34"/>
    <s v="Other"/>
    <s v="Monthly"/>
    <d v="2024-01-05T00:00:00"/>
    <d v="2026-05-01T00:00:00"/>
    <n v="17"/>
    <n v="10"/>
    <n v="0"/>
    <x v="9"/>
  </r>
  <r>
    <s v="CUST0763"/>
    <s v="Mary Chavez"/>
    <n v="38"/>
    <s v="Female"/>
    <s v="Monthly"/>
    <d v="2024-01-30T00:00:00"/>
    <d v="2026-02-10T00:00:00"/>
    <n v="29"/>
    <n v="7"/>
    <n v="1"/>
    <x v="9"/>
  </r>
  <r>
    <s v="CUST0764"/>
    <s v="Dennis Jackson"/>
    <n v="24"/>
    <s v="Female"/>
    <s v="Yearly"/>
    <d v="2026-02-17T00:00:00"/>
    <d v="2026-04-09T00:00:00"/>
    <n v="5"/>
    <n v="3"/>
    <n v="1"/>
    <x v="16"/>
  </r>
  <r>
    <s v="CUST0765"/>
    <s v="Jennifer Hensley"/>
    <n v="19"/>
    <s v="Male"/>
    <s v="Quarterly"/>
    <d v="2024-01-27T00:00:00"/>
    <d v="2026-02-22T00:00:00"/>
    <n v="68"/>
    <n v="9"/>
    <n v="1"/>
    <x v="9"/>
  </r>
  <r>
    <s v="CUST0766"/>
    <s v="Daniel Mcconnell"/>
    <n v="28"/>
    <s v="Male"/>
    <s v="Yearly"/>
    <d v="2025-11-10T00:00:00"/>
    <d v="2026-04-24T00:00:00"/>
    <n v="72"/>
    <n v="10"/>
    <n v="0"/>
    <x v="4"/>
  </r>
  <r>
    <s v="CUST0767"/>
    <s v="George Thomas"/>
    <n v="52"/>
    <s v="Male"/>
    <s v="Quarterly"/>
    <d v="2025-08-28T00:00:00"/>
    <d v="2026-03-08T00:00:00"/>
    <n v="45"/>
    <n v="5"/>
    <n v="0"/>
    <x v="20"/>
  </r>
  <r>
    <s v="CUST0768"/>
    <s v="Morgan Hamilton"/>
    <n v="46"/>
    <s v="Other"/>
    <s v="Monthly"/>
    <d v="2026-03-15T00:00:00"/>
    <d v="2026-03-15T00:00:00"/>
    <n v="20"/>
    <n v="8"/>
    <n v="1"/>
    <x v="22"/>
  </r>
  <r>
    <s v="CUST0769"/>
    <s v="Matthew Arnold"/>
    <n v="29"/>
    <s v="Female"/>
    <s v="Quarterly"/>
    <d v="2025-01-08T00:00:00"/>
    <d v="2026-03-22T00:00:00"/>
    <n v="25"/>
    <n v="10"/>
    <n v="0"/>
    <x v="23"/>
  </r>
  <r>
    <s v="CUST0770"/>
    <s v="Chase Carrillo"/>
    <n v="38"/>
    <s v="Other"/>
    <s v="Yearly"/>
    <d v="2025-03-04T00:00:00"/>
    <d v="2026-02-17T00:00:00"/>
    <n v="6"/>
    <n v="6"/>
    <n v="0"/>
    <x v="18"/>
  </r>
  <r>
    <s v="CUST0771"/>
    <s v="Dave Buckley"/>
    <n v="18"/>
    <s v="Other"/>
    <s v="Quarterly"/>
    <d v="2024-12-02T00:00:00"/>
    <d v="2026-01-08T00:00:00"/>
    <n v="13"/>
    <n v="3"/>
    <n v="1"/>
    <x v="14"/>
  </r>
  <r>
    <s v="CUST0772"/>
    <s v="Timothy Williams"/>
    <n v="18"/>
    <s v="Female"/>
    <s v="Yearly"/>
    <d v="2026-02-14T00:00:00"/>
    <d v="2026-03-13T00:00:00"/>
    <n v="9"/>
    <n v="1"/>
    <n v="0"/>
    <x v="16"/>
  </r>
  <r>
    <s v="CUST0773"/>
    <s v="Charles Wilkins"/>
    <n v="32"/>
    <s v="Other"/>
    <s v="Quarterly"/>
    <d v="2025-08-06T00:00:00"/>
    <d v="2026-03-29T00:00:00"/>
    <n v="44"/>
    <n v="6"/>
    <n v="0"/>
    <x v="20"/>
  </r>
  <r>
    <s v="CUST0774"/>
    <s v="Catherine Joseph"/>
    <n v="40"/>
    <s v="Male"/>
    <s v="Quarterly"/>
    <d v="2023-09-11T00:00:00"/>
    <d v="2026-04-08T00:00:00"/>
    <n v="68"/>
    <n v="9"/>
    <n v="1"/>
    <x v="7"/>
  </r>
  <r>
    <s v="CUST0775"/>
    <s v="Daniel Moore"/>
    <n v="54"/>
    <s v="Other"/>
    <s v="Quarterly"/>
    <d v="2024-02-13T00:00:00"/>
    <d v="2026-02-26T00:00:00"/>
    <n v="65"/>
    <n v="7"/>
    <n v="1"/>
    <x v="3"/>
  </r>
  <r>
    <s v="CUST0776"/>
    <s v="Sandra Price"/>
    <n v="29"/>
    <s v="Male"/>
    <s v="Monthly"/>
    <d v="2024-04-29T00:00:00"/>
    <d v="2026-04-08T00:00:00"/>
    <n v="21"/>
    <n v="7"/>
    <n v="0"/>
    <x v="0"/>
  </r>
  <r>
    <s v="CUST0777"/>
    <s v="Brian Gaines MD"/>
    <n v="25"/>
    <s v="Male"/>
    <s v="Monthly"/>
    <d v="2024-10-04T00:00:00"/>
    <d v="2026-03-05T00:00:00"/>
    <n v="59"/>
    <n v="8"/>
    <n v="0"/>
    <x v="26"/>
  </r>
  <r>
    <s v="CUST0778"/>
    <s v="David Hooper"/>
    <n v="24"/>
    <s v="Female"/>
    <s v="Quarterly"/>
    <d v="2026-01-12T00:00:00"/>
    <d v="2026-04-11T00:00:00"/>
    <n v="58"/>
    <n v="7"/>
    <n v="1"/>
    <x v="29"/>
  </r>
  <r>
    <s v="CUST0779"/>
    <s v="Whitney Forbes"/>
    <n v="50"/>
    <s v="Other"/>
    <s v="Quarterly"/>
    <d v="2024-10-01T00:00:00"/>
    <d v="2026-02-20T00:00:00"/>
    <n v="53"/>
    <n v="8"/>
    <n v="0"/>
    <x v="26"/>
  </r>
  <r>
    <s v="CUST0780"/>
    <s v="Thomas Hall"/>
    <n v="41"/>
    <s v="Other"/>
    <s v="Monthly"/>
    <d v="2024-06-27T00:00:00"/>
    <d v="2026-02-21T00:00:00"/>
    <n v="31"/>
    <n v="10"/>
    <n v="1"/>
    <x v="11"/>
  </r>
  <r>
    <s v="CUST0781"/>
    <s v="Dylan Brooks"/>
    <n v="38"/>
    <s v="Male"/>
    <s v="Monthly"/>
    <d v="2023-08-21T00:00:00"/>
    <d v="2026-01-14T00:00:00"/>
    <n v="26"/>
    <n v="3"/>
    <n v="0"/>
    <x v="32"/>
  </r>
  <r>
    <s v="CUST0782"/>
    <s v="Jesse Mccarthy"/>
    <n v="36"/>
    <s v="Male"/>
    <s v="Quarterly"/>
    <d v="2026-02-01T00:00:00"/>
    <d v="2026-03-15T00:00:00"/>
    <n v="49"/>
    <n v="7"/>
    <n v="0"/>
    <x v="16"/>
  </r>
  <r>
    <s v="CUST0783"/>
    <s v="Kelly Dougherty"/>
    <n v="41"/>
    <s v="Other"/>
    <s v="Monthly"/>
    <d v="2024-10-14T00:00:00"/>
    <d v="2026-02-22T00:00:00"/>
    <n v="30"/>
    <n v="7"/>
    <n v="0"/>
    <x v="26"/>
  </r>
  <r>
    <s v="CUST0784"/>
    <s v="Mark Hill"/>
    <n v="35"/>
    <s v="Other"/>
    <s v="Quarterly"/>
    <d v="2024-12-02T00:00:00"/>
    <d v="2026-03-18T00:00:00"/>
    <n v="57"/>
    <n v="5"/>
    <n v="0"/>
    <x v="14"/>
  </r>
  <r>
    <s v="CUST0785"/>
    <s v="Michele Hernandez"/>
    <n v="29"/>
    <s v="Female"/>
    <s v="Quarterly"/>
    <d v="2025-03-27T00:00:00"/>
    <d v="2026-04-04T00:00:00"/>
    <n v="37"/>
    <n v="3"/>
    <n v="0"/>
    <x v="18"/>
  </r>
  <r>
    <s v="CUST0786"/>
    <s v="Kelly Price"/>
    <n v="25"/>
    <s v="Female"/>
    <s v="Yearly"/>
    <d v="2023-08-18T00:00:00"/>
    <d v="2026-03-04T00:00:00"/>
    <n v="56"/>
    <n v="8"/>
    <n v="0"/>
    <x v="32"/>
  </r>
  <r>
    <s v="CUST0787"/>
    <s v="Matthew Hunt"/>
    <n v="57"/>
    <s v="Female"/>
    <s v="Monthly"/>
    <d v="2024-06-01T00:00:00"/>
    <d v="2026-03-12T00:00:00"/>
    <n v="41"/>
    <n v="9"/>
    <n v="0"/>
    <x v="11"/>
  </r>
  <r>
    <s v="CUST0788"/>
    <s v="Brittany Acevedo"/>
    <n v="32"/>
    <s v="Female"/>
    <s v="Monthly"/>
    <d v="2024-08-24T00:00:00"/>
    <d v="2026-02-15T00:00:00"/>
    <n v="6"/>
    <n v="4"/>
    <n v="1"/>
    <x v="21"/>
  </r>
  <r>
    <s v="CUST0789"/>
    <s v="Angela Buchanan"/>
    <n v="22"/>
    <s v="Other"/>
    <s v="Quarterly"/>
    <d v="2024-11-04T00:00:00"/>
    <d v="2026-04-23T00:00:00"/>
    <n v="47"/>
    <n v="3"/>
    <n v="0"/>
    <x v="24"/>
  </r>
  <r>
    <s v="CUST0790"/>
    <s v="Frank Clayton"/>
    <n v="20"/>
    <s v="Other"/>
    <s v="Quarterly"/>
    <d v="2025-06-16T00:00:00"/>
    <d v="2026-02-26T00:00:00"/>
    <n v="30"/>
    <n v="7"/>
    <n v="0"/>
    <x v="27"/>
  </r>
  <r>
    <s v="CUST0791"/>
    <s v="Adriana Atkins"/>
    <n v="34"/>
    <s v="Other"/>
    <s v="Monthly"/>
    <d v="2024-11-25T00:00:00"/>
    <d v="2026-01-17T00:00:00"/>
    <n v="33"/>
    <n v="10"/>
    <n v="0"/>
    <x v="24"/>
  </r>
  <r>
    <s v="CUST0792"/>
    <s v="Mark Martin"/>
    <n v="33"/>
    <s v="Female"/>
    <s v="Yearly"/>
    <d v="2024-08-23T00:00:00"/>
    <d v="2026-04-08T00:00:00"/>
    <n v="50"/>
    <n v="2"/>
    <n v="0"/>
    <x v="21"/>
  </r>
  <r>
    <s v="CUST0793"/>
    <s v="Gregory Mcintosh"/>
    <n v="55"/>
    <s v="Other"/>
    <s v="Monthly"/>
    <d v="2026-01-09T00:00:00"/>
    <d v="2026-03-18T00:00:00"/>
    <n v="6"/>
    <n v="7"/>
    <n v="0"/>
    <x v="29"/>
  </r>
  <r>
    <s v="CUST0794"/>
    <s v="Ian Cook"/>
    <n v="37"/>
    <s v="Female"/>
    <s v="Monthly"/>
    <d v="2024-08-20T00:00:00"/>
    <d v="2026-01-15T00:00:00"/>
    <n v="71"/>
    <n v="7"/>
    <n v="0"/>
    <x v="21"/>
  </r>
  <r>
    <s v="CUST0795"/>
    <s v="William Wallace"/>
    <n v="22"/>
    <s v="Other"/>
    <s v="Yearly"/>
    <d v="2025-02-06T00:00:00"/>
    <d v="2026-01-25T00:00:00"/>
    <n v="35"/>
    <n v="6"/>
    <n v="1"/>
    <x v="19"/>
  </r>
  <r>
    <s v="CUST0796"/>
    <s v="Meagan Nguyen"/>
    <n v="58"/>
    <s v="Male"/>
    <s v="Yearly"/>
    <d v="2025-12-10T00:00:00"/>
    <d v="2026-04-28T00:00:00"/>
    <n v="79"/>
    <n v="6"/>
    <n v="0"/>
    <x v="28"/>
  </r>
  <r>
    <s v="CUST0797"/>
    <s v="Rhonda Hayes"/>
    <n v="60"/>
    <s v="Other"/>
    <s v="Monthly"/>
    <d v="2026-02-26T00:00:00"/>
    <d v="2026-01-20T00:00:00"/>
    <n v="49"/>
    <n v="10"/>
    <n v="0"/>
    <x v="16"/>
  </r>
  <r>
    <s v="CUST0798"/>
    <s v="Alexander Foley"/>
    <n v="19"/>
    <s v="Male"/>
    <s v="Monthly"/>
    <d v="2025-02-26T00:00:00"/>
    <d v="2026-02-12T00:00:00"/>
    <n v="69"/>
    <n v="6"/>
    <n v="1"/>
    <x v="19"/>
  </r>
  <r>
    <s v="CUST0799"/>
    <s v="Joshua James"/>
    <n v="33"/>
    <s v="Other"/>
    <s v="Yearly"/>
    <d v="2024-01-15T00:00:00"/>
    <d v="2026-03-08T00:00:00"/>
    <n v="11"/>
    <n v="4"/>
    <n v="1"/>
    <x v="9"/>
  </r>
  <r>
    <s v="CUST0800"/>
    <s v="Angela Miller"/>
    <n v="30"/>
    <s v="Male"/>
    <s v="Quarterly"/>
    <d v="2023-12-16T00:00:00"/>
    <d v="2026-03-24T00:00:00"/>
    <n v="40"/>
    <n v="2"/>
    <n v="0"/>
    <x v="5"/>
  </r>
  <r>
    <s v="CUST0801"/>
    <s v="Angela Ortiz"/>
    <n v="60"/>
    <s v="Male"/>
    <s v="Monthly"/>
    <d v="2025-04-24T00:00:00"/>
    <d v="2026-04-04T00:00:00"/>
    <n v="23"/>
    <n v="6"/>
    <n v="0"/>
    <x v="17"/>
  </r>
  <r>
    <s v="CUST0802"/>
    <s v="Valerie Schmidt"/>
    <n v="33"/>
    <s v="Male"/>
    <s v="Monthly"/>
    <d v="2025-01-25T00:00:00"/>
    <d v="2026-04-16T00:00:00"/>
    <n v="55"/>
    <n v="10"/>
    <n v="0"/>
    <x v="23"/>
  </r>
  <r>
    <s v="CUST0803"/>
    <s v="Eric Reed"/>
    <n v="42"/>
    <s v="Other"/>
    <s v="Quarterly"/>
    <d v="2025-11-23T00:00:00"/>
    <d v="2026-02-10T00:00:00"/>
    <n v="33"/>
    <n v="1"/>
    <n v="1"/>
    <x v="4"/>
  </r>
  <r>
    <s v="CUST0804"/>
    <s v="Brianna Thornton"/>
    <n v="23"/>
    <s v="Male"/>
    <s v="Monthly"/>
    <d v="2023-08-24T00:00:00"/>
    <d v="2026-03-08T00:00:00"/>
    <n v="33"/>
    <n v="10"/>
    <n v="1"/>
    <x v="32"/>
  </r>
  <r>
    <s v="CUST0805"/>
    <s v="Michael Lewis"/>
    <n v="26"/>
    <s v="Other"/>
    <s v="Yearly"/>
    <d v="2025-06-23T00:00:00"/>
    <d v="2026-03-27T00:00:00"/>
    <n v="77"/>
    <n v="4"/>
    <n v="0"/>
    <x v="27"/>
  </r>
  <r>
    <s v="CUST0806"/>
    <s v="Matthew Pratt"/>
    <n v="39"/>
    <s v="Other"/>
    <s v="Yearly"/>
    <d v="2025-11-09T00:00:00"/>
    <d v="2026-04-05T00:00:00"/>
    <n v="23"/>
    <n v="2"/>
    <n v="0"/>
    <x v="4"/>
  </r>
  <r>
    <s v="CUST0807"/>
    <s v="Christopher Hawkins"/>
    <n v="46"/>
    <s v="Female"/>
    <s v="Monthly"/>
    <d v="2025-04-05T00:00:00"/>
    <d v="2026-01-11T00:00:00"/>
    <n v="70"/>
    <n v="6"/>
    <n v="0"/>
    <x v="17"/>
  </r>
  <r>
    <s v="CUST0808"/>
    <s v="Kelly Goodwin"/>
    <n v="27"/>
    <s v="Female"/>
    <s v="Monthly"/>
    <d v="2025-10-23T00:00:00"/>
    <d v="2026-04-06T00:00:00"/>
    <n v="12"/>
    <n v="3"/>
    <n v="1"/>
    <x v="25"/>
  </r>
  <r>
    <s v="CUST0809"/>
    <s v="Christopher Walker"/>
    <n v="26"/>
    <s v="Other"/>
    <s v="Monthly"/>
    <d v="2025-03-09T00:00:00"/>
    <d v="2026-03-19T00:00:00"/>
    <n v="47"/>
    <n v="2"/>
    <n v="0"/>
    <x v="18"/>
  </r>
  <r>
    <s v="CUST0810"/>
    <s v="Jason Conway"/>
    <n v="24"/>
    <s v="Female"/>
    <s v="Monthly"/>
    <d v="2025-07-02T00:00:00"/>
    <d v="2026-03-11T00:00:00"/>
    <n v="79"/>
    <n v="4"/>
    <n v="0"/>
    <x v="12"/>
  </r>
  <r>
    <s v="CUST0811"/>
    <s v="Joseph Orr"/>
    <n v="21"/>
    <s v="Other"/>
    <s v="Yearly"/>
    <d v="2026-02-15T00:00:00"/>
    <d v="2026-02-07T00:00:00"/>
    <n v="54"/>
    <n v="10"/>
    <n v="1"/>
    <x v="16"/>
  </r>
  <r>
    <s v="CUST0812"/>
    <s v="Penny Phillips"/>
    <n v="57"/>
    <s v="Other"/>
    <s v="Yearly"/>
    <d v="2023-10-25T00:00:00"/>
    <d v="2026-04-20T00:00:00"/>
    <n v="66"/>
    <n v="5"/>
    <n v="0"/>
    <x v="8"/>
  </r>
  <r>
    <s v="CUST0813"/>
    <s v="Rebecca Case"/>
    <n v="46"/>
    <s v="Other"/>
    <s v="Monthly"/>
    <d v="2024-09-10T00:00:00"/>
    <d v="2026-02-04T00:00:00"/>
    <n v="28"/>
    <n v="4"/>
    <n v="1"/>
    <x v="10"/>
  </r>
  <r>
    <s v="CUST0814"/>
    <s v="Jenny Armstrong"/>
    <n v="19"/>
    <s v="Male"/>
    <s v="Monthly"/>
    <d v="2026-03-04T00:00:00"/>
    <d v="2026-02-11T00:00:00"/>
    <n v="39"/>
    <n v="1"/>
    <n v="0"/>
    <x v="22"/>
  </r>
  <r>
    <s v="CUST0815"/>
    <s v="Tiffany Miller"/>
    <n v="32"/>
    <s v="Female"/>
    <s v="Quarterly"/>
    <d v="2025-02-26T00:00:00"/>
    <d v="2026-01-26T00:00:00"/>
    <n v="67"/>
    <n v="6"/>
    <n v="0"/>
    <x v="19"/>
  </r>
  <r>
    <s v="CUST0816"/>
    <s v="Robin Hanson"/>
    <n v="55"/>
    <s v="Male"/>
    <s v="Quarterly"/>
    <d v="2025-09-23T00:00:00"/>
    <d v="2026-04-29T00:00:00"/>
    <n v="12"/>
    <n v="1"/>
    <n v="0"/>
    <x v="13"/>
  </r>
  <r>
    <s v="CUST0817"/>
    <s v="Tracey Nguyen"/>
    <n v="44"/>
    <s v="Male"/>
    <s v="Monthly"/>
    <d v="2023-10-10T00:00:00"/>
    <d v="2026-04-22T00:00:00"/>
    <n v="28"/>
    <n v="2"/>
    <n v="0"/>
    <x v="8"/>
  </r>
  <r>
    <s v="CUST0818"/>
    <s v="Mary Torres DDS"/>
    <n v="33"/>
    <s v="Male"/>
    <s v="Monthly"/>
    <d v="2024-10-16T00:00:00"/>
    <d v="2026-03-26T00:00:00"/>
    <n v="46"/>
    <n v="8"/>
    <n v="0"/>
    <x v="26"/>
  </r>
  <r>
    <s v="CUST0819"/>
    <s v="Rachel Benitez"/>
    <n v="57"/>
    <s v="Male"/>
    <s v="Monthly"/>
    <d v="2025-09-26T00:00:00"/>
    <d v="2026-03-29T00:00:00"/>
    <n v="71"/>
    <n v="7"/>
    <n v="1"/>
    <x v="13"/>
  </r>
  <r>
    <s v="CUST0820"/>
    <s v="Dr. Kelli Reed"/>
    <n v="27"/>
    <s v="Male"/>
    <s v="Monthly"/>
    <d v="2024-09-23T00:00:00"/>
    <d v="2026-01-10T00:00:00"/>
    <n v="66"/>
    <n v="5"/>
    <n v="1"/>
    <x v="10"/>
  </r>
  <r>
    <s v="CUST0821"/>
    <s v="Steven Long"/>
    <n v="57"/>
    <s v="Other"/>
    <s v="Monthly"/>
    <d v="2025-04-02T00:00:00"/>
    <d v="2026-03-25T00:00:00"/>
    <n v="46"/>
    <n v="7"/>
    <n v="0"/>
    <x v="17"/>
  </r>
  <r>
    <s v="CUST0822"/>
    <s v="Megan Rhodes"/>
    <n v="42"/>
    <s v="Female"/>
    <s v="Quarterly"/>
    <d v="2025-05-29T00:00:00"/>
    <d v="2026-05-02T00:00:00"/>
    <n v="66"/>
    <n v="3"/>
    <n v="1"/>
    <x v="2"/>
  </r>
  <r>
    <s v="CUST0823"/>
    <s v="Brandon Thompson"/>
    <n v="54"/>
    <s v="Other"/>
    <s v="Quarterly"/>
    <d v="2025-11-14T00:00:00"/>
    <d v="2026-04-12T00:00:00"/>
    <n v="32"/>
    <n v="5"/>
    <n v="0"/>
    <x v="4"/>
  </r>
  <r>
    <s v="CUST0824"/>
    <s v="Melissa Rice"/>
    <n v="24"/>
    <s v="Other"/>
    <s v="Quarterly"/>
    <d v="2024-01-08T00:00:00"/>
    <d v="2026-03-27T00:00:00"/>
    <n v="19"/>
    <n v="6"/>
    <n v="0"/>
    <x v="9"/>
  </r>
  <r>
    <s v="CUST0825"/>
    <s v="Alexandria Marshall"/>
    <n v="47"/>
    <s v="Other"/>
    <s v="Monthly"/>
    <d v="2024-02-03T00:00:00"/>
    <d v="2026-05-07T00:00:00"/>
    <n v="77"/>
    <n v="3"/>
    <n v="1"/>
    <x v="3"/>
  </r>
  <r>
    <s v="CUST0826"/>
    <s v="William Barrett"/>
    <n v="22"/>
    <s v="Male"/>
    <s v="Monthly"/>
    <d v="2024-05-19T00:00:00"/>
    <d v="2026-02-26T00:00:00"/>
    <n v="79"/>
    <n v="2"/>
    <n v="1"/>
    <x v="6"/>
  </r>
  <r>
    <s v="CUST0827"/>
    <s v="Frank Daugherty"/>
    <n v="31"/>
    <s v="Other"/>
    <s v="Monthly"/>
    <d v="2025-04-16T00:00:00"/>
    <d v="2026-03-13T00:00:00"/>
    <n v="14"/>
    <n v="10"/>
    <n v="0"/>
    <x v="17"/>
  </r>
  <r>
    <s v="CUST0828"/>
    <s v="Kristen Brown"/>
    <n v="50"/>
    <s v="Other"/>
    <s v="Quarterly"/>
    <d v="2024-04-13T00:00:00"/>
    <d v="2026-03-09T00:00:00"/>
    <n v="71"/>
    <n v="8"/>
    <n v="0"/>
    <x v="0"/>
  </r>
  <r>
    <s v="CUST0829"/>
    <s v="Randall Armstrong"/>
    <n v="18"/>
    <s v="Female"/>
    <s v="Monthly"/>
    <d v="2024-02-11T00:00:00"/>
    <d v="2026-02-21T00:00:00"/>
    <n v="73"/>
    <n v="9"/>
    <n v="0"/>
    <x v="3"/>
  </r>
  <r>
    <s v="CUST0830"/>
    <s v="Julie Payne"/>
    <n v="43"/>
    <s v="Male"/>
    <s v="Yearly"/>
    <d v="2024-03-09T00:00:00"/>
    <d v="2026-01-10T00:00:00"/>
    <n v="10"/>
    <n v="1"/>
    <n v="0"/>
    <x v="30"/>
  </r>
  <r>
    <s v="CUST0831"/>
    <s v="Matthew Campbell"/>
    <n v="33"/>
    <s v="Female"/>
    <s v="Monthly"/>
    <d v="2024-08-02T00:00:00"/>
    <d v="2026-02-03T00:00:00"/>
    <n v="71"/>
    <n v="1"/>
    <n v="1"/>
    <x v="21"/>
  </r>
  <r>
    <s v="CUST0832"/>
    <s v="Kevin Rios"/>
    <n v="56"/>
    <s v="Female"/>
    <s v="Monthly"/>
    <d v="2025-03-21T00:00:00"/>
    <d v="2026-05-04T00:00:00"/>
    <n v="37"/>
    <n v="8"/>
    <n v="0"/>
    <x v="18"/>
  </r>
  <r>
    <s v="CUST0833"/>
    <s v="Mario Gross"/>
    <n v="41"/>
    <s v="Other"/>
    <s v="Monthly"/>
    <d v="2024-04-30T00:00:00"/>
    <d v="2026-02-14T00:00:00"/>
    <n v="50"/>
    <n v="5"/>
    <n v="0"/>
    <x v="0"/>
  </r>
  <r>
    <s v="CUST0834"/>
    <s v="Michelle Munoz"/>
    <n v="30"/>
    <s v="Female"/>
    <s v="Quarterly"/>
    <d v="2023-09-06T00:00:00"/>
    <d v="2026-04-23T00:00:00"/>
    <n v="69"/>
    <n v="6"/>
    <n v="1"/>
    <x v="7"/>
  </r>
  <r>
    <s v="CUST0835"/>
    <s v="Michael Montoya"/>
    <n v="49"/>
    <s v="Male"/>
    <s v="Monthly"/>
    <d v="2023-10-07T00:00:00"/>
    <d v="2026-03-26T00:00:00"/>
    <n v="26"/>
    <n v="1"/>
    <n v="0"/>
    <x v="8"/>
  </r>
  <r>
    <s v="CUST0836"/>
    <s v="Daniel Berry"/>
    <n v="46"/>
    <s v="Male"/>
    <s v="Monthly"/>
    <d v="2024-01-07T00:00:00"/>
    <d v="2026-02-03T00:00:00"/>
    <n v="13"/>
    <n v="1"/>
    <n v="0"/>
    <x v="9"/>
  </r>
  <r>
    <s v="CUST0837"/>
    <s v="Erik Griffin"/>
    <n v="43"/>
    <s v="Female"/>
    <s v="Yearly"/>
    <d v="2024-12-29T00:00:00"/>
    <d v="2026-04-22T00:00:00"/>
    <n v="32"/>
    <n v="9"/>
    <n v="0"/>
    <x v="14"/>
  </r>
  <r>
    <s v="CUST0838"/>
    <s v="Dawn West"/>
    <n v="51"/>
    <s v="Male"/>
    <s v="Yearly"/>
    <d v="2025-06-16T00:00:00"/>
    <d v="2026-02-07T00:00:00"/>
    <n v="31"/>
    <n v="9"/>
    <n v="1"/>
    <x v="27"/>
  </r>
  <r>
    <s v="CUST0839"/>
    <s v="Clayton Gomez"/>
    <n v="44"/>
    <s v="Female"/>
    <s v="Monthly"/>
    <d v="2026-02-27T00:00:00"/>
    <d v="2026-03-25T00:00:00"/>
    <n v="41"/>
    <n v="7"/>
    <n v="1"/>
    <x v="16"/>
  </r>
  <r>
    <s v="CUST0840"/>
    <s v="Patrick Boyd"/>
    <n v="55"/>
    <s v="Other"/>
    <s v="Monthly"/>
    <d v="2024-10-27T00:00:00"/>
    <d v="2026-02-05T00:00:00"/>
    <n v="35"/>
    <n v="7"/>
    <n v="0"/>
    <x v="26"/>
  </r>
  <r>
    <s v="CUST0841"/>
    <s v="Donald Powell"/>
    <n v="58"/>
    <s v="Other"/>
    <s v="Monthly"/>
    <d v="2023-12-03T00:00:00"/>
    <d v="2026-02-13T00:00:00"/>
    <n v="5"/>
    <n v="8"/>
    <n v="0"/>
    <x v="5"/>
  </r>
  <r>
    <s v="CUST0842"/>
    <s v="Lindsey Oneal"/>
    <n v="30"/>
    <s v="Male"/>
    <s v="Monthly"/>
    <d v="2025-07-01T00:00:00"/>
    <d v="2026-01-28T00:00:00"/>
    <n v="35"/>
    <n v="5"/>
    <n v="1"/>
    <x v="12"/>
  </r>
  <r>
    <s v="CUST0843"/>
    <s v="Cody Gutierrez"/>
    <n v="32"/>
    <s v="Female"/>
    <s v="Quarterly"/>
    <d v="2024-09-13T00:00:00"/>
    <d v="2026-04-11T00:00:00"/>
    <n v="59"/>
    <n v="10"/>
    <n v="0"/>
    <x v="10"/>
  </r>
  <r>
    <s v="CUST0844"/>
    <s v="Cristina Munoz"/>
    <n v="22"/>
    <s v="Other"/>
    <s v="Monthly"/>
    <d v="2025-10-28T00:00:00"/>
    <d v="2026-03-15T00:00:00"/>
    <n v="64"/>
    <n v="7"/>
    <n v="0"/>
    <x v="25"/>
  </r>
  <r>
    <s v="CUST0845"/>
    <s v="Linda Davis"/>
    <n v="49"/>
    <s v="Other"/>
    <s v="Monthly"/>
    <d v="2025-08-04T00:00:00"/>
    <d v="2026-03-01T00:00:00"/>
    <n v="57"/>
    <n v="8"/>
    <n v="0"/>
    <x v="20"/>
  </r>
  <r>
    <s v="CUST0846"/>
    <s v="Helen Garcia"/>
    <n v="47"/>
    <s v="Female"/>
    <s v="Quarterly"/>
    <d v="2025-03-30T00:00:00"/>
    <d v="2026-04-09T00:00:00"/>
    <n v="52"/>
    <n v="3"/>
    <n v="0"/>
    <x v="18"/>
  </r>
  <r>
    <s v="CUST0847"/>
    <s v="Rodney Cobb"/>
    <n v="53"/>
    <s v="Female"/>
    <s v="Monthly"/>
    <d v="2025-09-17T00:00:00"/>
    <d v="2026-02-24T00:00:00"/>
    <n v="1"/>
    <n v="10"/>
    <n v="0"/>
    <x v="13"/>
  </r>
  <r>
    <s v="CUST0848"/>
    <s v="Shawn Walsh"/>
    <n v="54"/>
    <s v="Female"/>
    <s v="Quarterly"/>
    <d v="2025-04-01T00:00:00"/>
    <d v="2026-03-01T00:00:00"/>
    <n v="4"/>
    <n v="1"/>
    <n v="1"/>
    <x v="17"/>
  </r>
  <r>
    <s v="CUST0849"/>
    <s v="Jonathan Mitchell"/>
    <n v="48"/>
    <s v="Other"/>
    <s v="Quarterly"/>
    <d v="2023-11-05T00:00:00"/>
    <d v="2026-01-24T00:00:00"/>
    <n v="55"/>
    <n v="5"/>
    <n v="0"/>
    <x v="1"/>
  </r>
  <r>
    <s v="CUST0850"/>
    <s v="Jesse Anderson"/>
    <n v="33"/>
    <s v="Other"/>
    <s v="Yearly"/>
    <d v="2025-08-03T00:00:00"/>
    <d v="2026-04-03T00:00:00"/>
    <n v="36"/>
    <n v="4"/>
    <n v="0"/>
    <x v="20"/>
  </r>
  <r>
    <s v="CUST0851"/>
    <s v="Jamie Rice"/>
    <n v="18"/>
    <s v="Other"/>
    <s v="Quarterly"/>
    <d v="2025-01-31T00:00:00"/>
    <d v="2026-02-17T00:00:00"/>
    <n v="13"/>
    <n v="6"/>
    <n v="0"/>
    <x v="23"/>
  </r>
  <r>
    <s v="CUST0852"/>
    <s v="Tony Munoz"/>
    <n v="22"/>
    <s v="Male"/>
    <s v="Monthly"/>
    <d v="2023-09-23T00:00:00"/>
    <d v="2026-05-08T00:00:00"/>
    <n v="55"/>
    <n v="1"/>
    <n v="1"/>
    <x v="7"/>
  </r>
  <r>
    <s v="CUST0853"/>
    <s v="Kara Deleon"/>
    <n v="22"/>
    <s v="Other"/>
    <s v="Yearly"/>
    <d v="2023-10-21T00:00:00"/>
    <d v="2026-03-03T00:00:00"/>
    <n v="53"/>
    <n v="8"/>
    <n v="1"/>
    <x v="8"/>
  </r>
  <r>
    <s v="CUST0854"/>
    <s v="Gregory Klein"/>
    <n v="18"/>
    <s v="Other"/>
    <s v="Yearly"/>
    <d v="2025-12-13T00:00:00"/>
    <d v="2026-02-16T00:00:00"/>
    <n v="37"/>
    <n v="9"/>
    <n v="0"/>
    <x v="28"/>
  </r>
  <r>
    <s v="CUST0855"/>
    <s v="Joseph Carr"/>
    <n v="57"/>
    <s v="Other"/>
    <s v="Yearly"/>
    <d v="2025-10-12T00:00:00"/>
    <d v="2026-03-01T00:00:00"/>
    <n v="3"/>
    <n v="4"/>
    <n v="1"/>
    <x v="25"/>
  </r>
  <r>
    <s v="CUST0856"/>
    <s v="Susan Smith"/>
    <n v="29"/>
    <s v="Other"/>
    <s v="Yearly"/>
    <d v="2025-04-16T00:00:00"/>
    <d v="2026-01-31T00:00:00"/>
    <n v="14"/>
    <n v="4"/>
    <n v="1"/>
    <x v="17"/>
  </r>
  <r>
    <s v="CUST0857"/>
    <s v="Andrew Oconnor"/>
    <n v="36"/>
    <s v="Male"/>
    <s v="Monthly"/>
    <d v="2025-05-27T00:00:00"/>
    <d v="2026-02-10T00:00:00"/>
    <n v="28"/>
    <n v="3"/>
    <n v="1"/>
    <x v="2"/>
  </r>
  <r>
    <s v="CUST0858"/>
    <s v="Kimberly Kerr"/>
    <n v="41"/>
    <s v="Male"/>
    <s v="Monthly"/>
    <d v="2025-10-08T00:00:00"/>
    <d v="2026-04-27T00:00:00"/>
    <n v="35"/>
    <n v="7"/>
    <n v="0"/>
    <x v="25"/>
  </r>
  <r>
    <s v="CUST0859"/>
    <s v="Daniel Kaufman"/>
    <n v="26"/>
    <s v="Male"/>
    <s v="Monthly"/>
    <d v="2025-08-30T00:00:00"/>
    <d v="2026-03-02T00:00:00"/>
    <n v="9"/>
    <n v="8"/>
    <n v="1"/>
    <x v="20"/>
  </r>
  <r>
    <s v="CUST0860"/>
    <s v="Kyle Smith"/>
    <n v="24"/>
    <s v="Male"/>
    <s v="Monthly"/>
    <d v="2023-10-01T00:00:00"/>
    <d v="2026-03-05T00:00:00"/>
    <n v="36"/>
    <n v="8"/>
    <n v="1"/>
    <x v="8"/>
  </r>
  <r>
    <s v="CUST0861"/>
    <s v="Mrs. Mia Miller"/>
    <n v="24"/>
    <s v="Female"/>
    <s v="Monthly"/>
    <d v="2024-11-22T00:00:00"/>
    <d v="2026-04-10T00:00:00"/>
    <n v="34"/>
    <n v="10"/>
    <n v="0"/>
    <x v="24"/>
  </r>
  <r>
    <s v="CUST0862"/>
    <s v="Amy Perez"/>
    <n v="47"/>
    <s v="Male"/>
    <s v="Monthly"/>
    <d v="2025-12-07T00:00:00"/>
    <d v="2026-03-25T00:00:00"/>
    <n v="21"/>
    <n v="7"/>
    <n v="0"/>
    <x v="28"/>
  </r>
  <r>
    <s v="CUST0863"/>
    <s v="Jody Price"/>
    <n v="53"/>
    <s v="Other"/>
    <s v="Monthly"/>
    <d v="2025-03-25T00:00:00"/>
    <d v="2026-03-21T00:00:00"/>
    <n v="24"/>
    <n v="4"/>
    <n v="0"/>
    <x v="18"/>
  </r>
  <r>
    <s v="CUST0864"/>
    <s v="Calvin Moore"/>
    <n v="47"/>
    <s v="Male"/>
    <s v="Quarterly"/>
    <d v="2025-03-22T00:00:00"/>
    <d v="2026-05-06T00:00:00"/>
    <n v="7"/>
    <n v="7"/>
    <n v="0"/>
    <x v="18"/>
  </r>
  <r>
    <s v="CUST0865"/>
    <s v="Natalie West"/>
    <n v="57"/>
    <s v="Female"/>
    <s v="Monthly"/>
    <d v="2025-10-24T00:00:00"/>
    <d v="2026-01-08T00:00:00"/>
    <n v="7"/>
    <n v="5"/>
    <n v="0"/>
    <x v="25"/>
  </r>
  <r>
    <s v="CUST0866"/>
    <s v="Phillip Johnson"/>
    <n v="20"/>
    <s v="Male"/>
    <s v="Yearly"/>
    <d v="2023-11-13T00:00:00"/>
    <d v="2026-02-21T00:00:00"/>
    <n v="79"/>
    <n v="4"/>
    <n v="1"/>
    <x v="1"/>
  </r>
  <r>
    <s v="CUST0867"/>
    <s v="Cameron Glenn"/>
    <n v="28"/>
    <s v="Male"/>
    <s v="Monthly"/>
    <d v="2024-10-20T00:00:00"/>
    <d v="2026-03-01T00:00:00"/>
    <n v="21"/>
    <n v="1"/>
    <n v="1"/>
    <x v="26"/>
  </r>
  <r>
    <s v="CUST0868"/>
    <s v="Wanda Burns DDS"/>
    <n v="35"/>
    <s v="Female"/>
    <s v="Monthly"/>
    <d v="2024-12-22T00:00:00"/>
    <d v="2026-02-06T00:00:00"/>
    <n v="56"/>
    <n v="9"/>
    <n v="1"/>
    <x v="14"/>
  </r>
  <r>
    <s v="CUST0869"/>
    <s v="Justin Santos"/>
    <n v="22"/>
    <s v="Other"/>
    <s v="Yearly"/>
    <d v="2024-04-17T00:00:00"/>
    <d v="2026-02-22T00:00:00"/>
    <n v="44"/>
    <n v="8"/>
    <n v="0"/>
    <x v="0"/>
  </r>
  <r>
    <s v="CUST0870"/>
    <s v="Brandy Smith"/>
    <n v="33"/>
    <s v="Other"/>
    <s v="Yearly"/>
    <d v="2025-06-04T00:00:00"/>
    <d v="2026-02-09T00:00:00"/>
    <n v="77"/>
    <n v="5"/>
    <n v="1"/>
    <x v="27"/>
  </r>
  <r>
    <s v="CUST0871"/>
    <s v="Lauren Brown"/>
    <n v="45"/>
    <s v="Male"/>
    <s v="Quarterly"/>
    <d v="2025-09-28T00:00:00"/>
    <d v="2026-03-18T00:00:00"/>
    <n v="4"/>
    <n v="7"/>
    <n v="0"/>
    <x v="13"/>
  </r>
  <r>
    <s v="CUST0872"/>
    <s v="Thomas Harris"/>
    <n v="47"/>
    <s v="Other"/>
    <s v="Quarterly"/>
    <d v="2023-09-03T00:00:00"/>
    <d v="2026-01-28T00:00:00"/>
    <n v="49"/>
    <n v="10"/>
    <n v="0"/>
    <x v="7"/>
  </r>
  <r>
    <s v="CUST0873"/>
    <s v="Tony Monroe"/>
    <n v="55"/>
    <s v="Male"/>
    <s v="Monthly"/>
    <d v="2023-12-23T00:00:00"/>
    <d v="2026-03-06T00:00:00"/>
    <n v="17"/>
    <n v="2"/>
    <n v="1"/>
    <x v="5"/>
  </r>
  <r>
    <s v="CUST0874"/>
    <s v="Alexis Fernandez"/>
    <n v="29"/>
    <s v="Female"/>
    <s v="Yearly"/>
    <d v="2024-08-09T00:00:00"/>
    <d v="2026-04-12T00:00:00"/>
    <n v="43"/>
    <n v="9"/>
    <n v="0"/>
    <x v="21"/>
  </r>
  <r>
    <s v="CUST0875"/>
    <s v="Kyle Guzman"/>
    <n v="23"/>
    <s v="Female"/>
    <s v="Yearly"/>
    <d v="2023-12-02T00:00:00"/>
    <d v="2026-04-23T00:00:00"/>
    <n v="72"/>
    <n v="7"/>
    <n v="1"/>
    <x v="5"/>
  </r>
  <r>
    <s v="CUST0876"/>
    <s v="Jerry Adkins"/>
    <n v="41"/>
    <s v="Male"/>
    <s v="Monthly"/>
    <d v="2025-05-01T00:00:00"/>
    <d v="2026-01-17T00:00:00"/>
    <n v="14"/>
    <n v="1"/>
    <n v="0"/>
    <x v="2"/>
  </r>
  <r>
    <s v="CUST0877"/>
    <s v="Pamela Weiss"/>
    <n v="42"/>
    <s v="Male"/>
    <s v="Quarterly"/>
    <d v="2024-11-06T00:00:00"/>
    <d v="2026-02-19T00:00:00"/>
    <n v="77"/>
    <n v="10"/>
    <n v="1"/>
    <x v="24"/>
  </r>
  <r>
    <s v="CUST0878"/>
    <s v="Melissa Moyer"/>
    <n v="57"/>
    <s v="Female"/>
    <s v="Monthly"/>
    <d v="2025-06-16T00:00:00"/>
    <d v="2026-02-09T00:00:00"/>
    <n v="31"/>
    <n v="4"/>
    <n v="1"/>
    <x v="27"/>
  </r>
  <r>
    <s v="CUST0879"/>
    <s v="Alison Jackson"/>
    <n v="39"/>
    <s v="Male"/>
    <s v="Yearly"/>
    <d v="2024-12-22T00:00:00"/>
    <d v="2026-01-27T00:00:00"/>
    <n v="51"/>
    <n v="7"/>
    <n v="0"/>
    <x v="14"/>
  </r>
  <r>
    <s v="CUST0880"/>
    <s v="Melanie Williams"/>
    <n v="58"/>
    <s v="Other"/>
    <s v="Monthly"/>
    <d v="2025-11-07T00:00:00"/>
    <d v="2026-01-12T00:00:00"/>
    <n v="9"/>
    <n v="7"/>
    <n v="1"/>
    <x v="4"/>
  </r>
  <r>
    <s v="CUST0881"/>
    <s v="Brian Parker"/>
    <n v="25"/>
    <s v="Other"/>
    <s v="Monthly"/>
    <d v="2025-09-08T00:00:00"/>
    <d v="2026-02-12T00:00:00"/>
    <n v="70"/>
    <n v="9"/>
    <n v="1"/>
    <x v="13"/>
  </r>
  <r>
    <s v="CUST0882"/>
    <s v="Krystal Zimmerman DDS"/>
    <n v="45"/>
    <s v="Male"/>
    <s v="Yearly"/>
    <d v="2026-03-11T00:00:00"/>
    <d v="2026-02-05T00:00:00"/>
    <n v="36"/>
    <n v="10"/>
    <n v="0"/>
    <x v="22"/>
  </r>
  <r>
    <s v="CUST0883"/>
    <s v="Donna Reed"/>
    <n v="42"/>
    <s v="Other"/>
    <s v="Quarterly"/>
    <d v="2026-03-29T00:00:00"/>
    <d v="2026-01-10T00:00:00"/>
    <n v="61"/>
    <n v="8"/>
    <n v="0"/>
    <x v="22"/>
  </r>
  <r>
    <s v="CUST0884"/>
    <s v="Diana Pierce"/>
    <n v="35"/>
    <s v="Female"/>
    <s v="Quarterly"/>
    <d v="2024-02-01T00:00:00"/>
    <d v="2026-02-11T00:00:00"/>
    <n v="1"/>
    <n v="4"/>
    <n v="1"/>
    <x v="3"/>
  </r>
  <r>
    <s v="CUST0885"/>
    <s v="Julie Steele"/>
    <n v="37"/>
    <s v="Other"/>
    <s v="Monthly"/>
    <d v="2025-02-08T00:00:00"/>
    <d v="2026-04-13T00:00:00"/>
    <n v="35"/>
    <n v="2"/>
    <n v="0"/>
    <x v="19"/>
  </r>
  <r>
    <s v="CUST0886"/>
    <s v="Christopher Edwards"/>
    <n v="36"/>
    <s v="Other"/>
    <s v="Monthly"/>
    <d v="2024-09-08T00:00:00"/>
    <d v="2026-01-19T00:00:00"/>
    <n v="31"/>
    <n v="10"/>
    <n v="1"/>
    <x v="10"/>
  </r>
  <r>
    <s v="CUST0887"/>
    <s v="John Trevino"/>
    <n v="55"/>
    <s v="Female"/>
    <s v="Monthly"/>
    <d v="2026-04-02T00:00:00"/>
    <d v="2026-05-08T00:00:00"/>
    <n v="37"/>
    <n v="5"/>
    <n v="0"/>
    <x v="31"/>
  </r>
  <r>
    <s v="CUST0888"/>
    <s v="Gregory Lee"/>
    <n v="48"/>
    <s v="Other"/>
    <s v="Monthly"/>
    <d v="2026-03-01T00:00:00"/>
    <d v="2026-01-31T00:00:00"/>
    <n v="52"/>
    <n v="7"/>
    <n v="1"/>
    <x v="22"/>
  </r>
  <r>
    <s v="CUST0889"/>
    <s v="Kim Schwartz"/>
    <n v="38"/>
    <s v="Male"/>
    <s v="Monthly"/>
    <d v="2025-09-05T00:00:00"/>
    <d v="2026-02-22T00:00:00"/>
    <n v="17"/>
    <n v="8"/>
    <n v="1"/>
    <x v="13"/>
  </r>
  <r>
    <s v="CUST0890"/>
    <s v="Taylor Lopez"/>
    <n v="31"/>
    <s v="Other"/>
    <s v="Monthly"/>
    <d v="2024-09-10T00:00:00"/>
    <d v="2026-03-14T00:00:00"/>
    <n v="18"/>
    <n v="8"/>
    <n v="0"/>
    <x v="10"/>
  </r>
  <r>
    <s v="CUST0891"/>
    <s v="Kimberly Yang"/>
    <n v="44"/>
    <s v="Other"/>
    <s v="Monthly"/>
    <d v="2025-05-07T00:00:00"/>
    <d v="2026-01-15T00:00:00"/>
    <n v="39"/>
    <n v="4"/>
    <n v="1"/>
    <x v="2"/>
  </r>
  <r>
    <s v="CUST0892"/>
    <s v="Michelle Rios"/>
    <n v="41"/>
    <s v="Other"/>
    <s v="Monthly"/>
    <d v="2025-08-26T00:00:00"/>
    <d v="2026-03-20T00:00:00"/>
    <n v="19"/>
    <n v="4"/>
    <n v="0"/>
    <x v="20"/>
  </r>
  <r>
    <s v="CUST0893"/>
    <s v="Dr. Meredith Vega DVM"/>
    <n v="59"/>
    <s v="Male"/>
    <s v="Monthly"/>
    <d v="2023-10-22T00:00:00"/>
    <d v="2026-02-01T00:00:00"/>
    <n v="13"/>
    <n v="7"/>
    <n v="1"/>
    <x v="8"/>
  </r>
  <r>
    <s v="CUST0894"/>
    <s v="Cassidy Hicks"/>
    <n v="58"/>
    <s v="Other"/>
    <s v="Quarterly"/>
    <d v="2023-10-25T00:00:00"/>
    <d v="2026-03-16T00:00:00"/>
    <n v="62"/>
    <n v="7"/>
    <n v="0"/>
    <x v="8"/>
  </r>
  <r>
    <s v="CUST0895"/>
    <s v="Jeffery Washington"/>
    <n v="28"/>
    <s v="Female"/>
    <s v="Monthly"/>
    <d v="2023-11-14T00:00:00"/>
    <d v="2026-01-12T00:00:00"/>
    <n v="45"/>
    <n v="9"/>
    <n v="0"/>
    <x v="1"/>
  </r>
  <r>
    <s v="CUST0896"/>
    <s v="Paul Ferguson"/>
    <n v="49"/>
    <s v="Other"/>
    <s v="Monthly"/>
    <d v="2025-01-01T00:00:00"/>
    <d v="2026-05-06T00:00:00"/>
    <n v="25"/>
    <n v="9"/>
    <n v="1"/>
    <x v="23"/>
  </r>
  <r>
    <s v="CUST0897"/>
    <s v="Derrick Perez"/>
    <n v="52"/>
    <s v="Male"/>
    <s v="Monthly"/>
    <d v="2024-10-03T00:00:00"/>
    <d v="2026-05-07T00:00:00"/>
    <n v="30"/>
    <n v="4"/>
    <n v="0"/>
    <x v="26"/>
  </r>
  <r>
    <s v="CUST0898"/>
    <s v="Nicole Luna"/>
    <n v="56"/>
    <s v="Male"/>
    <s v="Monthly"/>
    <d v="2024-03-19T00:00:00"/>
    <d v="2026-03-09T00:00:00"/>
    <n v="28"/>
    <n v="7"/>
    <n v="0"/>
    <x v="30"/>
  </r>
  <r>
    <s v="CUST0899"/>
    <s v="Whitney Garcia"/>
    <n v="33"/>
    <s v="Male"/>
    <s v="Yearly"/>
    <d v="2023-08-28T00:00:00"/>
    <d v="2026-02-22T00:00:00"/>
    <n v="39"/>
    <n v="5"/>
    <n v="0"/>
    <x v="32"/>
  </r>
  <r>
    <s v="CUST0900"/>
    <s v="Amy Williams"/>
    <n v="56"/>
    <s v="Male"/>
    <s v="Monthly"/>
    <d v="2024-12-06T00:00:00"/>
    <d v="2026-04-22T00:00:00"/>
    <n v="0"/>
    <n v="3"/>
    <n v="1"/>
    <x v="14"/>
  </r>
  <r>
    <s v="CUST0901"/>
    <s v="Marc Cole"/>
    <n v="51"/>
    <s v="Other"/>
    <s v="Monthly"/>
    <d v="2024-04-17T00:00:00"/>
    <d v="2026-03-10T00:00:00"/>
    <n v="61"/>
    <n v="6"/>
    <n v="1"/>
    <x v="0"/>
  </r>
  <r>
    <s v="CUST0902"/>
    <s v="Kevin Olson"/>
    <n v="56"/>
    <s v="Male"/>
    <s v="Quarterly"/>
    <d v="2025-01-02T00:00:00"/>
    <d v="2026-03-15T00:00:00"/>
    <n v="74"/>
    <n v="7"/>
    <n v="0"/>
    <x v="23"/>
  </r>
  <r>
    <s v="CUST0903"/>
    <s v="Natasha Perkins"/>
    <n v="44"/>
    <s v="Female"/>
    <s v="Monthly"/>
    <d v="2025-07-18T00:00:00"/>
    <d v="2026-01-16T00:00:00"/>
    <n v="57"/>
    <n v="8"/>
    <n v="1"/>
    <x v="12"/>
  </r>
  <r>
    <s v="CUST0904"/>
    <s v="Kimberly Cooper"/>
    <n v="53"/>
    <s v="Female"/>
    <s v="Monthly"/>
    <d v="2025-11-27T00:00:00"/>
    <d v="2026-02-26T00:00:00"/>
    <n v="37"/>
    <n v="4"/>
    <n v="1"/>
    <x v="4"/>
  </r>
  <r>
    <s v="CUST0905"/>
    <s v="Natalie Knox"/>
    <n v="43"/>
    <s v="Other"/>
    <s v="Monthly"/>
    <d v="2023-09-27T00:00:00"/>
    <d v="2026-02-05T00:00:00"/>
    <n v="18"/>
    <n v="3"/>
    <n v="1"/>
    <x v="7"/>
  </r>
  <r>
    <s v="CUST0906"/>
    <s v="Jason Murray"/>
    <n v="43"/>
    <s v="Female"/>
    <s v="Quarterly"/>
    <d v="2025-04-27T00:00:00"/>
    <d v="2026-02-23T00:00:00"/>
    <n v="23"/>
    <n v="7"/>
    <n v="1"/>
    <x v="17"/>
  </r>
  <r>
    <s v="CUST0907"/>
    <s v="Michael Adams"/>
    <n v="22"/>
    <s v="Female"/>
    <s v="Monthly"/>
    <d v="2023-10-14T00:00:00"/>
    <d v="2026-02-22T00:00:00"/>
    <n v="55"/>
    <n v="5"/>
    <n v="1"/>
    <x v="8"/>
  </r>
  <r>
    <s v="CUST0908"/>
    <s v="Janice Travis"/>
    <n v="56"/>
    <s v="Male"/>
    <s v="Monthly"/>
    <d v="2025-08-05T00:00:00"/>
    <d v="2026-04-25T00:00:00"/>
    <n v="15"/>
    <n v="2"/>
    <n v="0"/>
    <x v="20"/>
  </r>
  <r>
    <s v="CUST0909"/>
    <s v="Melissa Dominguez"/>
    <n v="24"/>
    <s v="Other"/>
    <s v="Yearly"/>
    <d v="2025-05-19T00:00:00"/>
    <d v="2026-02-05T00:00:00"/>
    <n v="19"/>
    <n v="8"/>
    <n v="1"/>
    <x v="2"/>
  </r>
  <r>
    <s v="CUST0910"/>
    <s v="Norman Garza"/>
    <n v="48"/>
    <s v="Female"/>
    <s v="Quarterly"/>
    <d v="2025-03-29T00:00:00"/>
    <d v="2026-01-17T00:00:00"/>
    <n v="37"/>
    <n v="8"/>
    <n v="0"/>
    <x v="18"/>
  </r>
  <r>
    <s v="CUST0911"/>
    <s v="Eric Weaver"/>
    <n v="26"/>
    <s v="Male"/>
    <s v="Quarterly"/>
    <d v="2025-03-16T00:00:00"/>
    <d v="2026-03-31T00:00:00"/>
    <n v="15"/>
    <n v="2"/>
    <n v="0"/>
    <x v="18"/>
  </r>
  <r>
    <s v="CUST0912"/>
    <s v="Steven Love"/>
    <n v="34"/>
    <s v="Other"/>
    <s v="Monthly"/>
    <d v="2024-07-16T00:00:00"/>
    <d v="2026-01-17T00:00:00"/>
    <n v="32"/>
    <n v="3"/>
    <n v="1"/>
    <x v="15"/>
  </r>
  <r>
    <s v="CUST0913"/>
    <s v="Karen Bartlett"/>
    <n v="22"/>
    <s v="Male"/>
    <s v="Monthly"/>
    <d v="2025-03-02T00:00:00"/>
    <d v="2026-03-04T00:00:00"/>
    <n v="15"/>
    <n v="10"/>
    <n v="1"/>
    <x v="18"/>
  </r>
  <r>
    <s v="CUST0914"/>
    <s v="Melinda Ford"/>
    <n v="41"/>
    <s v="Male"/>
    <s v="Monthly"/>
    <d v="2026-03-16T00:00:00"/>
    <d v="2026-05-07T00:00:00"/>
    <n v="4"/>
    <n v="10"/>
    <n v="1"/>
    <x v="22"/>
  </r>
  <r>
    <s v="CUST0915"/>
    <s v="Phillip Scott"/>
    <n v="19"/>
    <s v="Female"/>
    <s v="Monthly"/>
    <d v="2025-05-09T00:00:00"/>
    <d v="2026-04-29T00:00:00"/>
    <n v="43"/>
    <n v="7"/>
    <n v="0"/>
    <x v="2"/>
  </r>
  <r>
    <s v="CUST0916"/>
    <s v="Karen Thompson"/>
    <n v="42"/>
    <s v="Female"/>
    <s v="Quarterly"/>
    <d v="2024-11-29T00:00:00"/>
    <d v="2026-02-10T00:00:00"/>
    <n v="34"/>
    <n v="5"/>
    <n v="1"/>
    <x v="24"/>
  </r>
  <r>
    <s v="CUST0917"/>
    <s v="Carrie Nichols"/>
    <n v="32"/>
    <s v="Female"/>
    <s v="Quarterly"/>
    <d v="2025-07-19T00:00:00"/>
    <d v="2026-01-12T00:00:00"/>
    <n v="27"/>
    <n v="9"/>
    <n v="0"/>
    <x v="12"/>
  </r>
  <r>
    <s v="CUST0918"/>
    <s v="Christopher Williams"/>
    <n v="30"/>
    <s v="Female"/>
    <s v="Quarterly"/>
    <d v="2023-08-25T00:00:00"/>
    <d v="2026-01-16T00:00:00"/>
    <n v="41"/>
    <n v="7"/>
    <n v="1"/>
    <x v="32"/>
  </r>
  <r>
    <s v="CUST0919"/>
    <s v="Kaitlyn Nichols"/>
    <n v="38"/>
    <s v="Male"/>
    <s v="Quarterly"/>
    <d v="2023-11-13T00:00:00"/>
    <d v="2026-04-27T00:00:00"/>
    <n v="52"/>
    <n v="9"/>
    <n v="1"/>
    <x v="1"/>
  </r>
  <r>
    <s v="CUST0920"/>
    <s v="Victoria Woodard"/>
    <n v="46"/>
    <s v="Male"/>
    <s v="Yearly"/>
    <d v="2025-02-03T00:00:00"/>
    <d v="2026-03-08T00:00:00"/>
    <n v="23"/>
    <n v="5"/>
    <n v="1"/>
    <x v="19"/>
  </r>
  <r>
    <s v="CUST0921"/>
    <s v="Phillip Poole"/>
    <n v="31"/>
    <s v="Female"/>
    <s v="Monthly"/>
    <d v="2025-02-15T00:00:00"/>
    <d v="2026-03-09T00:00:00"/>
    <n v="43"/>
    <n v="5"/>
    <n v="0"/>
    <x v="19"/>
  </r>
  <r>
    <s v="CUST0922"/>
    <s v="Jason Ryan"/>
    <n v="46"/>
    <s v="Other"/>
    <s v="Monthly"/>
    <d v="2024-08-12T00:00:00"/>
    <d v="2026-01-11T00:00:00"/>
    <n v="69"/>
    <n v="7"/>
    <n v="0"/>
    <x v="21"/>
  </r>
  <r>
    <s v="CUST0923"/>
    <s v="Richard Miller"/>
    <n v="39"/>
    <s v="Male"/>
    <s v="Monthly"/>
    <d v="2024-10-19T00:00:00"/>
    <d v="2026-04-12T00:00:00"/>
    <n v="50"/>
    <n v="7"/>
    <n v="0"/>
    <x v="26"/>
  </r>
  <r>
    <s v="CUST0924"/>
    <s v="Katherine Smith"/>
    <n v="51"/>
    <s v="Male"/>
    <s v="Quarterly"/>
    <d v="2025-03-19T00:00:00"/>
    <d v="2026-05-02T00:00:00"/>
    <n v="17"/>
    <n v="4"/>
    <n v="1"/>
    <x v="18"/>
  </r>
  <r>
    <s v="CUST0925"/>
    <s v="Paula Cook"/>
    <n v="56"/>
    <s v="Male"/>
    <s v="Monthly"/>
    <d v="2025-12-15T00:00:00"/>
    <d v="2026-04-07T00:00:00"/>
    <n v="72"/>
    <n v="1"/>
    <n v="1"/>
    <x v="28"/>
  </r>
  <r>
    <s v="CUST0926"/>
    <s v="Heather Taylor"/>
    <n v="28"/>
    <s v="Other"/>
    <s v="Monthly"/>
    <d v="2024-06-16T00:00:00"/>
    <d v="2026-02-25T00:00:00"/>
    <n v="64"/>
    <n v="2"/>
    <n v="1"/>
    <x v="11"/>
  </r>
  <r>
    <s v="CUST0927"/>
    <s v="Danny Gutierrez"/>
    <n v="39"/>
    <s v="Other"/>
    <s v="Quarterly"/>
    <d v="2025-09-01T00:00:00"/>
    <d v="2026-02-14T00:00:00"/>
    <n v="11"/>
    <n v="6"/>
    <n v="1"/>
    <x v="13"/>
  </r>
  <r>
    <s v="CUST0928"/>
    <s v="Jennifer Hanson"/>
    <n v="34"/>
    <s v="Female"/>
    <s v="Quarterly"/>
    <d v="2024-08-18T00:00:00"/>
    <d v="2026-01-08T00:00:00"/>
    <n v="38"/>
    <n v="7"/>
    <n v="1"/>
    <x v="21"/>
  </r>
  <r>
    <s v="CUST0929"/>
    <s v="Dana Steele"/>
    <n v="27"/>
    <s v="Female"/>
    <s v="Yearly"/>
    <d v="2026-03-19T00:00:00"/>
    <d v="2026-05-08T00:00:00"/>
    <n v="53"/>
    <n v="3"/>
    <n v="1"/>
    <x v="22"/>
  </r>
  <r>
    <s v="CUST0930"/>
    <s v="Samantha Copeland"/>
    <n v="44"/>
    <s v="Other"/>
    <s v="Monthly"/>
    <d v="2025-10-05T00:00:00"/>
    <d v="2026-04-08T00:00:00"/>
    <n v="51"/>
    <n v="10"/>
    <n v="0"/>
    <x v="25"/>
  </r>
  <r>
    <s v="CUST0931"/>
    <s v="Carol Davis MD"/>
    <n v="26"/>
    <s v="Other"/>
    <s v="Yearly"/>
    <d v="2023-08-30T00:00:00"/>
    <d v="2026-04-26T00:00:00"/>
    <n v="50"/>
    <n v="5"/>
    <n v="0"/>
    <x v="32"/>
  </r>
  <r>
    <s v="CUST0932"/>
    <s v="Lori Ferguson"/>
    <n v="42"/>
    <s v="Male"/>
    <s v="Monthly"/>
    <d v="2024-05-11T00:00:00"/>
    <d v="2026-04-26T00:00:00"/>
    <n v="39"/>
    <n v="4"/>
    <n v="1"/>
    <x v="6"/>
  </r>
  <r>
    <s v="CUST0933"/>
    <s v="Andrew Weber"/>
    <n v="29"/>
    <s v="Male"/>
    <s v="Yearly"/>
    <d v="2025-03-05T00:00:00"/>
    <d v="2026-01-16T00:00:00"/>
    <n v="1"/>
    <n v="8"/>
    <n v="0"/>
    <x v="18"/>
  </r>
  <r>
    <s v="CUST0934"/>
    <s v="Alexis Nunez"/>
    <n v="34"/>
    <s v="Male"/>
    <s v="Monthly"/>
    <d v="2024-06-14T00:00:00"/>
    <d v="2026-01-22T00:00:00"/>
    <n v="28"/>
    <n v="10"/>
    <n v="0"/>
    <x v="11"/>
  </r>
  <r>
    <s v="CUST0935"/>
    <s v="John Reed"/>
    <n v="24"/>
    <s v="Female"/>
    <s v="Monthly"/>
    <d v="2025-06-03T00:00:00"/>
    <d v="2026-01-26T00:00:00"/>
    <n v="1"/>
    <n v="8"/>
    <n v="1"/>
    <x v="27"/>
  </r>
  <r>
    <s v="CUST0936"/>
    <s v="Jason Harris MD"/>
    <n v="55"/>
    <s v="Female"/>
    <s v="Quarterly"/>
    <d v="2024-09-26T00:00:00"/>
    <d v="2026-03-20T00:00:00"/>
    <n v="46"/>
    <n v="1"/>
    <n v="0"/>
    <x v="10"/>
  </r>
  <r>
    <s v="CUST0937"/>
    <s v="Barbara Norton"/>
    <n v="20"/>
    <s v="Other"/>
    <s v="Monthly"/>
    <d v="2023-08-20T00:00:00"/>
    <d v="2026-04-24T00:00:00"/>
    <n v="2"/>
    <n v="10"/>
    <n v="0"/>
    <x v="32"/>
  </r>
  <r>
    <s v="CUST0938"/>
    <s v="Christopher Kim"/>
    <n v="58"/>
    <s v="Other"/>
    <s v="Quarterly"/>
    <d v="2025-03-05T00:00:00"/>
    <d v="2026-02-26T00:00:00"/>
    <n v="39"/>
    <n v="5"/>
    <n v="0"/>
    <x v="18"/>
  </r>
  <r>
    <s v="CUST0939"/>
    <s v="Shane Wallace"/>
    <n v="33"/>
    <s v="Male"/>
    <s v="Quarterly"/>
    <d v="2024-07-14T00:00:00"/>
    <d v="2026-04-28T00:00:00"/>
    <n v="51"/>
    <n v="2"/>
    <n v="0"/>
    <x v="15"/>
  </r>
  <r>
    <s v="CUST0940"/>
    <s v="John Hawkins"/>
    <n v="46"/>
    <s v="Female"/>
    <s v="Yearly"/>
    <d v="2025-02-14T00:00:00"/>
    <d v="2026-03-24T00:00:00"/>
    <n v="6"/>
    <n v="2"/>
    <n v="0"/>
    <x v="19"/>
  </r>
  <r>
    <s v="CUST0941"/>
    <s v="Terri Strickland"/>
    <n v="50"/>
    <s v="Other"/>
    <s v="Monthly"/>
    <d v="2025-02-13T00:00:00"/>
    <d v="2026-04-14T00:00:00"/>
    <n v="46"/>
    <n v="6"/>
    <n v="0"/>
    <x v="19"/>
  </r>
  <r>
    <s v="CUST0942"/>
    <s v="Anthony King"/>
    <n v="38"/>
    <s v="Other"/>
    <s v="Monthly"/>
    <d v="2024-09-09T00:00:00"/>
    <d v="2026-01-23T00:00:00"/>
    <n v="29"/>
    <n v="4"/>
    <n v="1"/>
    <x v="10"/>
  </r>
  <r>
    <s v="CUST0943"/>
    <s v="Amanda Hensley"/>
    <n v="29"/>
    <s v="Female"/>
    <s v="Monthly"/>
    <d v="2023-09-30T00:00:00"/>
    <d v="2026-01-15T00:00:00"/>
    <n v="42"/>
    <n v="6"/>
    <n v="1"/>
    <x v="7"/>
  </r>
  <r>
    <s v="CUST0944"/>
    <s v="Danny Soto"/>
    <n v="35"/>
    <s v="Male"/>
    <s v="Yearly"/>
    <d v="2026-04-06T00:00:00"/>
    <d v="2026-04-24T00:00:00"/>
    <n v="79"/>
    <n v="5"/>
    <n v="0"/>
    <x v="31"/>
  </r>
  <r>
    <s v="CUST0945"/>
    <s v="Greg Silva"/>
    <n v="45"/>
    <s v="Male"/>
    <s v="Monthly"/>
    <d v="2024-07-04T00:00:00"/>
    <d v="2026-02-01T00:00:00"/>
    <n v="51"/>
    <n v="10"/>
    <n v="1"/>
    <x v="15"/>
  </r>
  <r>
    <s v="CUST0946"/>
    <s v="Kimberly Fernandez"/>
    <n v="20"/>
    <s v="Other"/>
    <s v="Monthly"/>
    <d v="2025-08-12T00:00:00"/>
    <d v="2026-03-17T00:00:00"/>
    <n v="21"/>
    <n v="2"/>
    <n v="0"/>
    <x v="20"/>
  </r>
  <r>
    <s v="CUST0947"/>
    <s v="Michael Salinas"/>
    <n v="20"/>
    <s v="Male"/>
    <s v="Monthly"/>
    <d v="2025-07-17T00:00:00"/>
    <d v="2026-02-05T00:00:00"/>
    <n v="28"/>
    <n v="6"/>
    <n v="0"/>
    <x v="12"/>
  </r>
  <r>
    <s v="CUST0948"/>
    <s v="Rebecca Farmer"/>
    <n v="49"/>
    <s v="Female"/>
    <s v="Yearly"/>
    <d v="2025-08-20T00:00:00"/>
    <d v="2026-04-02T00:00:00"/>
    <n v="2"/>
    <n v="1"/>
    <n v="1"/>
    <x v="20"/>
  </r>
  <r>
    <s v="CUST0949"/>
    <s v="Jesse Brooks"/>
    <n v="37"/>
    <s v="Female"/>
    <s v="Yearly"/>
    <d v="2024-11-24T00:00:00"/>
    <d v="2026-01-24T00:00:00"/>
    <n v="27"/>
    <n v="6"/>
    <n v="1"/>
    <x v="24"/>
  </r>
  <r>
    <s v="CUST0950"/>
    <s v="Laura David"/>
    <n v="50"/>
    <s v="Male"/>
    <s v="Monthly"/>
    <d v="2023-10-07T00:00:00"/>
    <d v="2026-02-24T00:00:00"/>
    <n v="6"/>
    <n v="1"/>
    <n v="1"/>
    <x v="8"/>
  </r>
  <r>
    <s v="CUST0951"/>
    <s v="Jacob Sanchez"/>
    <n v="57"/>
    <s v="Female"/>
    <s v="Quarterly"/>
    <d v="2024-08-20T00:00:00"/>
    <d v="2026-03-27T00:00:00"/>
    <n v="23"/>
    <n v="6"/>
    <n v="0"/>
    <x v="21"/>
  </r>
  <r>
    <s v="CUST0952"/>
    <s v="Kimberly Fisher"/>
    <n v="28"/>
    <s v="Female"/>
    <s v="Quarterly"/>
    <d v="2025-11-18T00:00:00"/>
    <d v="2026-02-06T00:00:00"/>
    <n v="60"/>
    <n v="3"/>
    <n v="0"/>
    <x v="4"/>
  </r>
  <r>
    <s v="CUST0953"/>
    <s v="Aaron Lawson"/>
    <n v="35"/>
    <s v="Male"/>
    <s v="Yearly"/>
    <d v="2024-11-14T00:00:00"/>
    <d v="2026-02-05T00:00:00"/>
    <n v="59"/>
    <n v="1"/>
    <n v="1"/>
    <x v="24"/>
  </r>
  <r>
    <s v="CUST0954"/>
    <s v="Jose Miller"/>
    <n v="46"/>
    <s v="Female"/>
    <s v="Monthly"/>
    <d v="2024-10-26T00:00:00"/>
    <d v="2026-03-09T00:00:00"/>
    <n v="43"/>
    <n v="7"/>
    <n v="0"/>
    <x v="26"/>
  </r>
  <r>
    <s v="CUST0955"/>
    <s v="Mr. Zachary Decker"/>
    <n v="56"/>
    <s v="Female"/>
    <s v="Quarterly"/>
    <d v="2024-11-16T00:00:00"/>
    <d v="2026-03-15T00:00:00"/>
    <n v="25"/>
    <n v="1"/>
    <n v="0"/>
    <x v="24"/>
  </r>
  <r>
    <s v="CUST0956"/>
    <s v="Mr. Marcus Marquez Jr."/>
    <n v="30"/>
    <s v="Female"/>
    <s v="Monthly"/>
    <d v="2026-02-02T00:00:00"/>
    <d v="2026-03-07T00:00:00"/>
    <n v="70"/>
    <n v="1"/>
    <n v="1"/>
    <x v="16"/>
  </r>
  <r>
    <s v="CUST0957"/>
    <s v="Stephanie Collins"/>
    <n v="23"/>
    <s v="Female"/>
    <s v="Yearly"/>
    <d v="2024-05-27T00:00:00"/>
    <d v="2026-01-23T00:00:00"/>
    <n v="9"/>
    <n v="4"/>
    <n v="1"/>
    <x v="6"/>
  </r>
  <r>
    <s v="CUST0958"/>
    <s v="Katherine Smith"/>
    <n v="43"/>
    <s v="Female"/>
    <s v="Quarterly"/>
    <d v="2023-09-03T00:00:00"/>
    <d v="2026-02-07T00:00:00"/>
    <n v="31"/>
    <n v="10"/>
    <n v="1"/>
    <x v="7"/>
  </r>
  <r>
    <s v="CUST0959"/>
    <s v="Zachary Cunningham"/>
    <n v="46"/>
    <s v="Female"/>
    <s v="Quarterly"/>
    <d v="2025-01-15T00:00:00"/>
    <d v="2026-02-13T00:00:00"/>
    <n v="57"/>
    <n v="6"/>
    <n v="1"/>
    <x v="23"/>
  </r>
  <r>
    <s v="CUST0960"/>
    <s v="David Nelson"/>
    <n v="60"/>
    <s v="Other"/>
    <s v="Monthly"/>
    <d v="2023-12-10T00:00:00"/>
    <d v="2026-03-26T00:00:00"/>
    <n v="60"/>
    <n v="10"/>
    <n v="1"/>
    <x v="5"/>
  </r>
  <r>
    <s v="CUST0961"/>
    <s v="Dylan Perez"/>
    <n v="38"/>
    <s v="Female"/>
    <s v="Quarterly"/>
    <d v="2023-09-14T00:00:00"/>
    <d v="2026-02-07T00:00:00"/>
    <n v="7"/>
    <n v="1"/>
    <n v="1"/>
    <x v="7"/>
  </r>
  <r>
    <s v="CUST0962"/>
    <s v="Eric Leonard"/>
    <n v="40"/>
    <s v="Male"/>
    <s v="Monthly"/>
    <d v="2024-11-02T00:00:00"/>
    <d v="2026-02-24T00:00:00"/>
    <n v="43"/>
    <n v="9"/>
    <n v="1"/>
    <x v="24"/>
  </r>
  <r>
    <s v="CUST0963"/>
    <s v="Mark Gregory"/>
    <n v="35"/>
    <s v="Female"/>
    <s v="Quarterly"/>
    <d v="2025-11-13T00:00:00"/>
    <d v="2026-02-16T00:00:00"/>
    <n v="43"/>
    <n v="6"/>
    <n v="0"/>
    <x v="4"/>
  </r>
  <r>
    <s v="CUST0964"/>
    <s v="Sheri Williams"/>
    <n v="47"/>
    <s v="Male"/>
    <s v="Monthly"/>
    <d v="2025-07-23T00:00:00"/>
    <d v="2026-02-08T00:00:00"/>
    <n v="37"/>
    <n v="10"/>
    <n v="1"/>
    <x v="12"/>
  </r>
  <r>
    <s v="CUST0965"/>
    <s v="Michael Joseph"/>
    <n v="47"/>
    <s v="Other"/>
    <s v="Monthly"/>
    <d v="2024-06-13T00:00:00"/>
    <d v="2026-03-08T00:00:00"/>
    <n v="77"/>
    <n v="4"/>
    <n v="1"/>
    <x v="11"/>
  </r>
  <r>
    <s v="CUST0966"/>
    <s v="Erin Hunter"/>
    <n v="47"/>
    <s v="Other"/>
    <s v="Quarterly"/>
    <d v="2024-06-22T00:00:00"/>
    <d v="2026-02-25T00:00:00"/>
    <n v="43"/>
    <n v="5"/>
    <n v="0"/>
    <x v="11"/>
  </r>
  <r>
    <s v="CUST0967"/>
    <s v="Mark Zamora"/>
    <n v="39"/>
    <s v="Female"/>
    <s v="Monthly"/>
    <d v="2023-11-21T00:00:00"/>
    <d v="2026-05-04T00:00:00"/>
    <n v="57"/>
    <n v="9"/>
    <n v="0"/>
    <x v="1"/>
  </r>
  <r>
    <s v="CUST0968"/>
    <s v="Daniel Salazar"/>
    <n v="37"/>
    <s v="Male"/>
    <s v="Quarterly"/>
    <d v="2023-12-01T00:00:00"/>
    <d v="2026-03-14T00:00:00"/>
    <n v="43"/>
    <n v="8"/>
    <n v="0"/>
    <x v="5"/>
  </r>
  <r>
    <s v="CUST0969"/>
    <s v="Blake Herrera"/>
    <n v="23"/>
    <s v="Female"/>
    <s v="Monthly"/>
    <d v="2026-01-30T00:00:00"/>
    <d v="2026-04-24T00:00:00"/>
    <n v="39"/>
    <n v="6"/>
    <n v="1"/>
    <x v="29"/>
  </r>
  <r>
    <s v="CUST0970"/>
    <s v="Joseph Wright"/>
    <n v="48"/>
    <s v="Female"/>
    <s v="Monthly"/>
    <d v="2026-03-24T00:00:00"/>
    <d v="2026-02-28T00:00:00"/>
    <n v="60"/>
    <n v="3"/>
    <n v="1"/>
    <x v="22"/>
  </r>
  <r>
    <s v="CUST0971"/>
    <s v="Eric Garcia"/>
    <n v="46"/>
    <s v="Male"/>
    <s v="Monthly"/>
    <d v="2024-03-23T00:00:00"/>
    <d v="2026-04-08T00:00:00"/>
    <n v="58"/>
    <n v="2"/>
    <n v="0"/>
    <x v="30"/>
  </r>
  <r>
    <s v="CUST0972"/>
    <s v="Jason Jensen"/>
    <n v="33"/>
    <s v="Male"/>
    <s v="Quarterly"/>
    <d v="2024-10-02T00:00:00"/>
    <d v="2026-04-13T00:00:00"/>
    <n v="2"/>
    <n v="8"/>
    <n v="1"/>
    <x v="26"/>
  </r>
  <r>
    <s v="CUST0973"/>
    <s v="Natasha Nelson"/>
    <n v="32"/>
    <s v="Other"/>
    <s v="Quarterly"/>
    <d v="2024-02-02T00:00:00"/>
    <d v="2026-03-15T00:00:00"/>
    <n v="36"/>
    <n v="8"/>
    <n v="0"/>
    <x v="3"/>
  </r>
  <r>
    <s v="CUST0974"/>
    <s v="Shirley Smith"/>
    <n v="36"/>
    <s v="Female"/>
    <s v="Monthly"/>
    <d v="2025-03-19T00:00:00"/>
    <d v="2026-02-23T00:00:00"/>
    <n v="43"/>
    <n v="6"/>
    <n v="0"/>
    <x v="18"/>
  </r>
  <r>
    <s v="CUST0975"/>
    <s v="Rachel Watson"/>
    <n v="46"/>
    <s v="Female"/>
    <s v="Yearly"/>
    <d v="2023-10-20T00:00:00"/>
    <d v="2026-03-03T00:00:00"/>
    <n v="25"/>
    <n v="10"/>
    <n v="1"/>
    <x v="8"/>
  </r>
  <r>
    <s v="CUST0976"/>
    <s v="Lauren Maldonado"/>
    <n v="53"/>
    <s v="Male"/>
    <s v="Monthly"/>
    <d v="2024-09-23T00:00:00"/>
    <d v="2026-04-15T00:00:00"/>
    <n v="39"/>
    <n v="7"/>
    <n v="1"/>
    <x v="10"/>
  </r>
  <r>
    <s v="CUST0977"/>
    <s v="Kelsey Little"/>
    <n v="33"/>
    <s v="Female"/>
    <s v="Monthly"/>
    <d v="2024-06-08T00:00:00"/>
    <d v="2026-04-23T00:00:00"/>
    <n v="19"/>
    <n v="2"/>
    <n v="1"/>
    <x v="11"/>
  </r>
  <r>
    <s v="CUST0978"/>
    <s v="Stephen Perry"/>
    <n v="27"/>
    <s v="Female"/>
    <s v="Quarterly"/>
    <d v="2025-03-01T00:00:00"/>
    <d v="2026-03-07T00:00:00"/>
    <n v="0"/>
    <n v="7"/>
    <n v="0"/>
    <x v="18"/>
  </r>
  <r>
    <s v="CUST0979"/>
    <s v="George Rivera"/>
    <n v="47"/>
    <s v="Other"/>
    <s v="Yearly"/>
    <d v="2024-05-26T00:00:00"/>
    <d v="2026-03-14T00:00:00"/>
    <n v="74"/>
    <n v="3"/>
    <n v="0"/>
    <x v="6"/>
  </r>
  <r>
    <s v="CUST0980"/>
    <s v="Sarah Robinson"/>
    <n v="26"/>
    <s v="Other"/>
    <s v="Monthly"/>
    <d v="2025-01-01T00:00:00"/>
    <d v="2026-01-26T00:00:00"/>
    <n v="51"/>
    <n v="3"/>
    <n v="1"/>
    <x v="23"/>
  </r>
  <r>
    <s v="CUST0981"/>
    <s v="Diana Contreras"/>
    <n v="41"/>
    <s v="Female"/>
    <s v="Monthly"/>
    <d v="2025-07-09T00:00:00"/>
    <d v="2026-02-11T00:00:00"/>
    <n v="1"/>
    <n v="5"/>
    <n v="1"/>
    <x v="12"/>
  </r>
  <r>
    <s v="CUST0982"/>
    <s v="Victoria Martin"/>
    <n v="50"/>
    <s v="Other"/>
    <s v="Yearly"/>
    <d v="2024-06-24T00:00:00"/>
    <d v="2026-04-22T00:00:00"/>
    <n v="7"/>
    <n v="1"/>
    <n v="1"/>
    <x v="11"/>
  </r>
  <r>
    <s v="CUST0983"/>
    <s v="Karen Wright"/>
    <n v="28"/>
    <s v="Other"/>
    <s v="Yearly"/>
    <d v="2025-03-14T00:00:00"/>
    <d v="2026-04-04T00:00:00"/>
    <n v="1"/>
    <n v="1"/>
    <n v="1"/>
    <x v="18"/>
  </r>
  <r>
    <s v="CUST0984"/>
    <s v="Anthony Blackburn DDS"/>
    <n v="20"/>
    <s v="Male"/>
    <s v="Monthly"/>
    <d v="2025-09-02T00:00:00"/>
    <d v="2026-05-03T00:00:00"/>
    <n v="69"/>
    <n v="9"/>
    <n v="1"/>
    <x v="13"/>
  </r>
  <r>
    <s v="CUST0985"/>
    <s v="Mark Jones"/>
    <n v="42"/>
    <s v="Female"/>
    <s v="Quarterly"/>
    <d v="2024-01-24T00:00:00"/>
    <d v="2026-02-24T00:00:00"/>
    <n v="39"/>
    <n v="7"/>
    <n v="0"/>
    <x v="9"/>
  </r>
  <r>
    <s v="CUST0986"/>
    <s v="Kelly Peters"/>
    <n v="18"/>
    <s v="Female"/>
    <s v="Monthly"/>
    <d v="2023-09-08T00:00:00"/>
    <d v="2026-01-31T00:00:00"/>
    <n v="42"/>
    <n v="6"/>
    <n v="1"/>
    <x v="7"/>
  </r>
  <r>
    <s v="CUST0987"/>
    <s v="Leslie Gomez"/>
    <n v="37"/>
    <s v="Male"/>
    <s v="Monthly"/>
    <d v="2024-11-10T00:00:00"/>
    <d v="2026-03-21T00:00:00"/>
    <n v="35"/>
    <n v="2"/>
    <n v="1"/>
    <x v="24"/>
  </r>
  <r>
    <s v="CUST0988"/>
    <s v="Michael Ingram"/>
    <n v="51"/>
    <s v="Male"/>
    <s v="Yearly"/>
    <d v="2025-12-09T00:00:00"/>
    <d v="2026-04-13T00:00:00"/>
    <n v="8"/>
    <n v="7"/>
    <n v="0"/>
    <x v="28"/>
  </r>
  <r>
    <s v="CUST0989"/>
    <s v="Susan Harrison"/>
    <n v="57"/>
    <s v="Other"/>
    <s v="Quarterly"/>
    <d v="2024-02-09T00:00:00"/>
    <d v="2026-04-25T00:00:00"/>
    <n v="22"/>
    <n v="2"/>
    <n v="0"/>
    <x v="3"/>
  </r>
  <r>
    <s v="CUST0990"/>
    <s v="David Welch"/>
    <n v="51"/>
    <s v="Other"/>
    <s v="Yearly"/>
    <d v="2025-11-23T00:00:00"/>
    <d v="2026-01-21T00:00:00"/>
    <n v="10"/>
    <n v="7"/>
    <n v="0"/>
    <x v="4"/>
  </r>
  <r>
    <s v="CUST0991"/>
    <s v="Doris Moreno"/>
    <n v="42"/>
    <s v="Other"/>
    <s v="Quarterly"/>
    <d v="2026-04-04T00:00:00"/>
    <d v="2026-02-15T00:00:00"/>
    <n v="30"/>
    <n v="2"/>
    <n v="1"/>
    <x v="31"/>
  </r>
  <r>
    <s v="CUST0992"/>
    <s v="Matthew Gardner"/>
    <n v="23"/>
    <s v="Male"/>
    <s v="Quarterly"/>
    <d v="2025-04-14T00:00:00"/>
    <d v="2026-02-16T00:00:00"/>
    <n v="77"/>
    <n v="4"/>
    <n v="0"/>
    <x v="17"/>
  </r>
  <r>
    <s v="CUST0993"/>
    <s v="April Brewer"/>
    <n v="47"/>
    <s v="Other"/>
    <s v="Monthly"/>
    <d v="2024-10-05T00:00:00"/>
    <d v="2026-04-15T00:00:00"/>
    <n v="70"/>
    <n v="9"/>
    <n v="0"/>
    <x v="26"/>
  </r>
  <r>
    <s v="CUST0994"/>
    <s v="Marilyn Morton"/>
    <n v="46"/>
    <s v="Female"/>
    <s v="Monthly"/>
    <d v="2026-01-26T00:00:00"/>
    <d v="2026-04-03T00:00:00"/>
    <n v="38"/>
    <n v="3"/>
    <n v="0"/>
    <x v="29"/>
  </r>
  <r>
    <s v="CUST0995"/>
    <s v="Cory Jordan"/>
    <n v="44"/>
    <s v="Other"/>
    <s v="Quarterly"/>
    <d v="2024-11-18T00:00:00"/>
    <d v="2026-02-06T00:00:00"/>
    <n v="67"/>
    <n v="8"/>
    <n v="0"/>
    <x v="24"/>
  </r>
  <r>
    <s v="CUST0996"/>
    <s v="Benjamin Cross"/>
    <n v="26"/>
    <s v="Female"/>
    <s v="Quarterly"/>
    <d v="2024-08-10T00:00:00"/>
    <d v="2026-03-10T00:00:00"/>
    <n v="62"/>
    <n v="1"/>
    <n v="1"/>
    <x v="21"/>
  </r>
  <r>
    <s v="CUST0997"/>
    <s v="Catherine Miller"/>
    <n v="34"/>
    <s v="Female"/>
    <s v="Monthly"/>
    <d v="2023-08-31T00:00:00"/>
    <d v="2026-02-17T00:00:00"/>
    <n v="13"/>
    <n v="5"/>
    <n v="1"/>
    <x v="32"/>
  </r>
  <r>
    <s v="CUST0998"/>
    <s v="Melinda Perry"/>
    <n v="39"/>
    <s v="Other"/>
    <s v="Quarterly"/>
    <d v="2024-07-07T00:00:00"/>
    <d v="2026-03-07T00:00:00"/>
    <n v="42"/>
    <n v="2"/>
    <n v="0"/>
    <x v="15"/>
  </r>
  <r>
    <s v="CUST0999"/>
    <s v="Melissa Strickland"/>
    <n v="39"/>
    <s v="Female"/>
    <s v="Yearly"/>
    <d v="2024-09-27T00:00:00"/>
    <d v="2026-04-10T00:00:00"/>
    <n v="4"/>
    <n v="4"/>
    <n v="0"/>
    <x v="10"/>
  </r>
  <r>
    <s v="CUST1000"/>
    <s v="Sandra Sandoval"/>
    <n v="40"/>
    <s v="Other"/>
    <s v="Monthly"/>
    <d v="2023-12-22T00:00:00"/>
    <d v="2026-01-08T00:00:00"/>
    <n v="48"/>
    <n v="2"/>
    <n v="1"/>
    <x v="5"/>
  </r>
  <r>
    <s v="CUST1001"/>
    <s v="Bonnie Young"/>
    <n v="27"/>
    <s v="Female"/>
    <s v="Yearly"/>
    <d v="2024-05-07T00:00:00"/>
    <d v="2026-05-03T00:00:00"/>
    <n v="70"/>
    <n v="7"/>
    <n v="0"/>
    <x v="6"/>
  </r>
  <r>
    <s v="CUST1002"/>
    <s v="Kim Martinez"/>
    <n v="58"/>
    <s v="Male"/>
    <s v="Quarterly"/>
    <d v="2025-05-20T00:00:00"/>
    <d v="2026-02-09T00:00:00"/>
    <n v="66"/>
    <n v="2"/>
    <n v="1"/>
    <x v="2"/>
  </r>
  <r>
    <s v="CUST1003"/>
    <s v="Samuel Becker"/>
    <n v="28"/>
    <s v="Other"/>
    <s v="Quarterly"/>
    <d v="2024-04-17T00:00:00"/>
    <d v="2026-02-19T00:00:00"/>
    <n v="40"/>
    <n v="2"/>
    <n v="1"/>
    <x v="0"/>
  </r>
  <r>
    <s v="CUST1004"/>
    <s v="Victoria Baker"/>
    <n v="23"/>
    <s v="Female"/>
    <s v="Quarterly"/>
    <d v="2024-01-23T00:00:00"/>
    <d v="2026-03-25T00:00:00"/>
    <n v="47"/>
    <n v="7"/>
    <n v="0"/>
    <x v="9"/>
  </r>
  <r>
    <s v="CUST1005"/>
    <s v="Taylor Brown"/>
    <n v="51"/>
    <s v="Female"/>
    <s v="Quarterly"/>
    <d v="2026-03-29T00:00:00"/>
    <d v="2026-04-21T00:00:00"/>
    <n v="73"/>
    <n v="7"/>
    <n v="0"/>
    <x v="22"/>
  </r>
  <r>
    <s v="CUST1006"/>
    <s v="Amy Thompson"/>
    <n v="59"/>
    <s v="Other"/>
    <s v="Yearly"/>
    <d v="2025-05-13T00:00:00"/>
    <d v="2026-01-22T00:00:00"/>
    <n v="76"/>
    <n v="4"/>
    <n v="0"/>
    <x v="2"/>
  </r>
  <r>
    <s v="CUST1007"/>
    <s v="Cynthia Barnes"/>
    <n v="57"/>
    <s v="Male"/>
    <s v="Quarterly"/>
    <d v="2026-01-26T00:00:00"/>
    <d v="2026-04-17T00:00:00"/>
    <n v="49"/>
    <n v="6"/>
    <n v="0"/>
    <x v="29"/>
  </r>
  <r>
    <s v="CUST1008"/>
    <s v="Kelly Wong"/>
    <n v="44"/>
    <s v="Other"/>
    <s v="Quarterly"/>
    <d v="2025-06-05T00:00:00"/>
    <d v="2026-04-05T00:00:00"/>
    <n v="65"/>
    <n v="10"/>
    <n v="0"/>
    <x v="27"/>
  </r>
  <r>
    <s v="CUST1009"/>
    <s v="Joel Alexander"/>
    <n v="35"/>
    <s v="Female"/>
    <s v="Quarterly"/>
    <d v="2024-08-02T00:00:00"/>
    <d v="2026-02-17T00:00:00"/>
    <n v="80"/>
    <n v="10"/>
    <n v="0"/>
    <x v="21"/>
  </r>
  <r>
    <s v="CUST1010"/>
    <s v="Michael Ortiz"/>
    <n v="53"/>
    <s v="Other"/>
    <s v="Quarterly"/>
    <d v="2025-08-24T00:00:00"/>
    <d v="2026-04-16T00:00:00"/>
    <n v="54"/>
    <n v="7"/>
    <n v="0"/>
    <x v="20"/>
  </r>
  <r>
    <s v="CUST1011"/>
    <s v="Dillon Barnes"/>
    <n v="32"/>
    <s v="Other"/>
    <s v="Quarterly"/>
    <d v="2024-12-30T00:00:00"/>
    <d v="2026-02-25T00:00:00"/>
    <n v="32"/>
    <n v="4"/>
    <n v="0"/>
    <x v="14"/>
  </r>
  <r>
    <s v="CUST1012"/>
    <s v="Jordan Ballard"/>
    <n v="33"/>
    <s v="Male"/>
    <s v="Yearly"/>
    <d v="2024-05-15T00:00:00"/>
    <d v="2026-02-06T00:00:00"/>
    <n v="44"/>
    <n v="1"/>
    <n v="0"/>
    <x v="6"/>
  </r>
  <r>
    <s v="CUST1013"/>
    <s v="Joshua Sharp"/>
    <n v="30"/>
    <s v="Female"/>
    <s v="Yearly"/>
    <d v="2023-12-04T00:00:00"/>
    <d v="2026-04-14T00:00:00"/>
    <n v="4"/>
    <n v="6"/>
    <n v="0"/>
    <x v="5"/>
  </r>
  <r>
    <s v="CUST1014"/>
    <s v="Shannon Butler"/>
    <n v="45"/>
    <s v="Female"/>
    <s v="Monthly"/>
    <d v="2024-09-23T00:00:00"/>
    <d v="2026-03-31T00:00:00"/>
    <n v="64"/>
    <n v="1"/>
    <n v="0"/>
    <x v="10"/>
  </r>
  <r>
    <s v="CUST1015"/>
    <s v="Kaylee Wright"/>
    <n v="35"/>
    <s v="Female"/>
    <s v="Quarterly"/>
    <d v="2025-11-18T00:00:00"/>
    <d v="2026-04-16T00:00:00"/>
    <n v="65"/>
    <n v="3"/>
    <n v="1"/>
    <x v="4"/>
  </r>
  <r>
    <s v="CUST1016"/>
    <s v="Kevin Collier"/>
    <n v="37"/>
    <s v="Other"/>
    <s v="Yearly"/>
    <d v="2025-03-10T00:00:00"/>
    <d v="2026-04-18T00:00:00"/>
    <n v="57"/>
    <n v="10"/>
    <n v="0"/>
    <x v="18"/>
  </r>
  <r>
    <s v="CUST1017"/>
    <s v="Antonio Skinner"/>
    <n v="47"/>
    <s v="Female"/>
    <s v="Quarterly"/>
    <d v="2025-02-23T00:00:00"/>
    <d v="2026-04-17T00:00:00"/>
    <n v="54"/>
    <n v="6"/>
    <n v="0"/>
    <x v="19"/>
  </r>
  <r>
    <s v="CUST1018"/>
    <s v="Jennifer Coleman"/>
    <n v="49"/>
    <s v="Female"/>
    <s v="Monthly"/>
    <d v="2023-09-22T00:00:00"/>
    <d v="2026-05-06T00:00:00"/>
    <n v="70"/>
    <n v="9"/>
    <n v="0"/>
    <x v="7"/>
  </r>
  <r>
    <s v="CUST1019"/>
    <s v="Sabrina Figueroa"/>
    <n v="28"/>
    <s v="Male"/>
    <s v="Monthly"/>
    <d v="2026-03-19T00:00:00"/>
    <d v="2026-01-08T00:00:00"/>
    <n v="20"/>
    <n v="7"/>
    <n v="0"/>
    <x v="22"/>
  </r>
  <r>
    <s v="CUST1020"/>
    <s v="Adam Garcia"/>
    <n v="55"/>
    <s v="Female"/>
    <s v="Quarterly"/>
    <d v="2024-02-05T00:00:00"/>
    <d v="2026-02-19T00:00:00"/>
    <n v="51"/>
    <n v="10"/>
    <n v="0"/>
    <x v="3"/>
  </r>
  <r>
    <s v="CUST1021"/>
    <s v="Todd Clark"/>
    <n v="27"/>
    <s v="Female"/>
    <s v="Quarterly"/>
    <d v="2026-01-12T00:00:00"/>
    <d v="2026-03-29T00:00:00"/>
    <n v="47"/>
    <n v="5"/>
    <n v="0"/>
    <x v="29"/>
  </r>
  <r>
    <s v="CUST1022"/>
    <s v="Ronnie Hobbs"/>
    <n v="40"/>
    <s v="Female"/>
    <s v="Yearly"/>
    <d v="2025-12-03T00:00:00"/>
    <d v="2026-03-02T00:00:00"/>
    <n v="43"/>
    <n v="6"/>
    <n v="0"/>
    <x v="28"/>
  </r>
  <r>
    <s v="CUST1023"/>
    <s v="Devon Stafford"/>
    <n v="55"/>
    <s v="Other"/>
    <s v="Monthly"/>
    <d v="2025-12-15T00:00:00"/>
    <d v="2026-01-15T00:00:00"/>
    <n v="72"/>
    <n v="5"/>
    <n v="1"/>
    <x v="28"/>
  </r>
  <r>
    <s v="CUST1024"/>
    <s v="Joshua Rodriguez"/>
    <n v="52"/>
    <s v="Male"/>
    <s v="Quarterly"/>
    <d v="2025-06-05T00:00:00"/>
    <d v="2026-04-24T00:00:00"/>
    <n v="60"/>
    <n v="5"/>
    <n v="0"/>
    <x v="27"/>
  </r>
  <r>
    <s v="CUST1025"/>
    <s v="Shannon Gomez"/>
    <n v="19"/>
    <s v="Female"/>
    <s v="Quarterly"/>
    <d v="2024-04-25T00:00:00"/>
    <d v="2026-02-16T00:00:00"/>
    <n v="51"/>
    <n v="10"/>
    <n v="0"/>
    <x v="0"/>
  </r>
  <r>
    <s v="CUST1026"/>
    <s v="Sheila Waters"/>
    <n v="51"/>
    <s v="Female"/>
    <s v="Monthly"/>
    <d v="2024-05-30T00:00:00"/>
    <d v="2026-04-19T00:00:00"/>
    <n v="60"/>
    <n v="8"/>
    <n v="0"/>
    <x v="6"/>
  </r>
  <r>
    <s v="CUST1027"/>
    <s v="Michael Pierce"/>
    <n v="47"/>
    <s v="Other"/>
    <s v="Yearly"/>
    <d v="2025-11-12T00:00:00"/>
    <d v="2026-02-27T00:00:00"/>
    <n v="2"/>
    <n v="1"/>
    <n v="1"/>
    <x v="4"/>
  </r>
  <r>
    <s v="CUST1028"/>
    <s v="Amber Turner"/>
    <n v="19"/>
    <s v="Male"/>
    <s v="Monthly"/>
    <d v="2024-12-20T00:00:00"/>
    <d v="2026-01-10T00:00:00"/>
    <n v="16"/>
    <n v="3"/>
    <n v="0"/>
    <x v="14"/>
  </r>
  <r>
    <s v="CUST1029"/>
    <s v="Anna Delacruz"/>
    <n v="51"/>
    <s v="Other"/>
    <s v="Monthly"/>
    <d v="2023-09-04T00:00:00"/>
    <d v="2026-03-16T00:00:00"/>
    <n v="14"/>
    <n v="8"/>
    <n v="0"/>
    <x v="7"/>
  </r>
  <r>
    <s v="CUST1030"/>
    <s v="Crystal Everett"/>
    <n v="21"/>
    <s v="Female"/>
    <s v="Monthly"/>
    <d v="2023-08-31T00:00:00"/>
    <d v="2026-04-27T00:00:00"/>
    <n v="17"/>
    <n v="1"/>
    <n v="1"/>
    <x v="32"/>
  </r>
  <r>
    <s v="CUST1031"/>
    <s v="Leslie James"/>
    <n v="32"/>
    <s v="Male"/>
    <s v="Monthly"/>
    <d v="2024-06-21T00:00:00"/>
    <d v="2026-02-25T00:00:00"/>
    <n v="33"/>
    <n v="9"/>
    <n v="1"/>
    <x v="11"/>
  </r>
  <r>
    <s v="CUST1032"/>
    <s v="John Taylor"/>
    <n v="56"/>
    <s v="Other"/>
    <s v="Monthly"/>
    <d v="2025-09-25T00:00:00"/>
    <d v="2026-03-15T00:00:00"/>
    <n v="36"/>
    <n v="9"/>
    <n v="0"/>
    <x v="13"/>
  </r>
  <r>
    <s v="CUST1033"/>
    <s v="Kevin Stokes"/>
    <n v="56"/>
    <s v="Other"/>
    <s v="Quarterly"/>
    <d v="2023-12-16T00:00:00"/>
    <d v="2026-03-12T00:00:00"/>
    <n v="70"/>
    <n v="8"/>
    <n v="0"/>
    <x v="5"/>
  </r>
  <r>
    <s v="CUST1034"/>
    <s v="Christopher Patel"/>
    <n v="43"/>
    <s v="Other"/>
    <s v="Monthly"/>
    <d v="2025-06-20T00:00:00"/>
    <d v="2026-04-25T00:00:00"/>
    <n v="58"/>
    <n v="7"/>
    <n v="1"/>
    <x v="27"/>
  </r>
  <r>
    <s v="CUST1035"/>
    <s v="Clifford Buckley"/>
    <n v="24"/>
    <s v="Female"/>
    <s v="Quarterly"/>
    <d v="2024-12-26T00:00:00"/>
    <d v="2026-01-30T00:00:00"/>
    <n v="66"/>
    <n v="9"/>
    <n v="1"/>
    <x v="14"/>
  </r>
  <r>
    <s v="CUST1036"/>
    <s v="Gregory Luna"/>
    <n v="29"/>
    <s v="Male"/>
    <s v="Yearly"/>
    <d v="2024-01-20T00:00:00"/>
    <d v="2026-05-05T00:00:00"/>
    <n v="78"/>
    <n v="10"/>
    <n v="0"/>
    <x v="9"/>
  </r>
  <r>
    <s v="CUST1037"/>
    <s v="Maria Jones"/>
    <n v="49"/>
    <s v="Female"/>
    <s v="Monthly"/>
    <d v="2024-10-05T00:00:00"/>
    <d v="2026-04-25T00:00:00"/>
    <n v="17"/>
    <n v="2"/>
    <n v="1"/>
    <x v="26"/>
  </r>
  <r>
    <s v="CUST1038"/>
    <s v="Jennifer Rodriguez"/>
    <n v="31"/>
    <s v="Female"/>
    <s v="Quarterly"/>
    <d v="2024-12-18T00:00:00"/>
    <d v="2026-03-04T00:00:00"/>
    <n v="74"/>
    <n v="1"/>
    <n v="0"/>
    <x v="14"/>
  </r>
  <r>
    <s v="CUST1039"/>
    <s v="Alex Garcia"/>
    <n v="40"/>
    <s v="Male"/>
    <s v="Yearly"/>
    <d v="2025-09-03T00:00:00"/>
    <d v="2026-04-04T00:00:00"/>
    <n v="39"/>
    <n v="5"/>
    <n v="0"/>
    <x v="13"/>
  </r>
  <r>
    <s v="CUST1040"/>
    <s v="Jennifer Davis"/>
    <n v="24"/>
    <s v="Other"/>
    <s v="Quarterly"/>
    <d v="2024-11-04T00:00:00"/>
    <d v="2026-03-23T00:00:00"/>
    <n v="31"/>
    <n v="9"/>
    <n v="0"/>
    <x v="24"/>
  </r>
  <r>
    <s v="CUST1041"/>
    <s v="Justin Greene"/>
    <n v="54"/>
    <s v="Other"/>
    <s v="Quarterly"/>
    <d v="2024-10-28T00:00:00"/>
    <d v="2026-01-31T00:00:00"/>
    <n v="61"/>
    <n v="7"/>
    <n v="1"/>
    <x v="26"/>
  </r>
  <r>
    <s v="CUST1042"/>
    <s v="Joseph Phillips"/>
    <n v="50"/>
    <s v="Female"/>
    <s v="Quarterly"/>
    <d v="2025-01-02T00:00:00"/>
    <d v="2026-03-31T00:00:00"/>
    <n v="74"/>
    <n v="7"/>
    <n v="0"/>
    <x v="23"/>
  </r>
  <r>
    <s v="CUST1043"/>
    <s v="Jacob Rodriguez"/>
    <n v="55"/>
    <s v="Male"/>
    <s v="Quarterly"/>
    <d v="2024-06-17T00:00:00"/>
    <d v="2026-01-25T00:00:00"/>
    <n v="7"/>
    <n v="3"/>
    <n v="0"/>
    <x v="11"/>
  </r>
  <r>
    <s v="CUST1044"/>
    <s v="Rhonda Walters"/>
    <n v="37"/>
    <s v="Female"/>
    <s v="Monthly"/>
    <d v="2026-02-17T00:00:00"/>
    <d v="2026-02-14T00:00:00"/>
    <n v="7"/>
    <n v="10"/>
    <n v="0"/>
    <x v="16"/>
  </r>
  <r>
    <s v="CUST1045"/>
    <s v="Christopher Brown"/>
    <n v="60"/>
    <s v="Female"/>
    <s v="Monthly"/>
    <d v="2025-06-28T00:00:00"/>
    <d v="2026-04-28T00:00:00"/>
    <n v="11"/>
    <n v="5"/>
    <n v="0"/>
    <x v="27"/>
  </r>
  <r>
    <s v="CUST1046"/>
    <s v="Cynthia Rodriguez"/>
    <n v="49"/>
    <s v="Female"/>
    <s v="Monthly"/>
    <d v="2024-09-29T00:00:00"/>
    <d v="2026-04-14T00:00:00"/>
    <n v="30"/>
    <n v="8"/>
    <n v="1"/>
    <x v="10"/>
  </r>
  <r>
    <s v="CUST1047"/>
    <s v="Matthew Marshall"/>
    <n v="27"/>
    <s v="Other"/>
    <s v="Monthly"/>
    <d v="2025-09-02T00:00:00"/>
    <d v="2026-03-26T00:00:00"/>
    <n v="2"/>
    <n v="10"/>
    <n v="1"/>
    <x v="13"/>
  </r>
  <r>
    <s v="CUST1048"/>
    <s v="Leslie Proctor"/>
    <n v="26"/>
    <s v="Other"/>
    <s v="Yearly"/>
    <d v="2025-03-07T00:00:00"/>
    <d v="2026-04-30T00:00:00"/>
    <n v="40"/>
    <n v="3"/>
    <n v="0"/>
    <x v="18"/>
  </r>
  <r>
    <s v="CUST1049"/>
    <s v="Katherine Fernandez"/>
    <n v="20"/>
    <s v="Other"/>
    <s v="Monthly"/>
    <d v="2026-02-04T00:00:00"/>
    <d v="2026-02-19T00:00:00"/>
    <n v="22"/>
    <n v="2"/>
    <n v="1"/>
    <x v="16"/>
  </r>
  <r>
    <s v="CUST1050"/>
    <s v="Jeffrey Gibson"/>
    <n v="33"/>
    <s v="Other"/>
    <s v="Monthly"/>
    <d v="2025-10-27T00:00:00"/>
    <d v="2026-03-27T00:00:00"/>
    <n v="76"/>
    <n v="3"/>
    <n v="1"/>
    <x v="25"/>
  </r>
  <r>
    <s v="CUST1051"/>
    <s v="Andrea Salinas"/>
    <n v="41"/>
    <s v="Male"/>
    <s v="Monthly"/>
    <d v="2025-02-18T00:00:00"/>
    <d v="2026-01-26T00:00:00"/>
    <n v="60"/>
    <n v="10"/>
    <n v="0"/>
    <x v="19"/>
  </r>
  <r>
    <s v="CUST1052"/>
    <s v="Michael Jones"/>
    <n v="18"/>
    <s v="Other"/>
    <s v="Monthly"/>
    <d v="2025-10-13T00:00:00"/>
    <d v="2026-03-13T00:00:00"/>
    <n v="12"/>
    <n v="3"/>
    <n v="1"/>
    <x v="25"/>
  </r>
  <r>
    <s v="CUST1053"/>
    <s v="David Reynolds"/>
    <n v="18"/>
    <s v="Male"/>
    <s v="Yearly"/>
    <d v="2024-05-30T00:00:00"/>
    <d v="2026-02-23T00:00:00"/>
    <n v="73"/>
    <n v="10"/>
    <n v="0"/>
    <x v="6"/>
  </r>
  <r>
    <s v="CUST1054"/>
    <s v="Nancy Jackson"/>
    <n v="58"/>
    <s v="Male"/>
    <s v="Quarterly"/>
    <d v="2023-12-16T00:00:00"/>
    <d v="2026-03-22T00:00:00"/>
    <n v="75"/>
    <n v="7"/>
    <n v="0"/>
    <x v="5"/>
  </r>
  <r>
    <s v="CUST1055"/>
    <s v="Randy Murray"/>
    <n v="26"/>
    <s v="Other"/>
    <s v="Monthly"/>
    <d v="2025-02-03T00:00:00"/>
    <d v="2026-02-01T00:00:00"/>
    <n v="72"/>
    <n v="6"/>
    <n v="0"/>
    <x v="19"/>
  </r>
  <r>
    <s v="CUST1056"/>
    <s v="Angela Hampton"/>
    <n v="53"/>
    <s v="Other"/>
    <s v="Quarterly"/>
    <d v="2025-01-11T00:00:00"/>
    <d v="2026-04-06T00:00:00"/>
    <n v="68"/>
    <n v="2"/>
    <n v="1"/>
    <x v="23"/>
  </r>
  <r>
    <s v="CUST1057"/>
    <s v="Margaret Nguyen"/>
    <n v="41"/>
    <s v="Female"/>
    <s v="Quarterly"/>
    <d v="2025-03-08T00:00:00"/>
    <d v="2026-01-08T00:00:00"/>
    <n v="61"/>
    <n v="10"/>
    <n v="0"/>
    <x v="18"/>
  </r>
  <r>
    <s v="CUST1058"/>
    <s v="Francis Garcia"/>
    <n v="45"/>
    <s v="Female"/>
    <s v="Yearly"/>
    <d v="2026-01-29T00:00:00"/>
    <d v="2026-01-31T00:00:00"/>
    <n v="24"/>
    <n v="6"/>
    <n v="1"/>
    <x v="29"/>
  </r>
  <r>
    <s v="CUST1059"/>
    <s v="Allison Smith"/>
    <n v="38"/>
    <s v="Male"/>
    <s v="Monthly"/>
    <d v="2023-12-31T00:00:00"/>
    <d v="2026-02-24T00:00:00"/>
    <n v="32"/>
    <n v="2"/>
    <n v="1"/>
    <x v="5"/>
  </r>
  <r>
    <s v="CUST1060"/>
    <s v="Daniel Jones"/>
    <n v="58"/>
    <s v="Other"/>
    <s v="Monthly"/>
    <d v="2025-12-19T00:00:00"/>
    <d v="2026-04-05T00:00:00"/>
    <n v="2"/>
    <n v="2"/>
    <n v="1"/>
    <x v="28"/>
  </r>
  <r>
    <s v="CUST1061"/>
    <s v="Anna Johnson"/>
    <n v="51"/>
    <s v="Male"/>
    <s v="Monthly"/>
    <d v="2023-10-16T00:00:00"/>
    <d v="2026-03-19T00:00:00"/>
    <n v="2"/>
    <n v="6"/>
    <n v="0"/>
    <x v="8"/>
  </r>
  <r>
    <s v="CUST1062"/>
    <s v="Jerry Spencer"/>
    <n v="57"/>
    <s v="Other"/>
    <s v="Monthly"/>
    <d v="2025-09-29T00:00:00"/>
    <d v="2026-04-05T00:00:00"/>
    <n v="37"/>
    <n v="5"/>
    <n v="0"/>
    <x v="13"/>
  </r>
  <r>
    <s v="CUST1063"/>
    <s v="Alyssa Perez"/>
    <n v="20"/>
    <s v="Female"/>
    <s v="Yearly"/>
    <d v="2025-12-14T00:00:00"/>
    <d v="2026-03-21T00:00:00"/>
    <n v="28"/>
    <n v="2"/>
    <n v="0"/>
    <x v="28"/>
  </r>
  <r>
    <s v="CUST1064"/>
    <s v="Lindsay Richardson"/>
    <n v="46"/>
    <s v="Male"/>
    <s v="Quarterly"/>
    <d v="2025-04-21T00:00:00"/>
    <d v="2026-03-30T00:00:00"/>
    <n v="49"/>
    <n v="6"/>
    <n v="0"/>
    <x v="17"/>
  </r>
  <r>
    <s v="CUST1065"/>
    <s v="Theodore Francis"/>
    <n v="21"/>
    <s v="Other"/>
    <s v="Monthly"/>
    <d v="2026-03-27T00:00:00"/>
    <d v="2026-04-12T00:00:00"/>
    <n v="43"/>
    <n v="2"/>
    <n v="1"/>
    <x v="22"/>
  </r>
  <r>
    <s v="CUST1066"/>
    <s v="Jessica Smith DDS"/>
    <n v="58"/>
    <s v="Other"/>
    <s v="Monthly"/>
    <d v="2025-05-13T00:00:00"/>
    <d v="2026-01-15T00:00:00"/>
    <n v="67"/>
    <n v="4"/>
    <n v="1"/>
    <x v="2"/>
  </r>
  <r>
    <s v="CUST1067"/>
    <s v="Jim Thompson"/>
    <n v="36"/>
    <s v="Other"/>
    <s v="Monthly"/>
    <d v="2025-11-14T00:00:00"/>
    <d v="2026-01-14T00:00:00"/>
    <n v="18"/>
    <n v="4"/>
    <n v="1"/>
    <x v="4"/>
  </r>
  <r>
    <s v="CUST1068"/>
    <s v="Keith Frederick"/>
    <n v="58"/>
    <s v="Male"/>
    <s v="Quarterly"/>
    <d v="2023-09-17T00:00:00"/>
    <d v="2026-02-02T00:00:00"/>
    <n v="35"/>
    <n v="8"/>
    <n v="1"/>
    <x v="7"/>
  </r>
  <r>
    <s v="CUST1069"/>
    <s v="Emily Thompson"/>
    <n v="21"/>
    <s v="Male"/>
    <s v="Monthly"/>
    <d v="2024-07-10T00:00:00"/>
    <d v="2026-02-11T00:00:00"/>
    <n v="50"/>
    <n v="4"/>
    <n v="1"/>
    <x v="15"/>
  </r>
  <r>
    <s v="CUST1070"/>
    <s v="Jacqueline Mcintosh"/>
    <n v="50"/>
    <s v="Male"/>
    <s v="Monthly"/>
    <d v="2024-09-28T00:00:00"/>
    <d v="2026-04-06T00:00:00"/>
    <n v="53"/>
    <n v="7"/>
    <n v="0"/>
    <x v="10"/>
  </r>
  <r>
    <s v="CUST1071"/>
    <s v="Sheila Patel"/>
    <n v="57"/>
    <s v="Female"/>
    <s v="Quarterly"/>
    <d v="2024-01-04T00:00:00"/>
    <d v="2026-03-21T00:00:00"/>
    <n v="33"/>
    <n v="1"/>
    <n v="0"/>
    <x v="9"/>
  </r>
  <r>
    <s v="CUST1072"/>
    <s v="Paul Dawson"/>
    <n v="40"/>
    <s v="Other"/>
    <s v="Quarterly"/>
    <d v="2025-01-13T00:00:00"/>
    <d v="2026-02-16T00:00:00"/>
    <n v="75"/>
    <n v="4"/>
    <n v="0"/>
    <x v="23"/>
  </r>
  <r>
    <s v="CUST1073"/>
    <s v="Rebecca Stewart"/>
    <n v="46"/>
    <s v="Other"/>
    <s v="Quarterly"/>
    <d v="2023-09-15T00:00:00"/>
    <d v="2026-04-28T00:00:00"/>
    <n v="42"/>
    <n v="3"/>
    <n v="1"/>
    <x v="7"/>
  </r>
  <r>
    <s v="CUST1074"/>
    <s v="Marcus Mcgee"/>
    <n v="25"/>
    <s v="Other"/>
    <s v="Monthly"/>
    <d v="2024-04-04T00:00:00"/>
    <d v="2026-04-05T00:00:00"/>
    <n v="12"/>
    <n v="3"/>
    <n v="0"/>
    <x v="0"/>
  </r>
  <r>
    <s v="CUST1075"/>
    <s v="Sheila Chan"/>
    <n v="22"/>
    <s v="Female"/>
    <s v="Quarterly"/>
    <d v="2025-12-04T00:00:00"/>
    <d v="2026-02-01T00:00:00"/>
    <n v="33"/>
    <n v="6"/>
    <n v="0"/>
    <x v="28"/>
  </r>
  <r>
    <s v="CUST1076"/>
    <s v="Kathleen Roberts"/>
    <n v="44"/>
    <s v="Other"/>
    <s v="Quarterly"/>
    <d v="2025-01-09T00:00:00"/>
    <d v="2026-03-14T00:00:00"/>
    <n v="35"/>
    <n v="6"/>
    <n v="0"/>
    <x v="23"/>
  </r>
  <r>
    <s v="CUST1077"/>
    <s v="Michelle Berger"/>
    <n v="49"/>
    <s v="Other"/>
    <s v="Quarterly"/>
    <d v="2024-10-31T00:00:00"/>
    <d v="2026-02-22T00:00:00"/>
    <n v="68"/>
    <n v="9"/>
    <n v="1"/>
    <x v="26"/>
  </r>
  <r>
    <s v="CUST1078"/>
    <s v="Philip Bruce"/>
    <n v="50"/>
    <s v="Female"/>
    <s v="Quarterly"/>
    <d v="2025-03-13T00:00:00"/>
    <d v="2026-03-01T00:00:00"/>
    <n v="8"/>
    <n v="6"/>
    <n v="0"/>
    <x v="18"/>
  </r>
  <r>
    <s v="CUST1079"/>
    <s v="Michael Sanford"/>
    <n v="52"/>
    <s v="Female"/>
    <s v="Quarterly"/>
    <d v="2024-02-10T00:00:00"/>
    <d v="2026-04-17T00:00:00"/>
    <n v="8"/>
    <n v="6"/>
    <n v="0"/>
    <x v="3"/>
  </r>
  <r>
    <s v="CUST1080"/>
    <s v="Roberta Grant"/>
    <n v="24"/>
    <s v="Male"/>
    <s v="Monthly"/>
    <d v="2024-12-02T00:00:00"/>
    <d v="2026-05-03T00:00:00"/>
    <n v="25"/>
    <n v="2"/>
    <n v="1"/>
    <x v="14"/>
  </r>
  <r>
    <s v="CUST1081"/>
    <s v="Cathy Brooks"/>
    <n v="34"/>
    <s v="Female"/>
    <s v="Monthly"/>
    <d v="2025-12-28T00:00:00"/>
    <d v="2026-04-26T00:00:00"/>
    <n v="61"/>
    <n v="4"/>
    <n v="0"/>
    <x v="28"/>
  </r>
  <r>
    <s v="CUST1082"/>
    <s v="Christina Robinson"/>
    <n v="59"/>
    <s v="Other"/>
    <s v="Monthly"/>
    <d v="2026-02-12T00:00:00"/>
    <d v="2026-02-20T00:00:00"/>
    <n v="59"/>
    <n v="8"/>
    <n v="1"/>
    <x v="16"/>
  </r>
  <r>
    <s v="CUST1083"/>
    <s v="Nicole Mcdowell"/>
    <n v="57"/>
    <s v="Male"/>
    <s v="Monthly"/>
    <d v="2024-06-22T00:00:00"/>
    <d v="2026-03-16T00:00:00"/>
    <n v="65"/>
    <n v="7"/>
    <n v="0"/>
    <x v="11"/>
  </r>
  <r>
    <s v="CUST1084"/>
    <s v="Aaron Ford"/>
    <n v="39"/>
    <s v="Other"/>
    <s v="Monthly"/>
    <d v="2023-09-07T00:00:00"/>
    <d v="2026-03-02T00:00:00"/>
    <n v="15"/>
    <n v="3"/>
    <n v="1"/>
    <x v="7"/>
  </r>
  <r>
    <s v="CUST1085"/>
    <s v="James Harding"/>
    <n v="54"/>
    <s v="Female"/>
    <s v="Yearly"/>
    <d v="2025-06-28T00:00:00"/>
    <d v="2026-01-22T00:00:00"/>
    <n v="72"/>
    <n v="8"/>
    <n v="1"/>
    <x v="27"/>
  </r>
  <r>
    <s v="CUST1086"/>
    <s v="Martin Reeves"/>
    <n v="55"/>
    <s v="Male"/>
    <s v="Monthly"/>
    <d v="2025-11-30T00:00:00"/>
    <d v="2026-04-24T00:00:00"/>
    <n v="14"/>
    <n v="3"/>
    <n v="0"/>
    <x v="4"/>
  </r>
  <r>
    <s v="CUST1087"/>
    <s v="Jennifer Salazar DVM"/>
    <n v="36"/>
    <s v="Other"/>
    <s v="Monthly"/>
    <d v="2025-08-14T00:00:00"/>
    <d v="2026-04-18T00:00:00"/>
    <n v="72"/>
    <n v="7"/>
    <n v="0"/>
    <x v="20"/>
  </r>
  <r>
    <s v="CUST1088"/>
    <s v="Margaret Rosales"/>
    <n v="46"/>
    <s v="Female"/>
    <s v="Quarterly"/>
    <d v="2025-06-08T00:00:00"/>
    <d v="2026-02-19T00:00:00"/>
    <n v="70"/>
    <n v="5"/>
    <n v="0"/>
    <x v="27"/>
  </r>
  <r>
    <s v="CUST1089"/>
    <s v="John Wright"/>
    <n v="48"/>
    <s v="Male"/>
    <s v="Monthly"/>
    <d v="2025-09-24T00:00:00"/>
    <d v="2026-02-27T00:00:00"/>
    <n v="50"/>
    <n v="9"/>
    <n v="1"/>
    <x v="13"/>
  </r>
  <r>
    <s v="CUST1090"/>
    <s v="Kayla Stone"/>
    <n v="57"/>
    <s v="Male"/>
    <s v="Monthly"/>
    <d v="2024-11-26T00:00:00"/>
    <d v="2026-02-15T00:00:00"/>
    <n v="26"/>
    <n v="7"/>
    <n v="0"/>
    <x v="24"/>
  </r>
  <r>
    <s v="CUST1091"/>
    <s v="David Brown"/>
    <n v="53"/>
    <s v="Other"/>
    <s v="Yearly"/>
    <d v="2025-08-10T00:00:00"/>
    <d v="2026-04-07T00:00:00"/>
    <n v="71"/>
    <n v="3"/>
    <n v="1"/>
    <x v="20"/>
  </r>
  <r>
    <s v="CUST1092"/>
    <s v="Paul Wilson"/>
    <n v="22"/>
    <s v="Other"/>
    <s v="Monthly"/>
    <d v="2025-01-06T00:00:00"/>
    <d v="2026-02-15T00:00:00"/>
    <n v="14"/>
    <n v="9"/>
    <n v="0"/>
    <x v="23"/>
  </r>
  <r>
    <s v="CUST1093"/>
    <s v="Charles Lopez"/>
    <n v="26"/>
    <s v="Female"/>
    <s v="Monthly"/>
    <d v="2024-12-07T00:00:00"/>
    <d v="2026-01-19T00:00:00"/>
    <n v="65"/>
    <n v="8"/>
    <n v="1"/>
    <x v="14"/>
  </r>
  <r>
    <s v="CUST1094"/>
    <s v="Elizabeth Peterson"/>
    <n v="45"/>
    <s v="Other"/>
    <s v="Yearly"/>
    <d v="2025-12-19T00:00:00"/>
    <d v="2026-05-07T00:00:00"/>
    <n v="43"/>
    <n v="4"/>
    <n v="0"/>
    <x v="28"/>
  </r>
  <r>
    <s v="CUST1095"/>
    <s v="Jacob Sanders"/>
    <n v="34"/>
    <s v="Male"/>
    <s v="Yearly"/>
    <d v="2025-04-27T00:00:00"/>
    <d v="2026-02-18T00:00:00"/>
    <n v="4"/>
    <n v="7"/>
    <n v="0"/>
    <x v="17"/>
  </r>
  <r>
    <s v="CUST1096"/>
    <s v="John Palmer"/>
    <n v="55"/>
    <s v="Male"/>
    <s v="Monthly"/>
    <d v="2023-12-15T00:00:00"/>
    <d v="2026-01-25T00:00:00"/>
    <n v="75"/>
    <n v="1"/>
    <n v="0"/>
    <x v="5"/>
  </r>
  <r>
    <s v="CUST1097"/>
    <s v="Megan Smith"/>
    <n v="60"/>
    <s v="Other"/>
    <s v="Monthly"/>
    <d v="2026-01-24T00:00:00"/>
    <d v="2026-03-12T00:00:00"/>
    <n v="77"/>
    <n v="4"/>
    <n v="1"/>
    <x v="29"/>
  </r>
  <r>
    <s v="CUST1098"/>
    <s v="John Jones"/>
    <n v="21"/>
    <s v="Female"/>
    <s v="Quarterly"/>
    <d v="2024-03-28T00:00:00"/>
    <d v="2026-02-04T00:00:00"/>
    <n v="38"/>
    <n v="5"/>
    <n v="1"/>
    <x v="30"/>
  </r>
  <r>
    <s v="CUST1099"/>
    <s v="Justin Richmond"/>
    <n v="55"/>
    <s v="Male"/>
    <s v="Quarterly"/>
    <d v="2024-03-28T00:00:00"/>
    <d v="2026-03-03T00:00:00"/>
    <n v="79"/>
    <n v="6"/>
    <n v="0"/>
    <x v="30"/>
  </r>
  <r>
    <s v="CUST1100"/>
    <s v="David Taylor"/>
    <n v="45"/>
    <s v="Female"/>
    <s v="Monthly"/>
    <d v="2025-02-26T00:00:00"/>
    <d v="2026-01-30T00:00:00"/>
    <n v="42"/>
    <n v="3"/>
    <n v="0"/>
    <x v="19"/>
  </r>
  <r>
    <s v="CUST1101"/>
    <s v="Andrew Haynes"/>
    <n v="34"/>
    <s v="Female"/>
    <s v="Monthly"/>
    <d v="2026-01-12T00:00:00"/>
    <d v="2026-04-11T00:00:00"/>
    <n v="6"/>
    <n v="3"/>
    <n v="0"/>
    <x v="29"/>
  </r>
  <r>
    <s v="CUST1102"/>
    <s v="Eric Davis"/>
    <n v="25"/>
    <s v="Other"/>
    <s v="Monthly"/>
    <d v="2024-12-30T00:00:00"/>
    <d v="2026-04-17T00:00:00"/>
    <n v="49"/>
    <n v="9"/>
    <n v="0"/>
    <x v="14"/>
  </r>
  <r>
    <s v="CUST1103"/>
    <s v="Mitchell Obrien"/>
    <n v="38"/>
    <s v="Male"/>
    <s v="Quarterly"/>
    <d v="2026-03-08T00:00:00"/>
    <d v="2026-03-13T00:00:00"/>
    <n v="66"/>
    <n v="1"/>
    <n v="1"/>
    <x v="22"/>
  </r>
  <r>
    <s v="CUST1104"/>
    <s v="Robert Hall"/>
    <n v="28"/>
    <s v="Male"/>
    <s v="Monthly"/>
    <d v="2023-09-12T00:00:00"/>
    <d v="2026-03-02T00:00:00"/>
    <n v="46"/>
    <n v="2"/>
    <n v="1"/>
    <x v="7"/>
  </r>
  <r>
    <s v="CUST1105"/>
    <s v="Brandon Brown"/>
    <n v="22"/>
    <s v="Other"/>
    <s v="Quarterly"/>
    <d v="2026-01-22T00:00:00"/>
    <d v="2026-03-23T00:00:00"/>
    <n v="65"/>
    <n v="10"/>
    <n v="0"/>
    <x v="29"/>
  </r>
  <r>
    <s v="CUST1106"/>
    <s v="Joseph Daniels"/>
    <n v="31"/>
    <s v="Other"/>
    <s v="Yearly"/>
    <d v="2023-09-03T00:00:00"/>
    <d v="2026-01-17T00:00:00"/>
    <n v="12"/>
    <n v="6"/>
    <n v="0"/>
    <x v="7"/>
  </r>
  <r>
    <s v="CUST1107"/>
    <s v="Taylor Bell"/>
    <n v="25"/>
    <s v="Other"/>
    <s v="Yearly"/>
    <d v="2025-03-15T00:00:00"/>
    <d v="2026-05-07T00:00:00"/>
    <n v="34"/>
    <n v="7"/>
    <n v="0"/>
    <x v="18"/>
  </r>
  <r>
    <s v="CUST1108"/>
    <s v="Regina Hawkins"/>
    <n v="45"/>
    <s v="Female"/>
    <s v="Monthly"/>
    <d v="2024-10-15T00:00:00"/>
    <d v="2026-03-25T00:00:00"/>
    <n v="67"/>
    <n v="1"/>
    <n v="0"/>
    <x v="26"/>
  </r>
  <r>
    <s v="CUST1109"/>
    <s v="Molly Rogers"/>
    <n v="60"/>
    <s v="Female"/>
    <s v="Monthly"/>
    <d v="2024-05-17T00:00:00"/>
    <d v="2026-04-28T00:00:00"/>
    <n v="15"/>
    <n v="5"/>
    <n v="1"/>
    <x v="6"/>
  </r>
  <r>
    <s v="CUST1110"/>
    <s v="Jeanette Osborne"/>
    <n v="51"/>
    <s v="Male"/>
    <s v="Monthly"/>
    <d v="2024-10-16T00:00:00"/>
    <d v="2026-01-31T00:00:00"/>
    <n v="69"/>
    <n v="6"/>
    <n v="0"/>
    <x v="26"/>
  </r>
  <r>
    <s v="CUST1111"/>
    <s v="Adam Collier"/>
    <n v="35"/>
    <s v="Other"/>
    <s v="Quarterly"/>
    <d v="2025-01-15T00:00:00"/>
    <d v="2026-01-19T00:00:00"/>
    <n v="66"/>
    <n v="9"/>
    <n v="0"/>
    <x v="23"/>
  </r>
  <r>
    <s v="CUST1112"/>
    <s v="Elijah Chapman"/>
    <n v="58"/>
    <s v="Female"/>
    <s v="Monthly"/>
    <d v="2025-06-14T00:00:00"/>
    <d v="2026-02-03T00:00:00"/>
    <n v="26"/>
    <n v="6"/>
    <n v="0"/>
    <x v="27"/>
  </r>
  <r>
    <s v="CUST1113"/>
    <s v="Sara Kelly"/>
    <n v="47"/>
    <s v="Male"/>
    <s v="Yearly"/>
    <d v="2025-06-03T00:00:00"/>
    <d v="2026-01-31T00:00:00"/>
    <n v="54"/>
    <n v="1"/>
    <n v="1"/>
    <x v="27"/>
  </r>
  <r>
    <s v="CUST1114"/>
    <s v="Michael Turner"/>
    <n v="40"/>
    <s v="Other"/>
    <s v="Quarterly"/>
    <d v="2025-11-27T00:00:00"/>
    <d v="2026-04-02T00:00:00"/>
    <n v="56"/>
    <n v="9"/>
    <n v="0"/>
    <x v="4"/>
  </r>
  <r>
    <s v="CUST1115"/>
    <s v="Elizabeth Richards"/>
    <n v="21"/>
    <s v="Female"/>
    <s v="Monthly"/>
    <d v="2024-08-25T00:00:00"/>
    <d v="2026-03-15T00:00:00"/>
    <n v="30"/>
    <n v="3"/>
    <n v="0"/>
    <x v="21"/>
  </r>
  <r>
    <s v="CUST1116"/>
    <s v="Melissa Burns"/>
    <n v="31"/>
    <s v="Male"/>
    <s v="Quarterly"/>
    <d v="2024-01-24T00:00:00"/>
    <d v="2026-01-28T00:00:00"/>
    <n v="15"/>
    <n v="9"/>
    <n v="0"/>
    <x v="9"/>
  </r>
  <r>
    <s v="CUST1117"/>
    <s v="Michael Cohen"/>
    <n v="26"/>
    <s v="Other"/>
    <s v="Monthly"/>
    <d v="2024-09-16T00:00:00"/>
    <d v="2026-04-23T00:00:00"/>
    <n v="2"/>
    <n v="7"/>
    <n v="1"/>
    <x v="10"/>
  </r>
  <r>
    <s v="CUST1118"/>
    <s v="Rodney Bradley"/>
    <n v="33"/>
    <s v="Male"/>
    <s v="Monthly"/>
    <d v="2026-03-11T00:00:00"/>
    <d v="2026-03-16T00:00:00"/>
    <n v="21"/>
    <n v="4"/>
    <n v="1"/>
    <x v="22"/>
  </r>
  <r>
    <s v="CUST1119"/>
    <s v="Melissa Stephenson"/>
    <n v="42"/>
    <s v="Male"/>
    <s v="Monthly"/>
    <d v="2024-03-12T00:00:00"/>
    <d v="2026-03-13T00:00:00"/>
    <n v="39"/>
    <n v="1"/>
    <n v="0"/>
    <x v="30"/>
  </r>
  <r>
    <s v="CUST1120"/>
    <s v="Joe Lewis"/>
    <n v="19"/>
    <s v="Male"/>
    <s v="Quarterly"/>
    <d v="2024-02-01T00:00:00"/>
    <d v="2026-03-03T00:00:00"/>
    <n v="36"/>
    <n v="8"/>
    <n v="0"/>
    <x v="3"/>
  </r>
  <r>
    <s v="CUST1121"/>
    <s v="Warren Green"/>
    <n v="28"/>
    <s v="Female"/>
    <s v="Quarterly"/>
    <d v="2025-04-10T00:00:00"/>
    <d v="2026-01-19T00:00:00"/>
    <n v="7"/>
    <n v="1"/>
    <n v="0"/>
    <x v="17"/>
  </r>
  <r>
    <s v="CUST1122"/>
    <s v="Joshua Sparks"/>
    <n v="34"/>
    <s v="Female"/>
    <s v="Monthly"/>
    <d v="2025-02-03T00:00:00"/>
    <d v="2026-03-04T00:00:00"/>
    <n v="39"/>
    <n v="2"/>
    <n v="1"/>
    <x v="19"/>
  </r>
  <r>
    <s v="CUST1123"/>
    <s v="Allison Villa"/>
    <n v="21"/>
    <s v="Male"/>
    <s v="Monthly"/>
    <d v="2024-02-15T00:00:00"/>
    <d v="2026-02-12T00:00:00"/>
    <n v="79"/>
    <n v="2"/>
    <n v="1"/>
    <x v="3"/>
  </r>
  <r>
    <s v="CUST1124"/>
    <s v="Olivia Johnson"/>
    <n v="21"/>
    <s v="Other"/>
    <s v="Quarterly"/>
    <d v="2025-02-15T00:00:00"/>
    <d v="2026-01-10T00:00:00"/>
    <n v="1"/>
    <n v="9"/>
    <n v="0"/>
    <x v="19"/>
  </r>
  <r>
    <s v="CUST1125"/>
    <s v="Jason Parker"/>
    <n v="24"/>
    <s v="Female"/>
    <s v="Yearly"/>
    <d v="2024-09-10T00:00:00"/>
    <d v="2026-02-13T00:00:00"/>
    <n v="52"/>
    <n v="6"/>
    <n v="1"/>
    <x v="10"/>
  </r>
  <r>
    <s v="CUST1126"/>
    <s v="Donna Miller"/>
    <n v="22"/>
    <s v="Female"/>
    <s v="Monthly"/>
    <d v="2024-11-09T00:00:00"/>
    <d v="2026-02-02T00:00:00"/>
    <n v="51"/>
    <n v="3"/>
    <n v="0"/>
    <x v="24"/>
  </r>
  <r>
    <s v="CUST1127"/>
    <s v="Janet Anderson"/>
    <n v="46"/>
    <s v="Other"/>
    <s v="Monthly"/>
    <d v="2025-01-25T00:00:00"/>
    <d v="2026-01-26T00:00:00"/>
    <n v="0"/>
    <n v="3"/>
    <n v="1"/>
    <x v="23"/>
  </r>
  <r>
    <s v="CUST1128"/>
    <s v="William Chapman"/>
    <n v="30"/>
    <s v="Male"/>
    <s v="Monthly"/>
    <d v="2025-05-09T00:00:00"/>
    <d v="2026-03-04T00:00:00"/>
    <n v="40"/>
    <n v="8"/>
    <n v="0"/>
    <x v="2"/>
  </r>
  <r>
    <s v="CUST1129"/>
    <s v="Alicia Daniel"/>
    <n v="59"/>
    <s v="Other"/>
    <s v="Monthly"/>
    <d v="2024-01-25T00:00:00"/>
    <d v="2026-01-12T00:00:00"/>
    <n v="76"/>
    <n v="9"/>
    <n v="1"/>
    <x v="9"/>
  </r>
  <r>
    <s v="CUST1130"/>
    <s v="Rebecca Mason"/>
    <n v="38"/>
    <s v="Male"/>
    <s v="Monthly"/>
    <d v="2025-05-06T00:00:00"/>
    <d v="2026-03-26T00:00:00"/>
    <n v="77"/>
    <n v="10"/>
    <n v="1"/>
    <x v="2"/>
  </r>
  <r>
    <s v="CUST1131"/>
    <s v="Leah Norman"/>
    <n v="60"/>
    <s v="Other"/>
    <s v="Monthly"/>
    <d v="2025-08-30T00:00:00"/>
    <d v="2026-04-18T00:00:00"/>
    <n v="15"/>
    <n v="8"/>
    <n v="1"/>
    <x v="20"/>
  </r>
  <r>
    <s v="CUST1132"/>
    <s v="Jeffrey Armstrong"/>
    <n v="55"/>
    <s v="Male"/>
    <s v="Monthly"/>
    <d v="2024-07-27T00:00:00"/>
    <d v="2026-02-01T00:00:00"/>
    <n v="25"/>
    <n v="5"/>
    <n v="0"/>
    <x v="15"/>
  </r>
  <r>
    <s v="CUST1133"/>
    <s v="Todd Ellis"/>
    <n v="25"/>
    <s v="Female"/>
    <s v="Quarterly"/>
    <d v="2024-10-26T00:00:00"/>
    <d v="2026-01-28T00:00:00"/>
    <n v="57"/>
    <n v="5"/>
    <n v="0"/>
    <x v="26"/>
  </r>
  <r>
    <s v="CUST1134"/>
    <s v="Jo Weaver"/>
    <n v="51"/>
    <s v="Female"/>
    <s v="Quarterly"/>
    <d v="2025-09-23T00:00:00"/>
    <d v="2026-01-29T00:00:00"/>
    <n v="76"/>
    <n v="10"/>
    <n v="0"/>
    <x v="13"/>
  </r>
  <r>
    <s v="CUST1135"/>
    <s v="John Barnes"/>
    <n v="33"/>
    <s v="Male"/>
    <s v="Monthly"/>
    <d v="2025-06-16T00:00:00"/>
    <d v="2026-02-25T00:00:00"/>
    <n v="71"/>
    <n v="10"/>
    <n v="0"/>
    <x v="27"/>
  </r>
  <r>
    <s v="CUST1136"/>
    <s v="Michael Petersen"/>
    <n v="48"/>
    <s v="Female"/>
    <s v="Quarterly"/>
    <d v="2026-02-01T00:00:00"/>
    <d v="2026-01-29T00:00:00"/>
    <n v="71"/>
    <n v="6"/>
    <n v="1"/>
    <x v="16"/>
  </r>
  <r>
    <s v="CUST1137"/>
    <s v="Joshua Salas"/>
    <n v="41"/>
    <s v="Female"/>
    <s v="Monthly"/>
    <d v="2025-04-08T00:00:00"/>
    <d v="2026-04-29T00:00:00"/>
    <n v="53"/>
    <n v="8"/>
    <n v="1"/>
    <x v="17"/>
  </r>
  <r>
    <s v="CUST1138"/>
    <s v="Sharon Allen"/>
    <n v="57"/>
    <s v="Other"/>
    <s v="Monthly"/>
    <d v="2024-01-13T00:00:00"/>
    <d v="2026-04-15T00:00:00"/>
    <n v="10"/>
    <n v="9"/>
    <n v="1"/>
    <x v="9"/>
  </r>
  <r>
    <s v="CUST1139"/>
    <s v="Kristin Hampton"/>
    <n v="25"/>
    <s v="Female"/>
    <s v="Quarterly"/>
    <d v="2023-12-11T00:00:00"/>
    <d v="2026-01-26T00:00:00"/>
    <n v="5"/>
    <n v="6"/>
    <n v="0"/>
    <x v="5"/>
  </r>
  <r>
    <s v="CUST1140"/>
    <s v="Lisa Montgomery"/>
    <n v="22"/>
    <s v="Female"/>
    <s v="Yearly"/>
    <d v="2024-08-17T00:00:00"/>
    <d v="2026-01-15T00:00:00"/>
    <n v="56"/>
    <n v="1"/>
    <n v="1"/>
    <x v="21"/>
  </r>
  <r>
    <s v="CUST1141"/>
    <s v="Mark Carpenter"/>
    <n v="28"/>
    <s v="Male"/>
    <s v="Quarterly"/>
    <d v="2025-04-25T00:00:00"/>
    <d v="2026-02-19T00:00:00"/>
    <n v="30"/>
    <n v="4"/>
    <n v="0"/>
    <x v="17"/>
  </r>
  <r>
    <s v="CUST1142"/>
    <s v="Nathan Torres"/>
    <n v="47"/>
    <s v="Male"/>
    <s v="Quarterly"/>
    <d v="2024-02-18T00:00:00"/>
    <d v="2026-02-04T00:00:00"/>
    <n v="58"/>
    <n v="7"/>
    <n v="0"/>
    <x v="3"/>
  </r>
  <r>
    <s v="CUST1143"/>
    <s v="Noah Martin"/>
    <n v="59"/>
    <s v="Male"/>
    <s v="Quarterly"/>
    <d v="2025-07-08T00:00:00"/>
    <d v="2026-04-12T00:00:00"/>
    <n v="23"/>
    <n v="1"/>
    <n v="0"/>
    <x v="12"/>
  </r>
  <r>
    <s v="CUST1144"/>
    <s v="Steven Lee"/>
    <n v="26"/>
    <s v="Other"/>
    <s v="Monthly"/>
    <d v="2024-11-06T00:00:00"/>
    <d v="2026-05-01T00:00:00"/>
    <n v="41"/>
    <n v="9"/>
    <n v="1"/>
    <x v="24"/>
  </r>
  <r>
    <s v="CUST1145"/>
    <s v="Christopher Joyce"/>
    <n v="37"/>
    <s v="Male"/>
    <s v="Quarterly"/>
    <d v="2025-11-02T00:00:00"/>
    <d v="2026-02-20T00:00:00"/>
    <n v="26"/>
    <n v="3"/>
    <n v="1"/>
    <x v="4"/>
  </r>
  <r>
    <s v="CUST1146"/>
    <s v="Stanley Medina"/>
    <n v="46"/>
    <s v="Female"/>
    <s v="Monthly"/>
    <d v="2025-11-16T00:00:00"/>
    <d v="2026-05-02T00:00:00"/>
    <n v="15"/>
    <n v="3"/>
    <n v="0"/>
    <x v="4"/>
  </r>
  <r>
    <s v="CUST1147"/>
    <s v="Dennis Diaz"/>
    <n v="20"/>
    <s v="Male"/>
    <s v="Monthly"/>
    <d v="2025-08-03T00:00:00"/>
    <d v="2026-02-06T00:00:00"/>
    <n v="73"/>
    <n v="1"/>
    <n v="1"/>
    <x v="20"/>
  </r>
  <r>
    <s v="CUST1148"/>
    <s v="Zachary Chapman"/>
    <n v="19"/>
    <s v="Female"/>
    <s v="Yearly"/>
    <d v="2025-08-31T00:00:00"/>
    <d v="2026-01-16T00:00:00"/>
    <n v="62"/>
    <n v="6"/>
    <n v="0"/>
    <x v="20"/>
  </r>
  <r>
    <s v="CUST1149"/>
    <s v="Robert Palmer"/>
    <n v="53"/>
    <s v="Other"/>
    <s v="Monthly"/>
    <d v="2023-09-17T00:00:00"/>
    <d v="2026-03-06T00:00:00"/>
    <n v="27"/>
    <n v="10"/>
    <n v="0"/>
    <x v="7"/>
  </r>
  <r>
    <s v="CUST1150"/>
    <s v="Rebecca Clark"/>
    <n v="50"/>
    <s v="Female"/>
    <s v="Yearly"/>
    <d v="2026-03-15T00:00:00"/>
    <d v="2026-04-22T00:00:00"/>
    <n v="58"/>
    <n v="2"/>
    <n v="0"/>
    <x v="22"/>
  </r>
  <r>
    <s v="CUST1151"/>
    <s v="Martha Tanner"/>
    <n v="45"/>
    <s v="Other"/>
    <s v="Yearly"/>
    <d v="2023-11-27T00:00:00"/>
    <d v="2026-02-21T00:00:00"/>
    <n v="76"/>
    <n v="7"/>
    <n v="1"/>
    <x v="1"/>
  </r>
  <r>
    <s v="CUST1152"/>
    <s v="Peter Miller"/>
    <n v="34"/>
    <s v="Female"/>
    <s v="Monthly"/>
    <d v="2024-03-07T00:00:00"/>
    <d v="2026-02-06T00:00:00"/>
    <n v="29"/>
    <n v="3"/>
    <n v="1"/>
    <x v="30"/>
  </r>
  <r>
    <s v="CUST1153"/>
    <s v="Michael Garrett"/>
    <n v="50"/>
    <s v="Female"/>
    <s v="Monthly"/>
    <d v="2024-07-09T00:00:00"/>
    <d v="2026-04-25T00:00:00"/>
    <n v="51"/>
    <n v="10"/>
    <n v="0"/>
    <x v="15"/>
  </r>
  <r>
    <s v="CUST1154"/>
    <s v="Sandra Chambers"/>
    <n v="51"/>
    <s v="Other"/>
    <s v="Quarterly"/>
    <d v="2025-02-03T00:00:00"/>
    <d v="2026-03-11T00:00:00"/>
    <n v="7"/>
    <n v="8"/>
    <n v="0"/>
    <x v="19"/>
  </r>
  <r>
    <s v="CUST1155"/>
    <s v="Kathy Sanchez"/>
    <n v="32"/>
    <s v="Female"/>
    <s v="Monthly"/>
    <d v="2024-10-28T00:00:00"/>
    <d v="2026-03-18T00:00:00"/>
    <n v="12"/>
    <n v="1"/>
    <n v="1"/>
    <x v="26"/>
  </r>
  <r>
    <s v="CUST1156"/>
    <s v="Michelle Jones"/>
    <n v="46"/>
    <s v="Male"/>
    <s v="Monthly"/>
    <d v="2025-04-21T00:00:00"/>
    <d v="2026-03-02T00:00:00"/>
    <n v="72"/>
    <n v="5"/>
    <n v="1"/>
    <x v="17"/>
  </r>
  <r>
    <s v="CUST1157"/>
    <s v="Johnny White"/>
    <n v="45"/>
    <s v="Male"/>
    <s v="Monthly"/>
    <d v="2025-11-26T00:00:00"/>
    <d v="2026-02-24T00:00:00"/>
    <n v="66"/>
    <n v="9"/>
    <n v="1"/>
    <x v="4"/>
  </r>
  <r>
    <s v="CUST1158"/>
    <s v="Teresa Hamilton"/>
    <n v="52"/>
    <s v="Female"/>
    <s v="Quarterly"/>
    <d v="2025-07-25T00:00:00"/>
    <d v="2026-03-30T00:00:00"/>
    <n v="62"/>
    <n v="6"/>
    <n v="0"/>
    <x v="12"/>
  </r>
  <r>
    <s v="CUST1159"/>
    <s v="Bryan Williams"/>
    <n v="21"/>
    <s v="Female"/>
    <s v="Monthly"/>
    <d v="2024-12-28T00:00:00"/>
    <d v="2026-01-24T00:00:00"/>
    <n v="22"/>
    <n v="3"/>
    <n v="1"/>
    <x v="14"/>
  </r>
  <r>
    <s v="CUST1160"/>
    <s v="Angela Hebert"/>
    <n v="34"/>
    <s v="Female"/>
    <s v="Monthly"/>
    <d v="2025-03-01T00:00:00"/>
    <d v="2026-04-27T00:00:00"/>
    <n v="77"/>
    <n v="5"/>
    <n v="0"/>
    <x v="18"/>
  </r>
  <r>
    <s v="CUST1161"/>
    <s v="Paul Rogers"/>
    <n v="56"/>
    <s v="Female"/>
    <s v="Quarterly"/>
    <d v="2024-10-07T00:00:00"/>
    <d v="2026-02-01T00:00:00"/>
    <n v="49"/>
    <n v="3"/>
    <n v="0"/>
    <x v="26"/>
  </r>
  <r>
    <s v="CUST1162"/>
    <s v="Philip Gonzales"/>
    <n v="49"/>
    <s v="Female"/>
    <s v="Quarterly"/>
    <d v="2025-02-22T00:00:00"/>
    <d v="2026-01-30T00:00:00"/>
    <n v="51"/>
    <n v="2"/>
    <n v="1"/>
    <x v="19"/>
  </r>
  <r>
    <s v="CUST1163"/>
    <s v="Aaron Rivera"/>
    <n v="40"/>
    <s v="Male"/>
    <s v="Monthly"/>
    <d v="2024-12-28T00:00:00"/>
    <d v="2026-04-05T00:00:00"/>
    <n v="21"/>
    <n v="6"/>
    <n v="0"/>
    <x v="14"/>
  </r>
  <r>
    <s v="CUST1164"/>
    <s v="Denise Olson"/>
    <n v="19"/>
    <s v="Female"/>
    <s v="Monthly"/>
    <d v="2026-02-07T00:00:00"/>
    <d v="2026-03-26T00:00:00"/>
    <n v="75"/>
    <n v="3"/>
    <n v="1"/>
    <x v="16"/>
  </r>
  <r>
    <s v="CUST1165"/>
    <s v="Kathleen Johnson"/>
    <n v="57"/>
    <s v="Female"/>
    <s v="Quarterly"/>
    <d v="2024-08-12T00:00:00"/>
    <d v="2026-02-28T00:00:00"/>
    <n v="60"/>
    <n v="4"/>
    <n v="1"/>
    <x v="21"/>
  </r>
  <r>
    <s v="CUST1166"/>
    <s v="Scott Crawford"/>
    <n v="23"/>
    <s v="Other"/>
    <s v="Monthly"/>
    <d v="2025-06-30T00:00:00"/>
    <d v="2026-04-17T00:00:00"/>
    <n v="74"/>
    <n v="7"/>
    <n v="1"/>
    <x v="27"/>
  </r>
  <r>
    <s v="CUST1167"/>
    <s v="Jeffrey Barton"/>
    <n v="38"/>
    <s v="Female"/>
    <s v="Monthly"/>
    <d v="2024-06-19T00:00:00"/>
    <d v="2026-04-28T00:00:00"/>
    <n v="47"/>
    <n v="2"/>
    <n v="1"/>
    <x v="11"/>
  </r>
  <r>
    <s v="CUST1168"/>
    <s v="James Anderson"/>
    <n v="60"/>
    <s v="Other"/>
    <s v="Quarterly"/>
    <d v="2025-08-31T00:00:00"/>
    <d v="2026-03-06T00:00:00"/>
    <n v="58"/>
    <n v="2"/>
    <n v="0"/>
    <x v="20"/>
  </r>
  <r>
    <s v="CUST1169"/>
    <s v="Jack Thomas"/>
    <n v="36"/>
    <s v="Other"/>
    <s v="Monthly"/>
    <d v="2023-10-19T00:00:00"/>
    <d v="2026-02-27T00:00:00"/>
    <n v="16"/>
    <n v="3"/>
    <n v="0"/>
    <x v="8"/>
  </r>
  <r>
    <s v="CUST1170"/>
    <s v="Steven Thomas"/>
    <n v="53"/>
    <s v="Female"/>
    <s v="Quarterly"/>
    <d v="2026-02-14T00:00:00"/>
    <d v="2026-05-08T00:00:00"/>
    <n v="63"/>
    <n v="7"/>
    <n v="0"/>
    <x v="16"/>
  </r>
  <r>
    <s v="CUST1171"/>
    <s v="Stacy Arnold"/>
    <n v="33"/>
    <s v="Other"/>
    <s v="Monthly"/>
    <d v="2024-01-01T00:00:00"/>
    <d v="2026-02-15T00:00:00"/>
    <n v="19"/>
    <n v="7"/>
    <n v="1"/>
    <x v="9"/>
  </r>
  <r>
    <s v="CUST1172"/>
    <s v="Jonathan Gonzalez"/>
    <n v="53"/>
    <s v="Male"/>
    <s v="Monthly"/>
    <d v="2024-04-03T00:00:00"/>
    <d v="2026-02-28T00:00:00"/>
    <n v="36"/>
    <n v="6"/>
    <n v="1"/>
    <x v="0"/>
  </r>
  <r>
    <s v="CUST1173"/>
    <s v="Christopher King"/>
    <n v="31"/>
    <s v="Other"/>
    <s v="Monthly"/>
    <d v="2023-09-08T00:00:00"/>
    <d v="2026-03-10T00:00:00"/>
    <n v="5"/>
    <n v="10"/>
    <n v="0"/>
    <x v="7"/>
  </r>
  <r>
    <s v="CUST1174"/>
    <s v="Gabrielle Lyons"/>
    <n v="18"/>
    <s v="Male"/>
    <s v="Monthly"/>
    <d v="2025-11-19T00:00:00"/>
    <d v="2026-01-28T00:00:00"/>
    <n v="6"/>
    <n v="3"/>
    <n v="1"/>
    <x v="4"/>
  </r>
  <r>
    <s v="CUST1175"/>
    <s v="Robert Bailey"/>
    <n v="42"/>
    <s v="Male"/>
    <s v="Monthly"/>
    <d v="2025-09-07T00:00:00"/>
    <d v="2026-03-27T00:00:00"/>
    <n v="15"/>
    <n v="7"/>
    <n v="1"/>
    <x v="13"/>
  </r>
  <r>
    <s v="CUST1176"/>
    <s v="David Kim"/>
    <n v="35"/>
    <s v="Female"/>
    <s v="Monthly"/>
    <d v="2024-07-12T00:00:00"/>
    <d v="2026-04-20T00:00:00"/>
    <n v="50"/>
    <n v="3"/>
    <n v="0"/>
    <x v="15"/>
  </r>
  <r>
    <s v="CUST1177"/>
    <s v="Miguel Powers"/>
    <n v="48"/>
    <s v="Other"/>
    <s v="Monthly"/>
    <d v="2025-03-22T00:00:00"/>
    <d v="2026-03-23T00:00:00"/>
    <n v="28"/>
    <n v="3"/>
    <n v="0"/>
    <x v="18"/>
  </r>
  <r>
    <s v="CUST1178"/>
    <s v="Kim Oliver"/>
    <n v="41"/>
    <s v="Female"/>
    <s v="Quarterly"/>
    <d v="2025-01-19T00:00:00"/>
    <d v="2026-03-16T00:00:00"/>
    <n v="61"/>
    <n v="6"/>
    <n v="0"/>
    <x v="23"/>
  </r>
  <r>
    <s v="CUST1179"/>
    <s v="Michael Ross"/>
    <n v="22"/>
    <s v="Female"/>
    <s v="Monthly"/>
    <d v="2024-04-15T00:00:00"/>
    <d v="2026-03-17T00:00:00"/>
    <n v="27"/>
    <n v="1"/>
    <n v="1"/>
    <x v="0"/>
  </r>
  <r>
    <s v="CUST1180"/>
    <s v="William Jordan"/>
    <n v="32"/>
    <s v="Female"/>
    <s v="Monthly"/>
    <d v="2025-10-24T00:00:00"/>
    <d v="2026-02-03T00:00:00"/>
    <n v="15"/>
    <n v="8"/>
    <n v="0"/>
    <x v="25"/>
  </r>
  <r>
    <s v="CUST1181"/>
    <s v="Judith Romero"/>
    <n v="53"/>
    <s v="Female"/>
    <s v="Monthly"/>
    <d v="2024-07-01T00:00:00"/>
    <d v="2026-04-10T00:00:00"/>
    <n v="27"/>
    <n v="1"/>
    <n v="1"/>
    <x v="15"/>
  </r>
  <r>
    <s v="CUST1182"/>
    <s v="Yolanda Lyons"/>
    <n v="47"/>
    <s v="Male"/>
    <s v="Monthly"/>
    <d v="2024-10-05T00:00:00"/>
    <d v="2026-03-23T00:00:00"/>
    <n v="20"/>
    <n v="3"/>
    <n v="0"/>
    <x v="26"/>
  </r>
  <r>
    <s v="CUST1183"/>
    <s v="Joseph Baker"/>
    <n v="30"/>
    <s v="Female"/>
    <s v="Quarterly"/>
    <d v="2025-04-24T00:00:00"/>
    <d v="2026-05-04T00:00:00"/>
    <n v="20"/>
    <n v="5"/>
    <n v="1"/>
    <x v="17"/>
  </r>
  <r>
    <s v="CUST1184"/>
    <s v="Johnny Morris"/>
    <n v="39"/>
    <s v="Male"/>
    <s v="Quarterly"/>
    <d v="2025-05-28T00:00:00"/>
    <d v="2026-04-05T00:00:00"/>
    <n v="24"/>
    <n v="10"/>
    <n v="1"/>
    <x v="2"/>
  </r>
  <r>
    <s v="CUST1185"/>
    <s v="Susan Ryan"/>
    <n v="42"/>
    <s v="Male"/>
    <s v="Quarterly"/>
    <d v="2024-07-12T00:00:00"/>
    <d v="2026-04-13T00:00:00"/>
    <n v="26"/>
    <n v="9"/>
    <n v="0"/>
    <x v="15"/>
  </r>
  <r>
    <s v="CUST1186"/>
    <s v="John Brady"/>
    <n v="60"/>
    <s v="Female"/>
    <s v="Monthly"/>
    <d v="2025-05-04T00:00:00"/>
    <d v="2026-02-07T00:00:00"/>
    <n v="64"/>
    <n v="6"/>
    <n v="1"/>
    <x v="2"/>
  </r>
  <r>
    <s v="CUST1187"/>
    <s v="Eduardo Rodriguez"/>
    <n v="21"/>
    <s v="Other"/>
    <s v="Yearly"/>
    <d v="2026-03-07T00:00:00"/>
    <d v="2026-02-05T00:00:00"/>
    <n v="42"/>
    <n v="8"/>
    <n v="1"/>
    <x v="22"/>
  </r>
  <r>
    <s v="CUST1188"/>
    <s v="Stephanie Merritt"/>
    <n v="55"/>
    <s v="Male"/>
    <s v="Monthly"/>
    <d v="2024-01-04T00:00:00"/>
    <d v="2026-01-08T00:00:00"/>
    <n v="11"/>
    <n v="5"/>
    <n v="0"/>
    <x v="9"/>
  </r>
  <r>
    <s v="CUST1189"/>
    <s v="Emily Baker"/>
    <n v="52"/>
    <s v="Female"/>
    <s v="Monthly"/>
    <d v="2024-03-28T00:00:00"/>
    <d v="2026-05-06T00:00:00"/>
    <n v="62"/>
    <n v="4"/>
    <n v="1"/>
    <x v="30"/>
  </r>
  <r>
    <s v="CUST1190"/>
    <s v="Stephanie Sanchez"/>
    <n v="28"/>
    <s v="Other"/>
    <s v="Monthly"/>
    <d v="2025-02-24T00:00:00"/>
    <d v="2026-03-26T00:00:00"/>
    <n v="78"/>
    <n v="2"/>
    <n v="0"/>
    <x v="19"/>
  </r>
  <r>
    <s v="CUST1191"/>
    <s v="Jack Doyle"/>
    <n v="38"/>
    <s v="Female"/>
    <s v="Yearly"/>
    <d v="2025-04-27T00:00:00"/>
    <d v="2026-01-23T00:00:00"/>
    <n v="68"/>
    <n v="9"/>
    <n v="0"/>
    <x v="17"/>
  </r>
  <r>
    <s v="CUST1192"/>
    <s v="David Smith"/>
    <n v="40"/>
    <s v="Female"/>
    <s v="Monthly"/>
    <d v="2025-11-06T00:00:00"/>
    <d v="2026-01-13T00:00:00"/>
    <n v="74"/>
    <n v="8"/>
    <n v="1"/>
    <x v="4"/>
  </r>
  <r>
    <s v="CUST1193"/>
    <s v="Jessica Sandoval"/>
    <n v="56"/>
    <s v="Other"/>
    <s v="Monthly"/>
    <d v="2025-04-19T00:00:00"/>
    <d v="2026-01-20T00:00:00"/>
    <n v="35"/>
    <n v="9"/>
    <n v="0"/>
    <x v="17"/>
  </r>
  <r>
    <s v="CUST1194"/>
    <s v="Angela Jones"/>
    <n v="45"/>
    <s v="Other"/>
    <s v="Monthly"/>
    <d v="2024-02-01T00:00:00"/>
    <d v="2026-04-14T00:00:00"/>
    <n v="17"/>
    <n v="1"/>
    <n v="1"/>
    <x v="3"/>
  </r>
  <r>
    <s v="CUST1195"/>
    <s v="Jennifer Brock"/>
    <n v="20"/>
    <s v="Other"/>
    <s v="Quarterly"/>
    <d v="2024-06-24T00:00:00"/>
    <d v="2026-01-11T00:00:00"/>
    <n v="43"/>
    <n v="8"/>
    <n v="1"/>
    <x v="11"/>
  </r>
  <r>
    <s v="CUST1196"/>
    <s v="Nicholas Bradley"/>
    <n v="53"/>
    <s v="Male"/>
    <s v="Monthly"/>
    <d v="2025-04-22T00:00:00"/>
    <d v="2026-02-07T00:00:00"/>
    <n v="15"/>
    <n v="6"/>
    <n v="1"/>
    <x v="17"/>
  </r>
  <r>
    <s v="CUST1197"/>
    <s v="Nicole Smith"/>
    <n v="30"/>
    <s v="Other"/>
    <s v="Quarterly"/>
    <d v="2025-06-23T00:00:00"/>
    <d v="2026-03-10T00:00:00"/>
    <n v="69"/>
    <n v="4"/>
    <n v="0"/>
    <x v="27"/>
  </r>
  <r>
    <s v="CUST1198"/>
    <s v="Cynthia Torres"/>
    <n v="53"/>
    <s v="Male"/>
    <s v="Monthly"/>
    <d v="2025-08-01T00:00:00"/>
    <d v="2026-05-08T00:00:00"/>
    <n v="13"/>
    <n v="8"/>
    <n v="0"/>
    <x v="20"/>
  </r>
  <r>
    <s v="CUST1199"/>
    <s v="Kevin Thompson"/>
    <n v="34"/>
    <s v="Female"/>
    <s v="Monthly"/>
    <d v="2025-06-07T00:00:00"/>
    <d v="2026-05-03T00:00:00"/>
    <n v="76"/>
    <n v="9"/>
    <n v="0"/>
    <x v="27"/>
  </r>
  <r>
    <s v="CUST1200"/>
    <s v="Mitchell Whitaker"/>
    <n v="29"/>
    <s v="Other"/>
    <s v="Yearly"/>
    <d v="2026-03-17T00:00:00"/>
    <d v="2026-01-15T00:00:00"/>
    <n v="3"/>
    <n v="5"/>
    <n v="1"/>
    <x v="22"/>
  </r>
  <r>
    <s v="CUST1201"/>
    <s v="John Bryant"/>
    <n v="39"/>
    <s v="Male"/>
    <s v="Quarterly"/>
    <d v="2024-03-31T00:00:00"/>
    <d v="2026-05-03T00:00:00"/>
    <n v="68"/>
    <n v="4"/>
    <n v="1"/>
    <x v="30"/>
  </r>
  <r>
    <s v="CUST1202"/>
    <s v="Daniel Dalton"/>
    <n v="26"/>
    <s v="Female"/>
    <s v="Monthly"/>
    <d v="2024-04-24T00:00:00"/>
    <d v="2026-02-23T00:00:00"/>
    <n v="40"/>
    <n v="4"/>
    <n v="1"/>
    <x v="0"/>
  </r>
  <r>
    <s v="CUST1203"/>
    <s v="Hunter West"/>
    <n v="19"/>
    <s v="Female"/>
    <s v="Monthly"/>
    <d v="2024-08-01T00:00:00"/>
    <d v="2026-02-20T00:00:00"/>
    <n v="52"/>
    <n v="7"/>
    <n v="0"/>
    <x v="21"/>
  </r>
  <r>
    <s v="CUST1204"/>
    <s v="Tammy Dominguez"/>
    <n v="38"/>
    <s v="Other"/>
    <s v="Monthly"/>
    <d v="2024-07-22T00:00:00"/>
    <d v="2026-02-13T00:00:00"/>
    <n v="22"/>
    <n v="7"/>
    <n v="1"/>
    <x v="15"/>
  </r>
  <r>
    <s v="CUST1205"/>
    <s v="Whitney Porter"/>
    <n v="55"/>
    <s v="Female"/>
    <s v="Monthly"/>
    <d v="2024-03-06T00:00:00"/>
    <d v="2026-02-16T00:00:00"/>
    <n v="26"/>
    <n v="6"/>
    <n v="0"/>
    <x v="30"/>
  </r>
  <r>
    <s v="CUST1206"/>
    <s v="Caroline Brown"/>
    <n v="48"/>
    <s v="Other"/>
    <s v="Monthly"/>
    <d v="2025-05-13T00:00:00"/>
    <d v="2026-03-16T00:00:00"/>
    <n v="64"/>
    <n v="2"/>
    <n v="1"/>
    <x v="2"/>
  </r>
  <r>
    <s v="CUST1207"/>
    <s v="Randy Clark"/>
    <n v="26"/>
    <s v="Other"/>
    <s v="Quarterly"/>
    <d v="2025-09-06T00:00:00"/>
    <d v="2026-05-08T00:00:00"/>
    <n v="52"/>
    <n v="1"/>
    <n v="0"/>
    <x v="13"/>
  </r>
  <r>
    <s v="CUST1208"/>
    <s v="Maria Riggs"/>
    <n v="60"/>
    <s v="Male"/>
    <s v="Monthly"/>
    <d v="2026-02-22T00:00:00"/>
    <d v="2026-01-23T00:00:00"/>
    <n v="76"/>
    <n v="4"/>
    <n v="1"/>
    <x v="16"/>
  </r>
  <r>
    <s v="CUST1209"/>
    <s v="Marcus Jones"/>
    <n v="31"/>
    <s v="Other"/>
    <s v="Monthly"/>
    <d v="2025-03-13T00:00:00"/>
    <d v="2026-01-17T00:00:00"/>
    <n v="50"/>
    <n v="6"/>
    <n v="1"/>
    <x v="18"/>
  </r>
  <r>
    <s v="CUST1210"/>
    <s v="Jean Chambers"/>
    <n v="37"/>
    <s v="Female"/>
    <s v="Monthly"/>
    <d v="2025-04-24T00:00:00"/>
    <d v="2026-03-20T00:00:00"/>
    <n v="10"/>
    <n v="2"/>
    <n v="1"/>
    <x v="17"/>
  </r>
  <r>
    <s v="CUST1211"/>
    <s v="Jean Hawkins"/>
    <n v="21"/>
    <s v="Female"/>
    <s v="Monthly"/>
    <d v="2024-09-16T00:00:00"/>
    <d v="2026-02-27T00:00:00"/>
    <n v="37"/>
    <n v="5"/>
    <n v="1"/>
    <x v="10"/>
  </r>
  <r>
    <s v="CUST1212"/>
    <s v="Erin Williams"/>
    <n v="29"/>
    <s v="Female"/>
    <s v="Monthly"/>
    <d v="2025-05-03T00:00:00"/>
    <d v="2026-04-02T00:00:00"/>
    <n v="47"/>
    <n v="2"/>
    <n v="0"/>
    <x v="2"/>
  </r>
  <r>
    <s v="CUST1213"/>
    <s v="Steven Preston"/>
    <n v="58"/>
    <s v="Male"/>
    <s v="Quarterly"/>
    <d v="2025-08-05T00:00:00"/>
    <d v="2026-03-15T00:00:00"/>
    <n v="44"/>
    <n v="1"/>
    <n v="0"/>
    <x v="20"/>
  </r>
  <r>
    <s v="CUST1214"/>
    <s v="Lisa Ross"/>
    <n v="34"/>
    <s v="Female"/>
    <s v="Monthly"/>
    <d v="2025-11-14T00:00:00"/>
    <d v="2026-04-20T00:00:00"/>
    <n v="76"/>
    <n v="7"/>
    <n v="0"/>
    <x v="4"/>
  </r>
  <r>
    <s v="CUST1215"/>
    <s v="Amanda Russell"/>
    <n v="49"/>
    <s v="Other"/>
    <s v="Monthly"/>
    <d v="2024-09-19T00:00:00"/>
    <d v="2026-03-20T00:00:00"/>
    <n v="3"/>
    <n v="4"/>
    <n v="1"/>
    <x v="10"/>
  </r>
  <r>
    <s v="CUST1216"/>
    <s v="Sean Adams"/>
    <n v="24"/>
    <s v="Male"/>
    <s v="Yearly"/>
    <d v="2025-04-04T00:00:00"/>
    <d v="2026-05-07T00:00:00"/>
    <n v="39"/>
    <n v="9"/>
    <n v="0"/>
    <x v="17"/>
  </r>
  <r>
    <s v="CUST1217"/>
    <s v="Brandon Rocha"/>
    <n v="28"/>
    <s v="Other"/>
    <s v="Yearly"/>
    <d v="2025-12-05T00:00:00"/>
    <d v="2026-04-21T00:00:00"/>
    <n v="37"/>
    <n v="4"/>
    <n v="0"/>
    <x v="28"/>
  </r>
  <r>
    <s v="CUST1218"/>
    <s v="Daniel Moon"/>
    <n v="49"/>
    <s v="Female"/>
    <s v="Quarterly"/>
    <d v="2025-05-26T00:00:00"/>
    <d v="2026-05-03T00:00:00"/>
    <n v="74"/>
    <n v="10"/>
    <n v="0"/>
    <x v="2"/>
  </r>
  <r>
    <s v="CUST1219"/>
    <s v="Robert Zimmerman"/>
    <n v="31"/>
    <s v="Other"/>
    <s v="Monthly"/>
    <d v="2025-12-20T00:00:00"/>
    <d v="2026-04-14T00:00:00"/>
    <n v="30"/>
    <n v="7"/>
    <n v="0"/>
    <x v="28"/>
  </r>
  <r>
    <s v="CUST1220"/>
    <s v="Timothy Gutierrez"/>
    <n v="20"/>
    <s v="Female"/>
    <s v="Monthly"/>
    <d v="2024-07-14T00:00:00"/>
    <d v="2026-02-28T00:00:00"/>
    <n v="71"/>
    <n v="8"/>
    <n v="0"/>
    <x v="15"/>
  </r>
  <r>
    <s v="CUST1221"/>
    <s v="Alexis Wilcox MD"/>
    <n v="49"/>
    <s v="Other"/>
    <s v="Quarterly"/>
    <d v="2025-02-26T00:00:00"/>
    <d v="2026-02-24T00:00:00"/>
    <n v="38"/>
    <n v="10"/>
    <n v="0"/>
    <x v="19"/>
  </r>
  <r>
    <s v="CUST1222"/>
    <s v="Brian Reynolds"/>
    <n v="33"/>
    <s v="Other"/>
    <s v="Quarterly"/>
    <d v="2025-10-08T00:00:00"/>
    <d v="2026-02-10T00:00:00"/>
    <n v="15"/>
    <n v="10"/>
    <n v="1"/>
    <x v="25"/>
  </r>
  <r>
    <s v="CUST1223"/>
    <s v="Logan Cohen"/>
    <n v="32"/>
    <s v="Female"/>
    <s v="Monthly"/>
    <d v="2023-08-30T00:00:00"/>
    <d v="2026-04-18T00:00:00"/>
    <n v="46"/>
    <n v="4"/>
    <n v="0"/>
    <x v="32"/>
  </r>
  <r>
    <s v="CUST1224"/>
    <s v="Jennifer Smith"/>
    <n v="29"/>
    <s v="Other"/>
    <s v="Quarterly"/>
    <d v="2025-11-25T00:00:00"/>
    <d v="2026-01-20T00:00:00"/>
    <n v="22"/>
    <n v="2"/>
    <n v="1"/>
    <x v="4"/>
  </r>
  <r>
    <s v="CUST1225"/>
    <s v="Deborah Alvarez"/>
    <n v="25"/>
    <s v="Female"/>
    <s v="Monthly"/>
    <d v="2024-05-24T00:00:00"/>
    <d v="2026-05-03T00:00:00"/>
    <n v="38"/>
    <n v="9"/>
    <n v="0"/>
    <x v="6"/>
  </r>
  <r>
    <s v="CUST1226"/>
    <s v="Justin Morales"/>
    <n v="53"/>
    <s v="Female"/>
    <s v="Monthly"/>
    <d v="2025-05-11T00:00:00"/>
    <d v="2026-04-23T00:00:00"/>
    <n v="9"/>
    <n v="8"/>
    <n v="0"/>
    <x v="2"/>
  </r>
  <r>
    <s v="CUST1227"/>
    <s v="Mary Ward"/>
    <n v="37"/>
    <s v="Female"/>
    <s v="Quarterly"/>
    <d v="2025-04-07T00:00:00"/>
    <d v="2026-04-25T00:00:00"/>
    <n v="39"/>
    <n v="1"/>
    <n v="0"/>
    <x v="17"/>
  </r>
  <r>
    <s v="CUST1228"/>
    <s v="Joshua Powell"/>
    <n v="51"/>
    <s v="Male"/>
    <s v="Quarterly"/>
    <d v="2024-08-26T00:00:00"/>
    <d v="2026-03-29T00:00:00"/>
    <n v="55"/>
    <n v="3"/>
    <n v="0"/>
    <x v="21"/>
  </r>
  <r>
    <s v="CUST1229"/>
    <s v="Walter Bowman"/>
    <n v="40"/>
    <s v="Female"/>
    <s v="Quarterly"/>
    <d v="2024-01-01T00:00:00"/>
    <d v="2026-04-20T00:00:00"/>
    <n v="35"/>
    <n v="1"/>
    <n v="1"/>
    <x v="9"/>
  </r>
  <r>
    <s v="CUST1230"/>
    <s v="Dr. Tracie Butler DDS"/>
    <n v="25"/>
    <s v="Male"/>
    <s v="Monthly"/>
    <d v="2024-12-28T00:00:00"/>
    <d v="2026-03-26T00:00:00"/>
    <n v="49"/>
    <n v="7"/>
    <n v="1"/>
    <x v="14"/>
  </r>
  <r>
    <s v="CUST1231"/>
    <s v="Taylor Adams"/>
    <n v="28"/>
    <s v="Male"/>
    <s v="Quarterly"/>
    <d v="2026-02-26T00:00:00"/>
    <d v="2026-01-31T00:00:00"/>
    <n v="38"/>
    <n v="1"/>
    <n v="0"/>
    <x v="16"/>
  </r>
  <r>
    <s v="CUST1232"/>
    <s v="Veronica James"/>
    <n v="40"/>
    <s v="Female"/>
    <s v="Monthly"/>
    <d v="2026-02-21T00:00:00"/>
    <d v="2026-04-24T00:00:00"/>
    <n v="65"/>
    <n v="2"/>
    <n v="1"/>
    <x v="16"/>
  </r>
  <r>
    <s v="CUST1233"/>
    <s v="Melinda Maldonado"/>
    <n v="51"/>
    <s v="Male"/>
    <s v="Monthly"/>
    <d v="2026-02-17T00:00:00"/>
    <d v="2026-02-09T00:00:00"/>
    <n v="56"/>
    <n v="5"/>
    <n v="0"/>
    <x v="16"/>
  </r>
  <r>
    <s v="CUST1234"/>
    <s v="Timothy Francis"/>
    <n v="49"/>
    <s v="Female"/>
    <s v="Quarterly"/>
    <d v="2026-01-19T00:00:00"/>
    <d v="2026-01-15T00:00:00"/>
    <n v="26"/>
    <n v="3"/>
    <n v="0"/>
    <x v="29"/>
  </r>
  <r>
    <s v="CUST1235"/>
    <s v="Daniel Dominguez"/>
    <n v="22"/>
    <s v="Other"/>
    <s v="Yearly"/>
    <d v="2025-01-20T00:00:00"/>
    <d v="2026-03-05T00:00:00"/>
    <n v="72"/>
    <n v="2"/>
    <n v="1"/>
    <x v="23"/>
  </r>
  <r>
    <s v="CUST1236"/>
    <s v="Christopher Cooper"/>
    <n v="48"/>
    <s v="Other"/>
    <s v="Quarterly"/>
    <d v="2025-01-14T00:00:00"/>
    <d v="2026-04-22T00:00:00"/>
    <n v="11"/>
    <n v="8"/>
    <n v="1"/>
    <x v="23"/>
  </r>
  <r>
    <s v="CUST1237"/>
    <s v="Tiffany White"/>
    <n v="48"/>
    <s v="Other"/>
    <s v="Monthly"/>
    <d v="2026-02-07T00:00:00"/>
    <d v="2026-02-05T00:00:00"/>
    <n v="12"/>
    <n v="9"/>
    <n v="1"/>
    <x v="16"/>
  </r>
  <r>
    <s v="CUST1238"/>
    <s v="Linda Pratt"/>
    <n v="40"/>
    <s v="Other"/>
    <s v="Yearly"/>
    <d v="2026-02-25T00:00:00"/>
    <d v="2026-01-28T00:00:00"/>
    <n v="73"/>
    <n v="1"/>
    <n v="1"/>
    <x v="16"/>
  </r>
  <r>
    <s v="CUST1239"/>
    <s v="Adrian Anderson"/>
    <n v="18"/>
    <s v="Other"/>
    <s v="Monthly"/>
    <d v="2026-02-28T00:00:00"/>
    <d v="2026-03-11T00:00:00"/>
    <n v="46"/>
    <n v="7"/>
    <n v="1"/>
    <x v="16"/>
  </r>
  <r>
    <s v="CUST1240"/>
    <s v="John Ross"/>
    <n v="36"/>
    <s v="Female"/>
    <s v="Yearly"/>
    <d v="2024-04-28T00:00:00"/>
    <d v="2026-03-25T00:00:00"/>
    <n v="64"/>
    <n v="1"/>
    <n v="0"/>
    <x v="0"/>
  </r>
  <r>
    <s v="CUST1241"/>
    <s v="Jerry Perkins"/>
    <n v="34"/>
    <s v="Male"/>
    <s v="Quarterly"/>
    <d v="2024-12-03T00:00:00"/>
    <d v="2026-03-01T00:00:00"/>
    <n v="3"/>
    <n v="5"/>
    <n v="1"/>
    <x v="14"/>
  </r>
  <r>
    <s v="CUST1242"/>
    <s v="Tiffany Maynard"/>
    <n v="24"/>
    <s v="Female"/>
    <s v="Monthly"/>
    <d v="2023-12-18T00:00:00"/>
    <d v="2026-04-24T00:00:00"/>
    <n v="63"/>
    <n v="5"/>
    <n v="1"/>
    <x v="5"/>
  </r>
  <r>
    <s v="CUST1243"/>
    <s v="Todd Le"/>
    <n v="60"/>
    <s v="Male"/>
    <s v="Monthly"/>
    <d v="2026-01-27T00:00:00"/>
    <d v="2026-02-11T00:00:00"/>
    <n v="50"/>
    <n v="2"/>
    <n v="0"/>
    <x v="29"/>
  </r>
  <r>
    <s v="CUST1244"/>
    <s v="Natasha Woodard"/>
    <n v="39"/>
    <s v="Male"/>
    <s v="Quarterly"/>
    <d v="2026-03-06T00:00:00"/>
    <d v="2026-01-24T00:00:00"/>
    <n v="2"/>
    <n v="7"/>
    <n v="0"/>
    <x v="22"/>
  </r>
  <r>
    <s v="CUST1245"/>
    <s v="Nancy Wall"/>
    <n v="37"/>
    <s v="Other"/>
    <s v="Quarterly"/>
    <d v="2025-12-27T00:00:00"/>
    <d v="2026-02-24T00:00:00"/>
    <n v="76"/>
    <n v="8"/>
    <n v="0"/>
    <x v="28"/>
  </r>
  <r>
    <s v="CUST1246"/>
    <s v="Maria Franklin"/>
    <n v="26"/>
    <s v="Other"/>
    <s v="Monthly"/>
    <d v="2026-01-05T00:00:00"/>
    <d v="2026-02-15T00:00:00"/>
    <n v="49"/>
    <n v="6"/>
    <n v="0"/>
    <x v="29"/>
  </r>
  <r>
    <s v="CUST1247"/>
    <s v="Madison Johnson"/>
    <n v="47"/>
    <s v="Other"/>
    <s v="Monthly"/>
    <d v="2025-02-05T00:00:00"/>
    <d v="2026-02-23T00:00:00"/>
    <n v="65"/>
    <n v="5"/>
    <n v="1"/>
    <x v="19"/>
  </r>
  <r>
    <s v="CUST1248"/>
    <s v="Mariah Hernandez"/>
    <n v="20"/>
    <s v="Other"/>
    <s v="Quarterly"/>
    <d v="2023-09-19T00:00:00"/>
    <d v="2026-01-24T00:00:00"/>
    <n v="54"/>
    <n v="7"/>
    <n v="0"/>
    <x v="7"/>
  </r>
  <r>
    <s v="CUST1249"/>
    <s v="Christina Moore"/>
    <n v="32"/>
    <s v="Female"/>
    <s v="Quarterly"/>
    <d v="2025-06-13T00:00:00"/>
    <d v="2026-04-06T00:00:00"/>
    <n v="13"/>
    <n v="10"/>
    <n v="0"/>
    <x v="27"/>
  </r>
  <r>
    <s v="CUST1250"/>
    <s v="Sandra Chaney"/>
    <n v="59"/>
    <s v="Female"/>
    <s v="Monthly"/>
    <d v="2025-08-24T00:00:00"/>
    <d v="2026-01-15T00:00:00"/>
    <n v="66"/>
    <n v="8"/>
    <n v="1"/>
    <x v="20"/>
  </r>
  <r>
    <s v="CUST1251"/>
    <s v="Jonathan Vaughn"/>
    <n v="49"/>
    <s v="Female"/>
    <s v="Quarterly"/>
    <d v="2024-04-29T00:00:00"/>
    <d v="2026-02-16T00:00:00"/>
    <n v="54"/>
    <n v="10"/>
    <n v="0"/>
    <x v="0"/>
  </r>
  <r>
    <s v="CUST1252"/>
    <s v="Kelly Perez"/>
    <n v="54"/>
    <s v="Male"/>
    <s v="Monthly"/>
    <d v="2025-09-18T00:00:00"/>
    <d v="2026-04-21T00:00:00"/>
    <n v="24"/>
    <n v="7"/>
    <n v="0"/>
    <x v="13"/>
  </r>
  <r>
    <s v="CUST1253"/>
    <s v="Courtney Johnson"/>
    <n v="50"/>
    <s v="Male"/>
    <s v="Quarterly"/>
    <d v="2024-11-24T00:00:00"/>
    <d v="2026-02-09T00:00:00"/>
    <n v="54"/>
    <n v="4"/>
    <n v="0"/>
    <x v="24"/>
  </r>
  <r>
    <s v="CUST1254"/>
    <s v="Virginia Ferguson"/>
    <n v="52"/>
    <s v="Female"/>
    <s v="Yearly"/>
    <d v="2025-07-10T00:00:00"/>
    <d v="2026-03-17T00:00:00"/>
    <n v="43"/>
    <n v="5"/>
    <n v="0"/>
    <x v="12"/>
  </r>
  <r>
    <s v="CUST1255"/>
    <s v="Ethan Mason"/>
    <n v="58"/>
    <s v="Other"/>
    <s v="Monthly"/>
    <d v="2025-12-26T00:00:00"/>
    <d v="2026-02-16T00:00:00"/>
    <n v="19"/>
    <n v="1"/>
    <n v="0"/>
    <x v="28"/>
  </r>
  <r>
    <s v="CUST1256"/>
    <s v="Aaron Fischer"/>
    <n v="38"/>
    <s v="Male"/>
    <s v="Monthly"/>
    <d v="2025-04-14T00:00:00"/>
    <d v="2026-01-21T00:00:00"/>
    <n v="59"/>
    <n v="10"/>
    <n v="1"/>
    <x v="17"/>
  </r>
  <r>
    <s v="CUST1257"/>
    <s v="Chris Fitzpatrick"/>
    <n v="48"/>
    <s v="Other"/>
    <s v="Yearly"/>
    <d v="2024-03-21T00:00:00"/>
    <d v="2026-01-28T00:00:00"/>
    <n v="7"/>
    <n v="7"/>
    <n v="1"/>
    <x v="30"/>
  </r>
  <r>
    <s v="CUST1258"/>
    <s v="Brian Rodriguez"/>
    <n v="57"/>
    <s v="Male"/>
    <s v="Monthly"/>
    <d v="2023-12-22T00:00:00"/>
    <d v="2026-03-21T00:00:00"/>
    <n v="77"/>
    <n v="9"/>
    <n v="0"/>
    <x v="5"/>
  </r>
  <r>
    <s v="CUST1259"/>
    <s v="Molly Murphy"/>
    <n v="51"/>
    <s v="Female"/>
    <s v="Quarterly"/>
    <d v="2024-06-11T00:00:00"/>
    <d v="2026-03-16T00:00:00"/>
    <n v="43"/>
    <n v="4"/>
    <n v="1"/>
    <x v="11"/>
  </r>
  <r>
    <s v="CUST1260"/>
    <s v="Jessica Harper"/>
    <n v="50"/>
    <s v="Male"/>
    <s v="Monthly"/>
    <d v="2025-08-24T00:00:00"/>
    <d v="2026-02-22T00:00:00"/>
    <n v="33"/>
    <n v="2"/>
    <n v="1"/>
    <x v="20"/>
  </r>
  <r>
    <s v="CUST1261"/>
    <s v="Michael Rodriguez DDS"/>
    <n v="57"/>
    <s v="Other"/>
    <s v="Quarterly"/>
    <d v="2024-12-17T00:00:00"/>
    <d v="2026-04-21T00:00:00"/>
    <n v="27"/>
    <n v="8"/>
    <n v="0"/>
    <x v="14"/>
  </r>
  <r>
    <s v="CUST1262"/>
    <s v="Philip Mercer"/>
    <n v="29"/>
    <s v="Female"/>
    <s v="Yearly"/>
    <d v="2024-12-26T00:00:00"/>
    <d v="2026-04-12T00:00:00"/>
    <n v="29"/>
    <n v="1"/>
    <n v="1"/>
    <x v="14"/>
  </r>
  <r>
    <s v="CUST1263"/>
    <s v="Tony Spence"/>
    <n v="19"/>
    <s v="Male"/>
    <s v="Monthly"/>
    <d v="2025-08-19T00:00:00"/>
    <d v="2026-04-06T00:00:00"/>
    <n v="50"/>
    <n v="9"/>
    <n v="0"/>
    <x v="20"/>
  </r>
  <r>
    <s v="CUST1264"/>
    <s v="Kristen Barnett"/>
    <n v="48"/>
    <s v="Male"/>
    <s v="Quarterly"/>
    <d v="2023-11-17T00:00:00"/>
    <d v="2026-03-29T00:00:00"/>
    <n v="24"/>
    <n v="6"/>
    <n v="0"/>
    <x v="1"/>
  </r>
  <r>
    <s v="CUST1265"/>
    <s v="Nicole Fernandez"/>
    <n v="25"/>
    <s v="Other"/>
    <s v="Monthly"/>
    <d v="2023-09-19T00:00:00"/>
    <d v="2026-04-15T00:00:00"/>
    <n v="32"/>
    <n v="4"/>
    <n v="0"/>
    <x v="7"/>
  </r>
  <r>
    <s v="CUST1266"/>
    <s v="Angel Colon"/>
    <n v="57"/>
    <s v="Other"/>
    <s v="Quarterly"/>
    <d v="2025-04-16T00:00:00"/>
    <d v="2026-03-11T00:00:00"/>
    <n v="53"/>
    <n v="9"/>
    <n v="0"/>
    <x v="17"/>
  </r>
  <r>
    <s v="CUST1267"/>
    <s v="Kristie Joseph"/>
    <n v="57"/>
    <s v="Male"/>
    <s v="Yearly"/>
    <d v="2025-11-10T00:00:00"/>
    <d v="2026-04-19T00:00:00"/>
    <n v="68"/>
    <n v="2"/>
    <n v="0"/>
    <x v="4"/>
  </r>
  <r>
    <s v="CUST1268"/>
    <s v="Angela Day"/>
    <n v="51"/>
    <s v="Female"/>
    <s v="Monthly"/>
    <d v="2023-09-01T00:00:00"/>
    <d v="2026-02-25T00:00:00"/>
    <n v="28"/>
    <n v="9"/>
    <n v="1"/>
    <x v="7"/>
  </r>
  <r>
    <s v="CUST1269"/>
    <s v="Keith Hardin"/>
    <n v="21"/>
    <s v="Male"/>
    <s v="Quarterly"/>
    <d v="2024-05-11T00:00:00"/>
    <d v="2026-03-18T00:00:00"/>
    <n v="34"/>
    <n v="9"/>
    <n v="1"/>
    <x v="6"/>
  </r>
  <r>
    <s v="CUST1270"/>
    <s v="Michelle Hall"/>
    <n v="30"/>
    <s v="Male"/>
    <s v="Yearly"/>
    <d v="2023-09-09T00:00:00"/>
    <d v="2026-03-05T00:00:00"/>
    <n v="18"/>
    <n v="1"/>
    <n v="0"/>
    <x v="7"/>
  </r>
  <r>
    <s v="CUST1271"/>
    <s v="Kellie Myers"/>
    <n v="31"/>
    <s v="Female"/>
    <s v="Monthly"/>
    <d v="2025-06-04T00:00:00"/>
    <d v="2026-01-08T00:00:00"/>
    <n v="36"/>
    <n v="8"/>
    <n v="1"/>
    <x v="27"/>
  </r>
  <r>
    <s v="CUST1272"/>
    <s v="Diana Peterson"/>
    <n v="53"/>
    <s v="Male"/>
    <s v="Quarterly"/>
    <d v="2025-05-03T00:00:00"/>
    <d v="2026-01-31T00:00:00"/>
    <n v="47"/>
    <n v="1"/>
    <n v="1"/>
    <x v="2"/>
  </r>
  <r>
    <s v="CUST1273"/>
    <s v="Teresa Lin"/>
    <n v="34"/>
    <s v="Male"/>
    <s v="Yearly"/>
    <d v="2025-10-16T00:00:00"/>
    <d v="2026-02-16T00:00:00"/>
    <n v="37"/>
    <n v="1"/>
    <n v="1"/>
    <x v="25"/>
  </r>
  <r>
    <s v="CUST1274"/>
    <s v="Kimberly Parker"/>
    <n v="41"/>
    <s v="Other"/>
    <s v="Yearly"/>
    <d v="2025-11-11T00:00:00"/>
    <d v="2026-02-26T00:00:00"/>
    <n v="76"/>
    <n v="4"/>
    <n v="0"/>
    <x v="4"/>
  </r>
  <r>
    <s v="CUST1275"/>
    <s v="Matthew English"/>
    <n v="52"/>
    <s v="Female"/>
    <s v="Yearly"/>
    <d v="2023-08-17T00:00:00"/>
    <d v="2026-01-24T00:00:00"/>
    <n v="73"/>
    <n v="9"/>
    <n v="1"/>
    <x v="32"/>
  </r>
  <r>
    <s v="CUST1276"/>
    <s v="Denise Chung"/>
    <n v="54"/>
    <s v="Other"/>
    <s v="Quarterly"/>
    <d v="2023-10-18T00:00:00"/>
    <d v="2026-02-09T00:00:00"/>
    <n v="2"/>
    <n v="4"/>
    <n v="1"/>
    <x v="8"/>
  </r>
  <r>
    <s v="CUST1277"/>
    <s v="Hannah Hansen"/>
    <n v="36"/>
    <s v="Male"/>
    <s v="Yearly"/>
    <d v="2025-12-13T00:00:00"/>
    <d v="2026-05-03T00:00:00"/>
    <n v="60"/>
    <n v="4"/>
    <n v="0"/>
    <x v="28"/>
  </r>
  <r>
    <s v="CUST1278"/>
    <s v="Denise Foster"/>
    <n v="18"/>
    <s v="Female"/>
    <s v="Yearly"/>
    <d v="2026-03-24T00:00:00"/>
    <d v="2026-03-04T00:00:00"/>
    <n v="46"/>
    <n v="9"/>
    <n v="1"/>
    <x v="22"/>
  </r>
  <r>
    <s v="CUST1279"/>
    <s v="Holly Gonzalez"/>
    <n v="29"/>
    <s v="Female"/>
    <s v="Monthly"/>
    <d v="2023-10-23T00:00:00"/>
    <d v="2026-04-30T00:00:00"/>
    <n v="29"/>
    <n v="3"/>
    <n v="0"/>
    <x v="8"/>
  </r>
  <r>
    <s v="CUST1280"/>
    <s v="Jerry Smith"/>
    <n v="40"/>
    <s v="Female"/>
    <s v="Monthly"/>
    <d v="2025-12-30T00:00:00"/>
    <d v="2026-01-25T00:00:00"/>
    <n v="50"/>
    <n v="10"/>
    <n v="0"/>
    <x v="28"/>
  </r>
  <r>
    <s v="CUST1281"/>
    <s v="Colleen Conway"/>
    <n v="51"/>
    <s v="Other"/>
    <s v="Quarterly"/>
    <d v="2025-07-21T00:00:00"/>
    <d v="2026-02-26T00:00:00"/>
    <n v="53"/>
    <n v="4"/>
    <n v="0"/>
    <x v="12"/>
  </r>
  <r>
    <s v="CUST1282"/>
    <s v="Amanda Rogers"/>
    <n v="55"/>
    <s v="Female"/>
    <s v="Quarterly"/>
    <d v="2025-10-19T00:00:00"/>
    <d v="2026-05-07T00:00:00"/>
    <n v="45"/>
    <n v="1"/>
    <n v="0"/>
    <x v="25"/>
  </r>
  <r>
    <s v="CUST1283"/>
    <s v="Joseph Martinez"/>
    <n v="56"/>
    <s v="Female"/>
    <s v="Monthly"/>
    <d v="2025-08-27T00:00:00"/>
    <d v="2026-02-26T00:00:00"/>
    <n v="42"/>
    <n v="2"/>
    <n v="1"/>
    <x v="20"/>
  </r>
  <r>
    <s v="CUST1284"/>
    <s v="Eric Blair"/>
    <n v="57"/>
    <s v="Other"/>
    <s v="Yearly"/>
    <d v="2024-11-28T00:00:00"/>
    <d v="2026-01-30T00:00:00"/>
    <n v="31"/>
    <n v="9"/>
    <n v="0"/>
    <x v="24"/>
  </r>
  <r>
    <s v="CUST1285"/>
    <s v="Paul Hood"/>
    <n v="59"/>
    <s v="Male"/>
    <s v="Monthly"/>
    <d v="2024-10-20T00:00:00"/>
    <d v="2026-03-28T00:00:00"/>
    <n v="71"/>
    <n v="6"/>
    <n v="0"/>
    <x v="26"/>
  </r>
  <r>
    <s v="CUST1286"/>
    <s v="Connie Brooks"/>
    <n v="36"/>
    <s v="Other"/>
    <s v="Quarterly"/>
    <d v="2023-10-17T00:00:00"/>
    <d v="2026-02-27T00:00:00"/>
    <n v="16"/>
    <n v="2"/>
    <n v="0"/>
    <x v="8"/>
  </r>
  <r>
    <s v="CUST1287"/>
    <s v="Erika Davis"/>
    <n v="44"/>
    <s v="Male"/>
    <s v="Quarterly"/>
    <d v="2024-06-05T00:00:00"/>
    <d v="2026-05-03T00:00:00"/>
    <n v="22"/>
    <n v="9"/>
    <n v="0"/>
    <x v="11"/>
  </r>
  <r>
    <s v="CUST1288"/>
    <s v="Alfred Rasmussen"/>
    <n v="36"/>
    <s v="Male"/>
    <s v="Monthly"/>
    <d v="2026-03-27T00:00:00"/>
    <d v="2026-02-18T00:00:00"/>
    <n v="58"/>
    <n v="4"/>
    <n v="0"/>
    <x v="22"/>
  </r>
  <r>
    <s v="CUST1289"/>
    <s v="Christina Hill"/>
    <n v="33"/>
    <s v="Other"/>
    <s v="Yearly"/>
    <d v="2024-02-27T00:00:00"/>
    <d v="2026-04-03T00:00:00"/>
    <n v="49"/>
    <n v="5"/>
    <n v="0"/>
    <x v="3"/>
  </r>
  <r>
    <s v="CUST1290"/>
    <s v="Cynthia Vargas"/>
    <n v="42"/>
    <s v="Other"/>
    <s v="Monthly"/>
    <d v="2026-01-08T00:00:00"/>
    <d v="2026-02-15T00:00:00"/>
    <n v="80"/>
    <n v="2"/>
    <n v="1"/>
    <x v="29"/>
  </r>
  <r>
    <s v="CUST1291"/>
    <s v="Sean Deleon"/>
    <n v="21"/>
    <s v="Other"/>
    <s v="Monthly"/>
    <d v="2024-08-21T00:00:00"/>
    <d v="2026-04-11T00:00:00"/>
    <n v="58"/>
    <n v="3"/>
    <n v="0"/>
    <x v="21"/>
  </r>
  <r>
    <s v="CUST1292"/>
    <s v="Benjamin Pierce"/>
    <n v="31"/>
    <s v="Male"/>
    <s v="Quarterly"/>
    <d v="2024-05-09T00:00:00"/>
    <d v="2026-02-28T00:00:00"/>
    <n v="35"/>
    <n v="10"/>
    <n v="1"/>
    <x v="6"/>
  </r>
  <r>
    <s v="CUST1293"/>
    <s v="Frances Cohen"/>
    <n v="20"/>
    <s v="Other"/>
    <s v="Monthly"/>
    <d v="2025-03-12T00:00:00"/>
    <d v="2026-04-01T00:00:00"/>
    <n v="0"/>
    <n v="3"/>
    <n v="1"/>
    <x v="18"/>
  </r>
  <r>
    <s v="CUST1294"/>
    <s v="Tara Oconnell"/>
    <n v="24"/>
    <s v="Female"/>
    <s v="Quarterly"/>
    <d v="2024-12-04T00:00:00"/>
    <d v="2026-04-15T00:00:00"/>
    <n v="15"/>
    <n v="7"/>
    <n v="0"/>
    <x v="14"/>
  </r>
  <r>
    <s v="CUST1295"/>
    <s v="Ryan Simmons"/>
    <n v="39"/>
    <s v="Male"/>
    <s v="Yearly"/>
    <d v="2025-06-16T00:00:00"/>
    <d v="2026-03-23T00:00:00"/>
    <n v="0"/>
    <n v="2"/>
    <n v="0"/>
    <x v="27"/>
  </r>
  <r>
    <s v="CUST1296"/>
    <s v="George Sheppard"/>
    <n v="40"/>
    <s v="Male"/>
    <s v="Yearly"/>
    <d v="2025-04-28T00:00:00"/>
    <d v="2026-02-01T00:00:00"/>
    <n v="26"/>
    <n v="2"/>
    <n v="0"/>
    <x v="17"/>
  </r>
  <r>
    <s v="CUST1297"/>
    <s v="Benjamin Barnes"/>
    <n v="36"/>
    <s v="Female"/>
    <s v="Monthly"/>
    <d v="2025-04-10T00:00:00"/>
    <d v="2026-02-05T00:00:00"/>
    <n v="62"/>
    <n v="2"/>
    <n v="1"/>
    <x v="17"/>
  </r>
  <r>
    <s v="CUST1298"/>
    <s v="Carly Brown"/>
    <n v="24"/>
    <s v="Male"/>
    <s v="Quarterly"/>
    <d v="2026-01-26T00:00:00"/>
    <d v="2026-01-10T00:00:00"/>
    <n v="15"/>
    <n v="3"/>
    <n v="1"/>
    <x v="29"/>
  </r>
  <r>
    <s v="CUST1299"/>
    <s v="Sharon Ross"/>
    <n v="19"/>
    <s v="Other"/>
    <s v="Monthly"/>
    <d v="2025-04-04T00:00:00"/>
    <d v="2026-02-16T00:00:00"/>
    <n v="17"/>
    <n v="5"/>
    <n v="1"/>
    <x v="17"/>
  </r>
  <r>
    <s v="CUST1300"/>
    <s v="Lindsey Kemp"/>
    <n v="27"/>
    <s v="Other"/>
    <s v="Monthly"/>
    <d v="2025-12-20T00:00:00"/>
    <d v="2026-01-14T00:00:00"/>
    <n v="44"/>
    <n v="1"/>
    <n v="1"/>
    <x v="28"/>
  </r>
  <r>
    <s v="CUST1301"/>
    <s v="Michael Smith"/>
    <n v="22"/>
    <s v="Female"/>
    <s v="Monthly"/>
    <d v="2024-10-12T00:00:00"/>
    <d v="2026-03-05T00:00:00"/>
    <n v="20"/>
    <n v="6"/>
    <n v="1"/>
    <x v="26"/>
  </r>
  <r>
    <s v="CUST1302"/>
    <s v="Eric Grimes"/>
    <n v="27"/>
    <s v="Other"/>
    <s v="Monthly"/>
    <d v="2024-01-05T00:00:00"/>
    <d v="2026-03-17T00:00:00"/>
    <n v="19"/>
    <n v="4"/>
    <n v="0"/>
    <x v="9"/>
  </r>
  <r>
    <s v="CUST1303"/>
    <s v="David Turner"/>
    <n v="40"/>
    <s v="Other"/>
    <s v="Monthly"/>
    <d v="2025-09-16T00:00:00"/>
    <d v="2026-02-25T00:00:00"/>
    <n v="74"/>
    <n v="9"/>
    <n v="0"/>
    <x v="13"/>
  </r>
  <r>
    <s v="CUST1304"/>
    <s v="Gary Fields"/>
    <n v="35"/>
    <s v="Female"/>
    <s v="Monthly"/>
    <d v="2025-08-22T00:00:00"/>
    <d v="2026-03-30T00:00:00"/>
    <n v="37"/>
    <n v="3"/>
    <n v="0"/>
    <x v="20"/>
  </r>
  <r>
    <s v="CUST1305"/>
    <s v="Patrick Liu"/>
    <n v="24"/>
    <s v="Male"/>
    <s v="Monthly"/>
    <d v="2025-06-02T00:00:00"/>
    <d v="2026-04-27T00:00:00"/>
    <n v="16"/>
    <n v="3"/>
    <n v="1"/>
    <x v="27"/>
  </r>
  <r>
    <s v="CUST1306"/>
    <s v="Christopher Anderson"/>
    <n v="30"/>
    <s v="Other"/>
    <s v="Monthly"/>
    <d v="2025-12-31T00:00:00"/>
    <d v="2026-03-01T00:00:00"/>
    <n v="35"/>
    <n v="3"/>
    <n v="1"/>
    <x v="28"/>
  </r>
  <r>
    <s v="CUST1307"/>
    <s v="Dana Mayo"/>
    <n v="25"/>
    <s v="Other"/>
    <s v="Monthly"/>
    <d v="2025-06-05T00:00:00"/>
    <d v="2026-03-26T00:00:00"/>
    <n v="77"/>
    <n v="7"/>
    <n v="1"/>
    <x v="27"/>
  </r>
  <r>
    <s v="CUST1308"/>
    <s v="Scott Brandt"/>
    <n v="52"/>
    <s v="Male"/>
    <s v="Quarterly"/>
    <d v="2024-10-25T00:00:00"/>
    <d v="2026-02-25T00:00:00"/>
    <n v="19"/>
    <n v="7"/>
    <n v="0"/>
    <x v="26"/>
  </r>
  <r>
    <s v="CUST1309"/>
    <s v="Shane Dunn"/>
    <n v="51"/>
    <s v="Female"/>
    <s v="Monthly"/>
    <d v="2026-03-28T00:00:00"/>
    <d v="2026-04-09T00:00:00"/>
    <n v="55"/>
    <n v="10"/>
    <n v="0"/>
    <x v="22"/>
  </r>
  <r>
    <s v="CUST1310"/>
    <s v="Zachary Todd"/>
    <n v="58"/>
    <s v="Male"/>
    <s v="Yearly"/>
    <d v="2025-11-16T00:00:00"/>
    <d v="2026-04-18T00:00:00"/>
    <n v="6"/>
    <n v="10"/>
    <n v="0"/>
    <x v="4"/>
  </r>
  <r>
    <s v="CUST1311"/>
    <s v="Alexander Martin"/>
    <n v="21"/>
    <s v="Male"/>
    <s v="Quarterly"/>
    <d v="2024-05-24T00:00:00"/>
    <d v="2026-02-15T00:00:00"/>
    <n v="50"/>
    <n v="9"/>
    <n v="0"/>
    <x v="6"/>
  </r>
  <r>
    <s v="CUST1312"/>
    <s v="Kristin Gray"/>
    <n v="22"/>
    <s v="Female"/>
    <s v="Quarterly"/>
    <d v="2024-07-23T00:00:00"/>
    <d v="2026-04-19T00:00:00"/>
    <n v="17"/>
    <n v="10"/>
    <n v="0"/>
    <x v="15"/>
  </r>
  <r>
    <s v="CUST1313"/>
    <s v="Justin Moss"/>
    <n v="60"/>
    <s v="Female"/>
    <s v="Quarterly"/>
    <d v="2026-03-15T00:00:00"/>
    <d v="2026-03-26T00:00:00"/>
    <n v="25"/>
    <n v="3"/>
    <n v="1"/>
    <x v="22"/>
  </r>
  <r>
    <s v="CUST1314"/>
    <s v="Alyssa Simpson"/>
    <n v="35"/>
    <s v="Female"/>
    <s v="Quarterly"/>
    <d v="2025-01-12T00:00:00"/>
    <d v="2026-01-08T00:00:00"/>
    <n v="41"/>
    <n v="8"/>
    <n v="0"/>
    <x v="23"/>
  </r>
  <r>
    <s v="CUST1315"/>
    <s v="Jasmine Collins"/>
    <n v="35"/>
    <s v="Female"/>
    <s v="Quarterly"/>
    <d v="2024-02-25T00:00:00"/>
    <d v="2026-03-01T00:00:00"/>
    <n v="61"/>
    <n v="8"/>
    <n v="0"/>
    <x v="3"/>
  </r>
  <r>
    <s v="CUST1316"/>
    <s v="Steven Mitchell"/>
    <n v="30"/>
    <s v="Male"/>
    <s v="Yearly"/>
    <d v="2026-03-08T00:00:00"/>
    <d v="2026-04-22T00:00:00"/>
    <n v="63"/>
    <n v="5"/>
    <n v="0"/>
    <x v="22"/>
  </r>
  <r>
    <s v="CUST1317"/>
    <s v="Zachary Bond"/>
    <n v="46"/>
    <s v="Other"/>
    <s v="Monthly"/>
    <d v="2025-07-14T00:00:00"/>
    <d v="2026-04-07T00:00:00"/>
    <n v="47"/>
    <n v="3"/>
    <n v="1"/>
    <x v="12"/>
  </r>
  <r>
    <s v="CUST1318"/>
    <s v="Christine Murphy"/>
    <n v="48"/>
    <s v="Female"/>
    <s v="Monthly"/>
    <d v="2024-12-04T00:00:00"/>
    <d v="2026-01-08T00:00:00"/>
    <n v="10"/>
    <n v="10"/>
    <n v="0"/>
    <x v="14"/>
  </r>
  <r>
    <s v="CUST1319"/>
    <s v="Daniel Waters"/>
    <n v="49"/>
    <s v="Female"/>
    <s v="Quarterly"/>
    <d v="2024-02-06T00:00:00"/>
    <d v="2026-01-23T00:00:00"/>
    <n v="51"/>
    <n v="8"/>
    <n v="0"/>
    <x v="3"/>
  </r>
  <r>
    <s v="CUST1320"/>
    <s v="Rachel Moses"/>
    <n v="35"/>
    <s v="Female"/>
    <s v="Yearly"/>
    <d v="2025-12-19T00:00:00"/>
    <d v="2026-02-08T00:00:00"/>
    <n v="5"/>
    <n v="9"/>
    <n v="1"/>
    <x v="28"/>
  </r>
  <r>
    <s v="CUST1321"/>
    <s v="Elizabeth Hopkins"/>
    <n v="29"/>
    <s v="Female"/>
    <s v="Monthly"/>
    <d v="2024-12-26T00:00:00"/>
    <d v="2026-04-05T00:00:00"/>
    <n v="69"/>
    <n v="2"/>
    <n v="0"/>
    <x v="14"/>
  </r>
  <r>
    <s v="CUST1322"/>
    <s v="Garrett Garcia"/>
    <n v="28"/>
    <s v="Male"/>
    <s v="Monthly"/>
    <d v="2026-02-18T00:00:00"/>
    <d v="2026-02-09T00:00:00"/>
    <n v="45"/>
    <n v="9"/>
    <n v="1"/>
    <x v="16"/>
  </r>
  <r>
    <s v="CUST1323"/>
    <s v="Kimberly Wolfe"/>
    <n v="60"/>
    <s v="Other"/>
    <s v="Yearly"/>
    <d v="2025-06-06T00:00:00"/>
    <d v="2026-02-17T00:00:00"/>
    <n v="44"/>
    <n v="8"/>
    <n v="0"/>
    <x v="27"/>
  </r>
  <r>
    <s v="CUST1324"/>
    <s v="Thomas Mcintyre"/>
    <n v="35"/>
    <s v="Male"/>
    <s v="Yearly"/>
    <d v="2024-11-02T00:00:00"/>
    <d v="2026-02-14T00:00:00"/>
    <n v="13"/>
    <n v="1"/>
    <n v="1"/>
    <x v="24"/>
  </r>
  <r>
    <s v="CUST1325"/>
    <s v="Stephen Melton"/>
    <n v="55"/>
    <s v="Other"/>
    <s v="Quarterly"/>
    <d v="2023-11-17T00:00:00"/>
    <d v="2026-01-13T00:00:00"/>
    <n v="34"/>
    <n v="10"/>
    <n v="0"/>
    <x v="1"/>
  </r>
  <r>
    <s v="CUST1326"/>
    <s v="James Barnes"/>
    <n v="51"/>
    <s v="Female"/>
    <s v="Yearly"/>
    <d v="2023-10-04T00:00:00"/>
    <d v="2026-03-03T00:00:00"/>
    <n v="77"/>
    <n v="6"/>
    <n v="0"/>
    <x v="8"/>
  </r>
  <r>
    <s v="CUST1327"/>
    <s v="Emily Smith"/>
    <n v="54"/>
    <s v="Female"/>
    <s v="Yearly"/>
    <d v="2026-02-05T00:00:00"/>
    <d v="2026-04-30T00:00:00"/>
    <n v="5"/>
    <n v="6"/>
    <n v="0"/>
    <x v="16"/>
  </r>
  <r>
    <s v="CUST1328"/>
    <s v="Kristi Carter"/>
    <n v="31"/>
    <s v="Female"/>
    <s v="Monthly"/>
    <d v="2025-11-07T00:00:00"/>
    <d v="2026-04-19T00:00:00"/>
    <n v="46"/>
    <n v="1"/>
    <n v="0"/>
    <x v="4"/>
  </r>
  <r>
    <s v="CUST1329"/>
    <s v="Kenneth Velasquez"/>
    <n v="18"/>
    <s v="Female"/>
    <s v="Monthly"/>
    <d v="2025-10-12T00:00:00"/>
    <d v="2026-04-20T00:00:00"/>
    <n v="68"/>
    <n v="8"/>
    <n v="0"/>
    <x v="25"/>
  </r>
  <r>
    <s v="CUST1330"/>
    <s v="Michael Brewer"/>
    <n v="25"/>
    <s v="Female"/>
    <s v="Monthly"/>
    <d v="2024-04-21T00:00:00"/>
    <d v="2026-01-18T00:00:00"/>
    <n v="12"/>
    <n v="6"/>
    <n v="0"/>
    <x v="0"/>
  </r>
  <r>
    <s v="CUST1331"/>
    <s v="Joseph Cortez"/>
    <n v="50"/>
    <s v="Other"/>
    <s v="Monthly"/>
    <d v="2024-03-18T00:00:00"/>
    <d v="2026-03-09T00:00:00"/>
    <n v="55"/>
    <n v="6"/>
    <n v="0"/>
    <x v="30"/>
  </r>
  <r>
    <s v="CUST1332"/>
    <s v="Caleb Roman"/>
    <n v="56"/>
    <s v="Other"/>
    <s v="Monthly"/>
    <d v="2024-08-30T00:00:00"/>
    <d v="2026-04-22T00:00:00"/>
    <n v="58"/>
    <n v="3"/>
    <n v="1"/>
    <x v="21"/>
  </r>
  <r>
    <s v="CUST1333"/>
    <s v="Rachel Anthony"/>
    <n v="19"/>
    <s v="Other"/>
    <s v="Monthly"/>
    <d v="2023-10-14T00:00:00"/>
    <d v="2026-01-16T00:00:00"/>
    <n v="48"/>
    <n v="2"/>
    <n v="1"/>
    <x v="8"/>
  </r>
  <r>
    <s v="CUST1334"/>
    <s v="Anthony Gomez"/>
    <n v="48"/>
    <s v="Other"/>
    <s v="Monthly"/>
    <d v="2026-02-18T00:00:00"/>
    <d v="2026-04-10T00:00:00"/>
    <n v="14"/>
    <n v="3"/>
    <n v="0"/>
    <x v="16"/>
  </r>
  <r>
    <s v="CUST1335"/>
    <s v="Robert Whitaker"/>
    <n v="32"/>
    <s v="Other"/>
    <s v="Quarterly"/>
    <d v="2024-10-03T00:00:00"/>
    <d v="2026-01-25T00:00:00"/>
    <n v="47"/>
    <n v="3"/>
    <n v="1"/>
    <x v="26"/>
  </r>
  <r>
    <s v="CUST1336"/>
    <s v="Ana Reynolds"/>
    <n v="48"/>
    <s v="Other"/>
    <s v="Quarterly"/>
    <d v="2024-02-28T00:00:00"/>
    <d v="2026-02-24T00:00:00"/>
    <n v="9"/>
    <n v="2"/>
    <n v="0"/>
    <x v="3"/>
  </r>
  <r>
    <s v="CUST1337"/>
    <s v="Valerie Wright"/>
    <n v="45"/>
    <s v="Female"/>
    <s v="Yearly"/>
    <d v="2025-05-27T00:00:00"/>
    <d v="2026-03-14T00:00:00"/>
    <n v="52"/>
    <n v="3"/>
    <n v="0"/>
    <x v="2"/>
  </r>
  <r>
    <s v="CUST1338"/>
    <s v="Mrs. Kayla Anderson"/>
    <n v="57"/>
    <s v="Male"/>
    <s v="Monthly"/>
    <d v="2023-10-12T00:00:00"/>
    <d v="2026-04-12T00:00:00"/>
    <n v="56"/>
    <n v="10"/>
    <n v="0"/>
    <x v="8"/>
  </r>
  <r>
    <s v="CUST1339"/>
    <s v="Benjamin Thompson Jr."/>
    <n v="47"/>
    <s v="Male"/>
    <s v="Monthly"/>
    <d v="2024-11-24T00:00:00"/>
    <d v="2026-04-20T00:00:00"/>
    <n v="5"/>
    <n v="5"/>
    <n v="0"/>
    <x v="24"/>
  </r>
  <r>
    <s v="CUST1340"/>
    <s v="Jennifer Delgado"/>
    <n v="35"/>
    <s v="Male"/>
    <s v="Monthly"/>
    <d v="2023-11-02T00:00:00"/>
    <d v="2026-03-16T00:00:00"/>
    <n v="23"/>
    <n v="5"/>
    <n v="0"/>
    <x v="1"/>
  </r>
  <r>
    <s v="CUST1341"/>
    <s v="Michael Yu"/>
    <n v="50"/>
    <s v="Female"/>
    <s v="Monthly"/>
    <d v="2024-10-14T00:00:00"/>
    <d v="2026-03-26T00:00:00"/>
    <n v="23"/>
    <n v="8"/>
    <n v="0"/>
    <x v="26"/>
  </r>
  <r>
    <s v="CUST1342"/>
    <s v="Christine Rogers"/>
    <n v="33"/>
    <s v="Male"/>
    <s v="Yearly"/>
    <d v="2023-11-21T00:00:00"/>
    <d v="2026-01-18T00:00:00"/>
    <n v="8"/>
    <n v="4"/>
    <n v="0"/>
    <x v="1"/>
  </r>
  <r>
    <s v="CUST1343"/>
    <s v="Jack Bell"/>
    <n v="37"/>
    <s v="Other"/>
    <s v="Monthly"/>
    <d v="2025-01-15T00:00:00"/>
    <d v="2026-03-11T00:00:00"/>
    <n v="65"/>
    <n v="7"/>
    <n v="0"/>
    <x v="23"/>
  </r>
  <r>
    <s v="CUST1344"/>
    <s v="Kent Olson"/>
    <n v="52"/>
    <s v="Female"/>
    <s v="Yearly"/>
    <d v="2024-09-06T00:00:00"/>
    <d v="2026-02-02T00:00:00"/>
    <n v="65"/>
    <n v="10"/>
    <n v="0"/>
    <x v="10"/>
  </r>
  <r>
    <s v="CUST1345"/>
    <s v="Joseph Crane"/>
    <n v="53"/>
    <s v="Female"/>
    <s v="Yearly"/>
    <d v="2024-03-30T00:00:00"/>
    <d v="2026-01-20T00:00:00"/>
    <n v="23"/>
    <n v="3"/>
    <n v="0"/>
    <x v="30"/>
  </r>
  <r>
    <s v="CUST1346"/>
    <s v="Amber Figueroa"/>
    <n v="37"/>
    <s v="Male"/>
    <s v="Monthly"/>
    <d v="2025-02-14T00:00:00"/>
    <d v="2026-02-04T00:00:00"/>
    <n v="79"/>
    <n v="8"/>
    <n v="1"/>
    <x v="19"/>
  </r>
  <r>
    <s v="CUST1347"/>
    <s v="Stephanie Sanford DDS"/>
    <n v="42"/>
    <s v="Other"/>
    <s v="Quarterly"/>
    <d v="2024-09-13T00:00:00"/>
    <d v="2026-03-22T00:00:00"/>
    <n v="69"/>
    <n v="8"/>
    <n v="1"/>
    <x v="10"/>
  </r>
  <r>
    <s v="CUST1348"/>
    <s v="Kaylee Coffey"/>
    <n v="22"/>
    <s v="Male"/>
    <s v="Monthly"/>
    <d v="2024-03-03T00:00:00"/>
    <d v="2026-03-26T00:00:00"/>
    <n v="65"/>
    <n v="6"/>
    <n v="0"/>
    <x v="30"/>
  </r>
  <r>
    <s v="CUST1349"/>
    <s v="Justin Weber"/>
    <n v="28"/>
    <s v="Male"/>
    <s v="Monthly"/>
    <d v="2025-10-31T00:00:00"/>
    <d v="2026-04-05T00:00:00"/>
    <n v="21"/>
    <n v="1"/>
    <n v="1"/>
    <x v="25"/>
  </r>
  <r>
    <s v="CUST1350"/>
    <s v="Tyler Jones"/>
    <n v="47"/>
    <s v="Female"/>
    <s v="Yearly"/>
    <d v="2025-06-10T00:00:00"/>
    <d v="2026-01-15T00:00:00"/>
    <n v="8"/>
    <n v="7"/>
    <n v="1"/>
    <x v="27"/>
  </r>
  <r>
    <s v="CUST1351"/>
    <s v="Carlos Raymond"/>
    <n v="50"/>
    <s v="Other"/>
    <s v="Monthly"/>
    <d v="2025-11-18T00:00:00"/>
    <d v="2026-04-07T00:00:00"/>
    <n v="24"/>
    <n v="6"/>
    <n v="0"/>
    <x v="4"/>
  </r>
  <r>
    <s v="CUST1352"/>
    <s v="Dr. Brenda Smith"/>
    <n v="41"/>
    <s v="Male"/>
    <s v="Yearly"/>
    <d v="2024-11-06T00:00:00"/>
    <d v="2026-02-02T00:00:00"/>
    <n v="51"/>
    <n v="7"/>
    <n v="0"/>
    <x v="24"/>
  </r>
  <r>
    <s v="CUST1353"/>
    <s v="Brandon Castro"/>
    <n v="60"/>
    <s v="Other"/>
    <s v="Quarterly"/>
    <d v="2026-02-25T00:00:00"/>
    <d v="2026-02-13T00:00:00"/>
    <n v="5"/>
    <n v="1"/>
    <n v="1"/>
    <x v="16"/>
  </r>
  <r>
    <s v="CUST1354"/>
    <s v="Ms. Abigail Nixon"/>
    <n v="60"/>
    <s v="Other"/>
    <s v="Yearly"/>
    <d v="2024-02-25T00:00:00"/>
    <d v="2026-03-20T00:00:00"/>
    <n v="24"/>
    <n v="9"/>
    <n v="0"/>
    <x v="3"/>
  </r>
  <r>
    <s v="CUST1355"/>
    <s v="Sarah Campbell"/>
    <n v="30"/>
    <s v="Other"/>
    <s v="Yearly"/>
    <d v="2025-03-21T00:00:00"/>
    <d v="2026-03-04T00:00:00"/>
    <n v="52"/>
    <n v="2"/>
    <n v="0"/>
    <x v="18"/>
  </r>
  <r>
    <s v="CUST1356"/>
    <s v="Joseph Dean"/>
    <n v="50"/>
    <s v="Male"/>
    <s v="Quarterly"/>
    <d v="2024-06-21T00:00:00"/>
    <d v="2026-04-18T00:00:00"/>
    <n v="6"/>
    <n v="2"/>
    <n v="1"/>
    <x v="11"/>
  </r>
  <r>
    <s v="CUST1357"/>
    <s v="Crystal Mendoza"/>
    <n v="26"/>
    <s v="Male"/>
    <s v="Monthly"/>
    <d v="2026-03-11T00:00:00"/>
    <d v="2026-02-03T00:00:00"/>
    <n v="73"/>
    <n v="6"/>
    <n v="1"/>
    <x v="22"/>
  </r>
  <r>
    <s v="CUST1358"/>
    <s v="Dr. Jacqueline Young"/>
    <n v="46"/>
    <s v="Other"/>
    <s v="Monthly"/>
    <d v="2024-02-16T00:00:00"/>
    <d v="2026-03-31T00:00:00"/>
    <n v="61"/>
    <n v="9"/>
    <n v="0"/>
    <x v="3"/>
  </r>
  <r>
    <s v="CUST1359"/>
    <s v="Sabrina Hughes"/>
    <n v="20"/>
    <s v="Female"/>
    <s v="Monthly"/>
    <d v="2024-06-28T00:00:00"/>
    <d v="2026-04-25T00:00:00"/>
    <n v="62"/>
    <n v="9"/>
    <n v="0"/>
    <x v="11"/>
  </r>
  <r>
    <s v="CUST1360"/>
    <s v="Daniel Daniels"/>
    <n v="38"/>
    <s v="Other"/>
    <s v="Yearly"/>
    <d v="2023-09-03T00:00:00"/>
    <d v="2026-01-19T00:00:00"/>
    <n v="54"/>
    <n v="1"/>
    <n v="0"/>
    <x v="7"/>
  </r>
  <r>
    <s v="CUST1361"/>
    <s v="Angela Wood"/>
    <n v="31"/>
    <s v="Male"/>
    <s v="Quarterly"/>
    <d v="2024-12-06T00:00:00"/>
    <d v="2026-03-08T00:00:00"/>
    <n v="41"/>
    <n v="10"/>
    <n v="0"/>
    <x v="14"/>
  </r>
  <r>
    <s v="CUST1362"/>
    <s v="William Perkins"/>
    <n v="19"/>
    <s v="Other"/>
    <s v="Quarterly"/>
    <d v="2025-01-31T00:00:00"/>
    <d v="2026-02-01T00:00:00"/>
    <n v="20"/>
    <n v="3"/>
    <n v="1"/>
    <x v="23"/>
  </r>
  <r>
    <s v="CUST1363"/>
    <s v="Andrea Peters"/>
    <n v="20"/>
    <s v="Male"/>
    <s v="Quarterly"/>
    <d v="2025-10-14T00:00:00"/>
    <d v="2026-02-28T00:00:00"/>
    <n v="67"/>
    <n v="3"/>
    <n v="0"/>
    <x v="25"/>
  </r>
  <r>
    <s v="CUST1364"/>
    <s v="Tyler Harris"/>
    <n v="30"/>
    <s v="Male"/>
    <s v="Yearly"/>
    <d v="2025-07-14T00:00:00"/>
    <d v="2026-02-17T00:00:00"/>
    <n v="46"/>
    <n v="10"/>
    <n v="1"/>
    <x v="12"/>
  </r>
  <r>
    <s v="CUST1365"/>
    <s v="Tiffany Logan"/>
    <n v="48"/>
    <s v="Female"/>
    <s v="Yearly"/>
    <d v="2024-02-05T00:00:00"/>
    <d v="2026-03-01T00:00:00"/>
    <n v="19"/>
    <n v="8"/>
    <n v="1"/>
    <x v="3"/>
  </r>
  <r>
    <s v="CUST1366"/>
    <s v="Bradley Haney"/>
    <n v="20"/>
    <s v="Male"/>
    <s v="Yearly"/>
    <d v="2026-01-28T00:00:00"/>
    <d v="2026-01-10T00:00:00"/>
    <n v="18"/>
    <n v="2"/>
    <n v="0"/>
    <x v="29"/>
  </r>
  <r>
    <s v="CUST1367"/>
    <s v="Christopher Gonzalez"/>
    <n v="32"/>
    <s v="Other"/>
    <s v="Monthly"/>
    <d v="2026-04-08T00:00:00"/>
    <d v="2026-03-19T00:00:00"/>
    <n v="79"/>
    <n v="7"/>
    <n v="0"/>
    <x v="31"/>
  </r>
  <r>
    <s v="CUST1368"/>
    <s v="Joseph Henry"/>
    <n v="53"/>
    <s v="Female"/>
    <s v="Quarterly"/>
    <d v="2023-11-04T00:00:00"/>
    <d v="2026-03-20T00:00:00"/>
    <n v="72"/>
    <n v="3"/>
    <n v="0"/>
    <x v="1"/>
  </r>
  <r>
    <s v="CUST1369"/>
    <s v="Christopher Sanchez"/>
    <n v="25"/>
    <s v="Other"/>
    <s v="Yearly"/>
    <d v="2024-04-24T00:00:00"/>
    <d v="2026-03-26T00:00:00"/>
    <n v="24"/>
    <n v="1"/>
    <n v="1"/>
    <x v="0"/>
  </r>
  <r>
    <s v="CUST1370"/>
    <s v="Douglas Hicks"/>
    <n v="33"/>
    <s v="Female"/>
    <s v="Quarterly"/>
    <d v="2024-12-08T00:00:00"/>
    <d v="2026-03-26T00:00:00"/>
    <n v="29"/>
    <n v="10"/>
    <n v="0"/>
    <x v="14"/>
  </r>
  <r>
    <s v="CUST1371"/>
    <s v="Veronica Brown"/>
    <n v="25"/>
    <s v="Female"/>
    <s v="Monthly"/>
    <d v="2025-10-02T00:00:00"/>
    <d v="2026-01-16T00:00:00"/>
    <n v="21"/>
    <n v="2"/>
    <n v="1"/>
    <x v="25"/>
  </r>
  <r>
    <s v="CUST1372"/>
    <s v="William Lopez"/>
    <n v="39"/>
    <s v="Female"/>
    <s v="Quarterly"/>
    <d v="2024-04-20T00:00:00"/>
    <d v="2026-02-23T00:00:00"/>
    <n v="3"/>
    <n v="5"/>
    <n v="0"/>
    <x v="0"/>
  </r>
  <r>
    <s v="CUST1373"/>
    <s v="Brenda Sanders"/>
    <n v="38"/>
    <s v="Female"/>
    <s v="Yearly"/>
    <d v="2023-12-31T00:00:00"/>
    <d v="2026-02-17T00:00:00"/>
    <n v="80"/>
    <n v="8"/>
    <n v="1"/>
    <x v="5"/>
  </r>
  <r>
    <s v="CUST1374"/>
    <s v="Gary Parker"/>
    <n v="26"/>
    <s v="Male"/>
    <s v="Quarterly"/>
    <d v="2025-04-19T00:00:00"/>
    <d v="2026-02-03T00:00:00"/>
    <n v="45"/>
    <n v="4"/>
    <n v="1"/>
    <x v="17"/>
  </r>
  <r>
    <s v="CUST1375"/>
    <s v="James Thomas"/>
    <n v="50"/>
    <s v="Other"/>
    <s v="Quarterly"/>
    <d v="2023-08-29T00:00:00"/>
    <d v="2026-01-16T00:00:00"/>
    <n v="70"/>
    <n v="9"/>
    <n v="1"/>
    <x v="32"/>
  </r>
  <r>
    <s v="CUST1376"/>
    <s v="Dennis Vincent"/>
    <n v="36"/>
    <s v="Other"/>
    <s v="Yearly"/>
    <d v="2023-10-24T00:00:00"/>
    <d v="2026-05-02T00:00:00"/>
    <n v="6"/>
    <n v="6"/>
    <n v="0"/>
    <x v="8"/>
  </r>
  <r>
    <s v="CUST1377"/>
    <s v="Robert Williams"/>
    <n v="47"/>
    <s v="Other"/>
    <s v="Yearly"/>
    <d v="2025-06-17T00:00:00"/>
    <d v="2026-04-16T00:00:00"/>
    <n v="11"/>
    <n v="1"/>
    <n v="0"/>
    <x v="27"/>
  </r>
  <r>
    <s v="CUST1378"/>
    <s v="Scott Rodriguez MD"/>
    <n v="45"/>
    <s v="Female"/>
    <s v="Monthly"/>
    <d v="2025-10-12T00:00:00"/>
    <d v="2026-02-16T00:00:00"/>
    <n v="79"/>
    <n v="1"/>
    <n v="1"/>
    <x v="25"/>
  </r>
  <r>
    <s v="CUST1379"/>
    <s v="Melissa Heath"/>
    <n v="26"/>
    <s v="Female"/>
    <s v="Monthly"/>
    <d v="2023-10-21T00:00:00"/>
    <d v="2026-03-31T00:00:00"/>
    <n v="43"/>
    <n v="5"/>
    <n v="0"/>
    <x v="8"/>
  </r>
  <r>
    <s v="CUST1380"/>
    <s v="Anthony Marshall"/>
    <n v="20"/>
    <s v="Male"/>
    <s v="Quarterly"/>
    <d v="2026-01-08T00:00:00"/>
    <d v="2026-02-13T00:00:00"/>
    <n v="5"/>
    <n v="4"/>
    <n v="1"/>
    <x v="29"/>
  </r>
  <r>
    <s v="CUST1381"/>
    <s v="Connie White"/>
    <n v="56"/>
    <s v="Other"/>
    <s v="Monthly"/>
    <d v="2025-07-15T00:00:00"/>
    <d v="2026-04-02T00:00:00"/>
    <n v="9"/>
    <n v="2"/>
    <n v="0"/>
    <x v="12"/>
  </r>
  <r>
    <s v="CUST1382"/>
    <s v="Sarah Morse"/>
    <n v="58"/>
    <s v="Female"/>
    <s v="Monthly"/>
    <d v="2023-10-26T00:00:00"/>
    <d v="2026-04-29T00:00:00"/>
    <n v="59"/>
    <n v="9"/>
    <n v="0"/>
    <x v="8"/>
  </r>
  <r>
    <s v="CUST1383"/>
    <s v="Patrick Church"/>
    <n v="48"/>
    <s v="Female"/>
    <s v="Quarterly"/>
    <d v="2026-04-04T00:00:00"/>
    <d v="2026-03-09T00:00:00"/>
    <n v="13"/>
    <n v="7"/>
    <n v="0"/>
    <x v="31"/>
  </r>
  <r>
    <s v="CUST1384"/>
    <s v="Diamond Murphy"/>
    <n v="48"/>
    <s v="Male"/>
    <s v="Quarterly"/>
    <d v="2026-03-04T00:00:00"/>
    <d v="2026-01-25T00:00:00"/>
    <n v="10"/>
    <n v="6"/>
    <n v="0"/>
    <x v="22"/>
  </r>
  <r>
    <s v="CUST1385"/>
    <s v="Alison Pratt"/>
    <n v="27"/>
    <s v="Male"/>
    <s v="Monthly"/>
    <d v="2024-04-04T00:00:00"/>
    <d v="2026-05-01T00:00:00"/>
    <n v="35"/>
    <n v="7"/>
    <n v="0"/>
    <x v="0"/>
  </r>
  <r>
    <s v="CUST1386"/>
    <s v="Laura Hall"/>
    <n v="59"/>
    <s v="Male"/>
    <s v="Quarterly"/>
    <d v="2024-07-21T00:00:00"/>
    <d v="2026-05-06T00:00:00"/>
    <n v="45"/>
    <n v="6"/>
    <n v="0"/>
    <x v="15"/>
  </r>
  <r>
    <s v="CUST1387"/>
    <s v="Victoria Vargas"/>
    <n v="21"/>
    <s v="Other"/>
    <s v="Quarterly"/>
    <d v="2024-07-04T00:00:00"/>
    <d v="2026-03-29T00:00:00"/>
    <n v="71"/>
    <n v="6"/>
    <n v="1"/>
    <x v="15"/>
  </r>
  <r>
    <s v="CUST1388"/>
    <s v="Tammy Rodriguez"/>
    <n v="57"/>
    <s v="Female"/>
    <s v="Quarterly"/>
    <d v="2025-07-12T00:00:00"/>
    <d v="2026-04-10T00:00:00"/>
    <n v="20"/>
    <n v="8"/>
    <n v="0"/>
    <x v="12"/>
  </r>
  <r>
    <s v="CUST1389"/>
    <s v="Donald Cohen"/>
    <n v="31"/>
    <s v="Female"/>
    <s v="Monthly"/>
    <d v="2024-07-25T00:00:00"/>
    <d v="2026-04-06T00:00:00"/>
    <n v="75"/>
    <n v="1"/>
    <n v="1"/>
    <x v="15"/>
  </r>
  <r>
    <s v="CUST1390"/>
    <s v="William Williams"/>
    <n v="45"/>
    <s v="Female"/>
    <s v="Quarterly"/>
    <d v="2025-09-28T00:00:00"/>
    <d v="2026-04-21T00:00:00"/>
    <n v="72"/>
    <n v="5"/>
    <n v="0"/>
    <x v="13"/>
  </r>
  <r>
    <s v="CUST1391"/>
    <s v="Alan Moore"/>
    <n v="29"/>
    <s v="Female"/>
    <s v="Quarterly"/>
    <d v="2024-03-25T00:00:00"/>
    <d v="2026-03-24T00:00:00"/>
    <n v="9"/>
    <n v="7"/>
    <n v="0"/>
    <x v="30"/>
  </r>
  <r>
    <s v="CUST1392"/>
    <s v="Deanna Monroe"/>
    <n v="31"/>
    <s v="Male"/>
    <s v="Quarterly"/>
    <d v="2023-08-15T00:00:00"/>
    <d v="2026-05-07T00:00:00"/>
    <n v="69"/>
    <n v="10"/>
    <n v="0"/>
    <x v="32"/>
  </r>
  <r>
    <s v="CUST1393"/>
    <s v="Crystal Reed"/>
    <n v="58"/>
    <s v="Female"/>
    <s v="Monthly"/>
    <d v="2024-07-19T00:00:00"/>
    <d v="2026-05-03T00:00:00"/>
    <n v="63"/>
    <n v="6"/>
    <n v="1"/>
    <x v="15"/>
  </r>
  <r>
    <s v="CUST1394"/>
    <s v="Louis Casey"/>
    <n v="20"/>
    <s v="Female"/>
    <s v="Yearly"/>
    <d v="2024-11-08T00:00:00"/>
    <d v="2026-04-06T00:00:00"/>
    <n v="58"/>
    <n v="6"/>
    <n v="0"/>
    <x v="24"/>
  </r>
  <r>
    <s v="CUST1395"/>
    <s v="Lawrence Hill"/>
    <n v="55"/>
    <s v="Other"/>
    <s v="Quarterly"/>
    <d v="2025-02-04T00:00:00"/>
    <d v="2026-02-08T00:00:00"/>
    <n v="37"/>
    <n v="6"/>
    <n v="0"/>
    <x v="19"/>
  </r>
  <r>
    <s v="CUST1396"/>
    <s v="Timothy Mcguire"/>
    <n v="25"/>
    <s v="Female"/>
    <s v="Monthly"/>
    <d v="2024-07-31T00:00:00"/>
    <d v="2026-01-27T00:00:00"/>
    <n v="33"/>
    <n v="1"/>
    <n v="1"/>
    <x v="15"/>
  </r>
  <r>
    <s v="CUST1397"/>
    <s v="William Morales"/>
    <n v="34"/>
    <s v="Other"/>
    <s v="Quarterly"/>
    <d v="2024-02-25T00:00:00"/>
    <d v="2026-04-28T00:00:00"/>
    <n v="63"/>
    <n v="7"/>
    <n v="0"/>
    <x v="3"/>
  </r>
  <r>
    <s v="CUST1398"/>
    <s v="Kimberly Webb"/>
    <n v="42"/>
    <s v="Male"/>
    <s v="Monthly"/>
    <d v="2026-02-13T00:00:00"/>
    <d v="2026-03-18T00:00:00"/>
    <n v="25"/>
    <n v="7"/>
    <n v="0"/>
    <x v="16"/>
  </r>
  <r>
    <s v="CUST1399"/>
    <s v="John Fuentes"/>
    <n v="57"/>
    <s v="Female"/>
    <s v="Quarterly"/>
    <d v="2024-10-07T00:00:00"/>
    <d v="2026-04-25T00:00:00"/>
    <n v="24"/>
    <n v="1"/>
    <n v="0"/>
    <x v="26"/>
  </r>
  <r>
    <s v="CUST1400"/>
    <s v="April Hardy"/>
    <n v="19"/>
    <s v="Female"/>
    <s v="Monthly"/>
    <d v="2024-08-27T00:00:00"/>
    <d v="2026-05-05T00:00:00"/>
    <n v="42"/>
    <n v="1"/>
    <n v="0"/>
    <x v="21"/>
  </r>
  <r>
    <s v="CUST1401"/>
    <s v="Leah Wang"/>
    <n v="29"/>
    <s v="Male"/>
    <s v="Monthly"/>
    <d v="2024-10-24T00:00:00"/>
    <d v="2026-02-18T00:00:00"/>
    <n v="10"/>
    <n v="8"/>
    <n v="1"/>
    <x v="26"/>
  </r>
  <r>
    <s v="CUST1402"/>
    <s v="Melanie Roberts"/>
    <n v="52"/>
    <s v="Female"/>
    <s v="Monthly"/>
    <d v="2024-02-29T00:00:00"/>
    <d v="2026-03-19T00:00:00"/>
    <n v="79"/>
    <n v="8"/>
    <n v="0"/>
    <x v="3"/>
  </r>
  <r>
    <s v="CUST1403"/>
    <s v="Lacey Chan"/>
    <n v="30"/>
    <s v="Male"/>
    <s v="Yearly"/>
    <d v="2024-10-06T00:00:00"/>
    <d v="2026-02-05T00:00:00"/>
    <n v="3"/>
    <n v="10"/>
    <n v="0"/>
    <x v="26"/>
  </r>
  <r>
    <s v="CUST1404"/>
    <s v="Luis Williams"/>
    <n v="22"/>
    <s v="Male"/>
    <s v="Monthly"/>
    <d v="2023-08-15T00:00:00"/>
    <d v="2026-02-25T00:00:00"/>
    <n v="12"/>
    <n v="6"/>
    <n v="0"/>
    <x v="32"/>
  </r>
  <r>
    <s v="CUST1405"/>
    <s v="Albert Hoffman"/>
    <n v="52"/>
    <s v="Male"/>
    <s v="Monthly"/>
    <d v="2025-07-29T00:00:00"/>
    <d v="2026-02-20T00:00:00"/>
    <n v="27"/>
    <n v="1"/>
    <n v="1"/>
    <x v="12"/>
  </r>
  <r>
    <s v="CUST1406"/>
    <s v="Jill Day"/>
    <n v="57"/>
    <s v="Male"/>
    <s v="Monthly"/>
    <d v="2024-08-26T00:00:00"/>
    <d v="2026-04-23T00:00:00"/>
    <n v="26"/>
    <n v="3"/>
    <n v="1"/>
    <x v="21"/>
  </r>
  <r>
    <s v="CUST1407"/>
    <s v="Margaret Pace"/>
    <n v="49"/>
    <s v="Male"/>
    <s v="Quarterly"/>
    <d v="2025-10-29T00:00:00"/>
    <d v="2026-03-15T00:00:00"/>
    <n v="24"/>
    <n v="10"/>
    <n v="0"/>
    <x v="25"/>
  </r>
  <r>
    <s v="CUST1408"/>
    <s v="Anne Morton"/>
    <n v="44"/>
    <s v="Male"/>
    <s v="Monthly"/>
    <d v="2024-08-11T00:00:00"/>
    <d v="2026-03-11T00:00:00"/>
    <n v="1"/>
    <n v="4"/>
    <n v="1"/>
    <x v="21"/>
  </r>
  <r>
    <s v="CUST1409"/>
    <s v="Robert Baker"/>
    <n v="40"/>
    <s v="Male"/>
    <s v="Monthly"/>
    <d v="2025-04-07T00:00:00"/>
    <d v="2026-03-05T00:00:00"/>
    <n v="78"/>
    <n v="10"/>
    <n v="0"/>
    <x v="17"/>
  </r>
  <r>
    <s v="CUST1410"/>
    <s v="Adrienne Wright"/>
    <n v="26"/>
    <s v="Female"/>
    <s v="Quarterly"/>
    <d v="2024-06-13T00:00:00"/>
    <d v="2026-04-29T00:00:00"/>
    <n v="4"/>
    <n v="2"/>
    <n v="0"/>
    <x v="11"/>
  </r>
  <r>
    <s v="CUST1411"/>
    <s v="Cody Stephenson"/>
    <n v="41"/>
    <s v="Other"/>
    <s v="Monthly"/>
    <d v="2023-12-30T00:00:00"/>
    <d v="2026-03-02T00:00:00"/>
    <n v="77"/>
    <n v="4"/>
    <n v="1"/>
    <x v="5"/>
  </r>
  <r>
    <s v="CUST1412"/>
    <s v="Cindy Foster"/>
    <n v="52"/>
    <s v="Male"/>
    <s v="Quarterly"/>
    <d v="2025-05-14T00:00:00"/>
    <d v="2026-02-21T00:00:00"/>
    <n v="72"/>
    <n v="10"/>
    <n v="0"/>
    <x v="2"/>
  </r>
  <r>
    <s v="CUST1413"/>
    <s v="Terry Ramirez"/>
    <n v="48"/>
    <s v="Female"/>
    <s v="Monthly"/>
    <d v="2024-01-08T00:00:00"/>
    <d v="2026-03-22T00:00:00"/>
    <n v="18"/>
    <n v="5"/>
    <n v="0"/>
    <x v="9"/>
  </r>
  <r>
    <s v="CUST1414"/>
    <s v="Nichole Baker"/>
    <n v="58"/>
    <s v="Female"/>
    <s v="Quarterly"/>
    <d v="2025-05-21T00:00:00"/>
    <d v="2026-03-31T00:00:00"/>
    <n v="32"/>
    <n v="10"/>
    <n v="0"/>
    <x v="2"/>
  </r>
  <r>
    <s v="CUST1415"/>
    <s v="Sharon Potts"/>
    <n v="34"/>
    <s v="Other"/>
    <s v="Yearly"/>
    <d v="2023-11-14T00:00:00"/>
    <d v="2026-03-04T00:00:00"/>
    <n v="0"/>
    <n v="6"/>
    <n v="0"/>
    <x v="1"/>
  </r>
  <r>
    <s v="CUST1416"/>
    <s v="Charles Nolan"/>
    <n v="33"/>
    <s v="Male"/>
    <s v="Yearly"/>
    <d v="2024-04-15T00:00:00"/>
    <d v="2026-03-19T00:00:00"/>
    <n v="30"/>
    <n v="6"/>
    <n v="0"/>
    <x v="0"/>
  </r>
  <r>
    <s v="CUST1417"/>
    <s v="Antonio Fry"/>
    <n v="47"/>
    <s v="Male"/>
    <s v="Monthly"/>
    <d v="2026-03-15T00:00:00"/>
    <d v="2026-02-18T00:00:00"/>
    <n v="11"/>
    <n v="7"/>
    <n v="1"/>
    <x v="22"/>
  </r>
  <r>
    <s v="CUST1418"/>
    <s v="Amanda Lyons"/>
    <n v="22"/>
    <s v="Male"/>
    <s v="Monthly"/>
    <d v="2025-09-13T00:00:00"/>
    <d v="2026-04-04T00:00:00"/>
    <n v="38"/>
    <n v="9"/>
    <n v="0"/>
    <x v="13"/>
  </r>
  <r>
    <s v="CUST1419"/>
    <s v="Amber Ramirez"/>
    <n v="45"/>
    <s v="Female"/>
    <s v="Quarterly"/>
    <d v="2025-03-24T00:00:00"/>
    <d v="2026-04-25T00:00:00"/>
    <n v="80"/>
    <n v="5"/>
    <n v="0"/>
    <x v="18"/>
  </r>
  <r>
    <s v="CUST1420"/>
    <s v="Gilbert Thomas"/>
    <n v="59"/>
    <s v="Male"/>
    <s v="Monthly"/>
    <d v="2024-04-20T00:00:00"/>
    <d v="2026-02-23T00:00:00"/>
    <n v="77"/>
    <n v="9"/>
    <n v="1"/>
    <x v="0"/>
  </r>
  <r>
    <s v="CUST1421"/>
    <s v="Ashley Carter"/>
    <n v="21"/>
    <s v="Female"/>
    <s v="Quarterly"/>
    <d v="2023-10-23T00:00:00"/>
    <d v="2026-02-21T00:00:00"/>
    <n v="15"/>
    <n v="8"/>
    <n v="0"/>
    <x v="8"/>
  </r>
  <r>
    <s v="CUST1422"/>
    <s v="Marvin Nelson"/>
    <n v="33"/>
    <s v="Other"/>
    <s v="Monthly"/>
    <d v="2025-10-29T00:00:00"/>
    <d v="2026-02-22T00:00:00"/>
    <n v="71"/>
    <n v="8"/>
    <n v="1"/>
    <x v="25"/>
  </r>
  <r>
    <s v="CUST1423"/>
    <s v="Teresa Brown"/>
    <n v="45"/>
    <s v="Other"/>
    <s v="Monthly"/>
    <d v="2024-07-18T00:00:00"/>
    <d v="2026-01-26T00:00:00"/>
    <n v="9"/>
    <n v="10"/>
    <n v="0"/>
    <x v="15"/>
  </r>
  <r>
    <s v="CUST1424"/>
    <s v="James Williamson"/>
    <n v="50"/>
    <s v="Male"/>
    <s v="Monthly"/>
    <d v="2026-01-22T00:00:00"/>
    <d v="2026-04-16T00:00:00"/>
    <n v="79"/>
    <n v="2"/>
    <n v="0"/>
    <x v="29"/>
  </r>
  <r>
    <s v="CUST1425"/>
    <s v="Patricia Sampson"/>
    <n v="53"/>
    <s v="Male"/>
    <s v="Monthly"/>
    <d v="2025-12-08T00:00:00"/>
    <d v="2026-01-08T00:00:00"/>
    <n v="54"/>
    <n v="9"/>
    <n v="1"/>
    <x v="28"/>
  </r>
  <r>
    <s v="CUST1426"/>
    <s v="Nathan Williams"/>
    <n v="25"/>
    <s v="Female"/>
    <s v="Quarterly"/>
    <d v="2024-11-06T00:00:00"/>
    <d v="2026-01-31T00:00:00"/>
    <n v="22"/>
    <n v="8"/>
    <n v="1"/>
    <x v="24"/>
  </r>
  <r>
    <s v="CUST1427"/>
    <s v="Whitney Richardson"/>
    <n v="59"/>
    <s v="Male"/>
    <s v="Monthly"/>
    <d v="2023-08-21T00:00:00"/>
    <d v="2026-02-15T00:00:00"/>
    <n v="70"/>
    <n v="9"/>
    <n v="1"/>
    <x v="32"/>
  </r>
  <r>
    <s v="CUST1428"/>
    <s v="Vickie Houston"/>
    <n v="22"/>
    <s v="Female"/>
    <s v="Quarterly"/>
    <d v="2025-01-03T00:00:00"/>
    <d v="2026-03-10T00:00:00"/>
    <n v="61"/>
    <n v="5"/>
    <n v="0"/>
    <x v="23"/>
  </r>
  <r>
    <s v="CUST1429"/>
    <s v="Justin Richardson"/>
    <n v="20"/>
    <s v="Female"/>
    <s v="Monthly"/>
    <d v="2026-03-04T00:00:00"/>
    <d v="2026-04-08T00:00:00"/>
    <n v="14"/>
    <n v="5"/>
    <n v="1"/>
    <x v="22"/>
  </r>
  <r>
    <s v="CUST1430"/>
    <s v="Steven Knight"/>
    <n v="54"/>
    <s v="Male"/>
    <s v="Quarterly"/>
    <d v="2024-04-29T00:00:00"/>
    <d v="2026-02-14T00:00:00"/>
    <n v="45"/>
    <n v="6"/>
    <n v="0"/>
    <x v="0"/>
  </r>
  <r>
    <s v="CUST1431"/>
    <s v="Lee Navarro"/>
    <n v="29"/>
    <s v="Other"/>
    <s v="Monthly"/>
    <d v="2025-05-16T00:00:00"/>
    <d v="2026-03-16T00:00:00"/>
    <n v="49"/>
    <n v="1"/>
    <n v="1"/>
    <x v="2"/>
  </r>
  <r>
    <s v="CUST1432"/>
    <s v="Dennis Stewart"/>
    <n v="60"/>
    <s v="Other"/>
    <s v="Monthly"/>
    <d v="2025-09-18T00:00:00"/>
    <d v="2026-04-18T00:00:00"/>
    <n v="42"/>
    <n v="1"/>
    <n v="0"/>
    <x v="13"/>
  </r>
  <r>
    <s v="CUST1433"/>
    <s v="Sean Medina"/>
    <n v="35"/>
    <s v="Male"/>
    <s v="Monthly"/>
    <d v="2025-03-19T00:00:00"/>
    <d v="2026-03-15T00:00:00"/>
    <n v="16"/>
    <n v="2"/>
    <n v="1"/>
    <x v="18"/>
  </r>
  <r>
    <s v="CUST1434"/>
    <s v="Lisa Mathews"/>
    <n v="45"/>
    <s v="Male"/>
    <s v="Yearly"/>
    <d v="2024-04-25T00:00:00"/>
    <d v="2026-04-30T00:00:00"/>
    <n v="8"/>
    <n v="9"/>
    <n v="0"/>
    <x v="0"/>
  </r>
  <r>
    <s v="CUST1435"/>
    <s v="Justin Parker"/>
    <n v="50"/>
    <s v="Male"/>
    <s v="Quarterly"/>
    <d v="2024-11-28T00:00:00"/>
    <d v="2026-04-28T00:00:00"/>
    <n v="41"/>
    <n v="3"/>
    <n v="1"/>
    <x v="24"/>
  </r>
  <r>
    <s v="CUST1436"/>
    <s v="Mark Anderson"/>
    <n v="39"/>
    <s v="Female"/>
    <s v="Quarterly"/>
    <d v="2025-02-25T00:00:00"/>
    <d v="2026-04-18T00:00:00"/>
    <n v="5"/>
    <n v="6"/>
    <n v="1"/>
    <x v="19"/>
  </r>
  <r>
    <s v="CUST1437"/>
    <s v="Alan Alvarez"/>
    <n v="37"/>
    <s v="Other"/>
    <s v="Yearly"/>
    <d v="2023-11-29T00:00:00"/>
    <d v="2026-03-19T00:00:00"/>
    <n v="80"/>
    <n v="10"/>
    <n v="0"/>
    <x v="1"/>
  </r>
  <r>
    <s v="CUST1438"/>
    <s v="Michelle Hernandez"/>
    <n v="44"/>
    <s v="Other"/>
    <s v="Quarterly"/>
    <d v="2025-04-23T00:00:00"/>
    <d v="2026-01-08T00:00:00"/>
    <n v="25"/>
    <n v="10"/>
    <n v="1"/>
    <x v="17"/>
  </r>
  <r>
    <s v="CUST1439"/>
    <s v="Timothy Wyatt"/>
    <n v="58"/>
    <s v="Female"/>
    <s v="Quarterly"/>
    <d v="2024-08-17T00:00:00"/>
    <d v="2026-01-23T00:00:00"/>
    <n v="0"/>
    <n v="9"/>
    <n v="1"/>
    <x v="21"/>
  </r>
  <r>
    <s v="CUST1440"/>
    <s v="Krystal Arnold"/>
    <n v="58"/>
    <s v="Other"/>
    <s v="Monthly"/>
    <d v="2023-12-17T00:00:00"/>
    <d v="2026-03-06T00:00:00"/>
    <n v="2"/>
    <n v="7"/>
    <n v="1"/>
    <x v="5"/>
  </r>
  <r>
    <s v="CUST1441"/>
    <s v="Jeffrey Hayes"/>
    <n v="46"/>
    <s v="Other"/>
    <s v="Monthly"/>
    <d v="2023-10-31T00:00:00"/>
    <d v="2026-04-02T00:00:00"/>
    <n v="5"/>
    <n v="1"/>
    <n v="1"/>
    <x v="8"/>
  </r>
  <r>
    <s v="CUST1442"/>
    <s v="Jessica Long"/>
    <n v="35"/>
    <s v="Female"/>
    <s v="Yearly"/>
    <d v="2025-10-26T00:00:00"/>
    <d v="2026-04-30T00:00:00"/>
    <n v="7"/>
    <n v="5"/>
    <n v="0"/>
    <x v="25"/>
  </r>
  <r>
    <s v="CUST1443"/>
    <s v="Justin Norris"/>
    <n v="51"/>
    <s v="Other"/>
    <s v="Monthly"/>
    <d v="2024-05-03T00:00:00"/>
    <d v="2026-03-31T00:00:00"/>
    <n v="62"/>
    <n v="8"/>
    <n v="0"/>
    <x v="6"/>
  </r>
  <r>
    <s v="CUST1444"/>
    <s v="Kaitlyn Blanchard"/>
    <n v="22"/>
    <s v="Other"/>
    <s v="Monthly"/>
    <d v="2026-04-05T00:00:00"/>
    <d v="2026-02-03T00:00:00"/>
    <n v="55"/>
    <n v="6"/>
    <n v="0"/>
    <x v="31"/>
  </r>
  <r>
    <s v="CUST1445"/>
    <s v="Nicholas Golden"/>
    <n v="19"/>
    <s v="Male"/>
    <s v="Monthly"/>
    <d v="2023-09-20T00:00:00"/>
    <d v="2026-04-15T00:00:00"/>
    <n v="31"/>
    <n v="1"/>
    <n v="1"/>
    <x v="7"/>
  </r>
  <r>
    <s v="CUST1446"/>
    <s v="Derek Phelps"/>
    <n v="37"/>
    <s v="Male"/>
    <s v="Quarterly"/>
    <d v="2024-03-05T00:00:00"/>
    <d v="2026-04-23T00:00:00"/>
    <n v="33"/>
    <n v="2"/>
    <n v="1"/>
    <x v="30"/>
  </r>
  <r>
    <s v="CUST1447"/>
    <s v="Cynthia Morales"/>
    <n v="54"/>
    <s v="Other"/>
    <s v="Yearly"/>
    <d v="2024-02-21T00:00:00"/>
    <d v="2026-03-29T00:00:00"/>
    <n v="77"/>
    <n v="8"/>
    <n v="0"/>
    <x v="3"/>
  </r>
  <r>
    <s v="CUST1448"/>
    <s v="Joseph Kim"/>
    <n v="40"/>
    <s v="Male"/>
    <s v="Monthly"/>
    <d v="2024-11-17T00:00:00"/>
    <d v="2026-01-21T00:00:00"/>
    <n v="20"/>
    <n v="6"/>
    <n v="0"/>
    <x v="24"/>
  </r>
  <r>
    <s v="CUST1449"/>
    <s v="Tyler Bush"/>
    <n v="46"/>
    <s v="Other"/>
    <s v="Yearly"/>
    <d v="2025-07-08T00:00:00"/>
    <d v="2026-03-02T00:00:00"/>
    <n v="55"/>
    <n v="7"/>
    <n v="1"/>
    <x v="12"/>
  </r>
  <r>
    <s v="CUST1450"/>
    <s v="Edwin Hall"/>
    <n v="45"/>
    <s v="Male"/>
    <s v="Monthly"/>
    <d v="2026-03-15T00:00:00"/>
    <d v="2026-04-28T00:00:00"/>
    <n v="48"/>
    <n v="3"/>
    <n v="1"/>
    <x v="22"/>
  </r>
  <r>
    <s v="CUST1451"/>
    <s v="Lisa Garcia"/>
    <n v="54"/>
    <s v="Male"/>
    <s v="Monthly"/>
    <d v="2024-07-09T00:00:00"/>
    <d v="2026-05-07T00:00:00"/>
    <n v="42"/>
    <n v="5"/>
    <n v="0"/>
    <x v="15"/>
  </r>
  <r>
    <s v="CUST1452"/>
    <s v="William Owen"/>
    <n v="49"/>
    <s v="Male"/>
    <s v="Quarterly"/>
    <d v="2023-08-23T00:00:00"/>
    <d v="2026-02-06T00:00:00"/>
    <n v="43"/>
    <n v="1"/>
    <n v="0"/>
    <x v="32"/>
  </r>
  <r>
    <s v="CUST1453"/>
    <s v="Kevin Bryant"/>
    <n v="29"/>
    <s v="Male"/>
    <s v="Quarterly"/>
    <d v="2024-05-31T00:00:00"/>
    <d v="2026-04-23T00:00:00"/>
    <n v="55"/>
    <n v="7"/>
    <n v="0"/>
    <x v="6"/>
  </r>
  <r>
    <s v="CUST1454"/>
    <s v="Mrs. Amy Mann"/>
    <n v="38"/>
    <s v="Male"/>
    <s v="Quarterly"/>
    <d v="2025-01-07T00:00:00"/>
    <d v="2026-04-06T00:00:00"/>
    <n v="70"/>
    <n v="4"/>
    <n v="0"/>
    <x v="23"/>
  </r>
  <r>
    <s v="CUST1455"/>
    <s v="William Franco"/>
    <n v="24"/>
    <s v="Male"/>
    <s v="Quarterly"/>
    <d v="2025-03-08T00:00:00"/>
    <d v="2026-04-26T00:00:00"/>
    <n v="34"/>
    <n v="8"/>
    <n v="0"/>
    <x v="18"/>
  </r>
  <r>
    <s v="CUST1456"/>
    <s v="Anna Thompson"/>
    <n v="54"/>
    <s v="Other"/>
    <s v="Yearly"/>
    <d v="2026-03-23T00:00:00"/>
    <d v="2026-02-08T00:00:00"/>
    <n v="25"/>
    <n v="9"/>
    <n v="1"/>
    <x v="22"/>
  </r>
  <r>
    <s v="CUST1457"/>
    <s v="Dawn Johnson"/>
    <n v="30"/>
    <s v="Male"/>
    <s v="Quarterly"/>
    <d v="2025-04-02T00:00:00"/>
    <d v="2026-03-01T00:00:00"/>
    <n v="24"/>
    <n v="4"/>
    <n v="1"/>
    <x v="17"/>
  </r>
  <r>
    <s v="CUST1458"/>
    <s v="Diana Scott"/>
    <n v="52"/>
    <s v="Female"/>
    <s v="Monthly"/>
    <d v="2025-11-11T00:00:00"/>
    <d v="2026-05-04T00:00:00"/>
    <n v="65"/>
    <n v="3"/>
    <n v="0"/>
    <x v="4"/>
  </r>
  <r>
    <s v="CUST1459"/>
    <s v="Isabel Gomez"/>
    <n v="39"/>
    <s v="Male"/>
    <s v="Quarterly"/>
    <d v="2024-05-30T00:00:00"/>
    <d v="2026-05-06T00:00:00"/>
    <n v="77"/>
    <n v="2"/>
    <n v="0"/>
    <x v="6"/>
  </r>
  <r>
    <s v="CUST1460"/>
    <s v="Beth Krueger"/>
    <n v="35"/>
    <s v="Male"/>
    <s v="Quarterly"/>
    <d v="2025-04-26T00:00:00"/>
    <d v="2026-02-01T00:00:00"/>
    <n v="22"/>
    <n v="3"/>
    <n v="1"/>
    <x v="17"/>
  </r>
  <r>
    <s v="CUST1461"/>
    <s v="Audrey Moore"/>
    <n v="53"/>
    <s v="Other"/>
    <s v="Yearly"/>
    <d v="2024-10-15T00:00:00"/>
    <d v="2026-04-19T00:00:00"/>
    <n v="43"/>
    <n v="5"/>
    <n v="0"/>
    <x v="26"/>
  </r>
  <r>
    <s v="CUST1462"/>
    <s v="Shawn Wang"/>
    <n v="44"/>
    <s v="Female"/>
    <s v="Yearly"/>
    <d v="2025-03-27T00:00:00"/>
    <d v="2026-02-15T00:00:00"/>
    <n v="78"/>
    <n v="7"/>
    <n v="0"/>
    <x v="18"/>
  </r>
  <r>
    <s v="CUST1463"/>
    <s v="Christopher Anderson"/>
    <n v="48"/>
    <s v="Female"/>
    <s v="Quarterly"/>
    <d v="2025-02-26T00:00:00"/>
    <d v="2026-04-19T00:00:00"/>
    <n v="20"/>
    <n v="1"/>
    <n v="0"/>
    <x v="19"/>
  </r>
  <r>
    <s v="CUST1464"/>
    <s v="Mr. Jason Roberts"/>
    <n v="35"/>
    <s v="Female"/>
    <s v="Monthly"/>
    <d v="2024-12-23T00:00:00"/>
    <d v="2026-01-16T00:00:00"/>
    <n v="66"/>
    <n v="6"/>
    <n v="0"/>
    <x v="14"/>
  </r>
  <r>
    <s v="CUST1465"/>
    <s v="Stephanie Garrett"/>
    <n v="26"/>
    <s v="Male"/>
    <s v="Monthly"/>
    <d v="2025-08-06T00:00:00"/>
    <d v="2026-03-01T00:00:00"/>
    <n v="60"/>
    <n v="6"/>
    <n v="1"/>
    <x v="20"/>
  </r>
  <r>
    <s v="CUST1466"/>
    <s v="Richard Weaver"/>
    <n v="24"/>
    <s v="Male"/>
    <s v="Yearly"/>
    <d v="2026-01-29T00:00:00"/>
    <d v="2026-04-04T00:00:00"/>
    <n v="66"/>
    <n v="6"/>
    <n v="0"/>
    <x v="29"/>
  </r>
  <r>
    <s v="CUST1467"/>
    <s v="Gregg Andrade"/>
    <n v="32"/>
    <s v="Male"/>
    <s v="Monthly"/>
    <d v="2025-05-31T00:00:00"/>
    <d v="2026-01-31T00:00:00"/>
    <n v="27"/>
    <n v="3"/>
    <n v="0"/>
    <x v="2"/>
  </r>
  <r>
    <s v="CUST1468"/>
    <s v="Lisa Hatfield"/>
    <n v="47"/>
    <s v="Female"/>
    <s v="Monthly"/>
    <d v="2024-04-06T00:00:00"/>
    <d v="2026-03-26T00:00:00"/>
    <n v="24"/>
    <n v="10"/>
    <n v="0"/>
    <x v="0"/>
  </r>
  <r>
    <s v="CUST1469"/>
    <s v="Adam Moran"/>
    <n v="59"/>
    <s v="Other"/>
    <s v="Quarterly"/>
    <d v="2024-11-08T00:00:00"/>
    <d v="2026-03-21T00:00:00"/>
    <n v="68"/>
    <n v="1"/>
    <n v="0"/>
    <x v="24"/>
  </r>
  <r>
    <s v="CUST1470"/>
    <s v="Marisa Wu"/>
    <n v="32"/>
    <s v="Male"/>
    <s v="Monthly"/>
    <d v="2024-11-02T00:00:00"/>
    <d v="2026-01-14T00:00:00"/>
    <n v="70"/>
    <n v="2"/>
    <n v="1"/>
    <x v="24"/>
  </r>
  <r>
    <s v="CUST1471"/>
    <s v="April Fischer"/>
    <n v="46"/>
    <s v="Male"/>
    <s v="Monthly"/>
    <d v="2024-03-31T00:00:00"/>
    <d v="2026-04-03T00:00:00"/>
    <n v="65"/>
    <n v="8"/>
    <n v="0"/>
    <x v="30"/>
  </r>
  <r>
    <s v="CUST1472"/>
    <s v="Eric Phillips"/>
    <n v="50"/>
    <s v="Other"/>
    <s v="Quarterly"/>
    <d v="2025-02-06T00:00:00"/>
    <d v="2026-03-02T00:00:00"/>
    <n v="76"/>
    <n v="8"/>
    <n v="0"/>
    <x v="19"/>
  </r>
  <r>
    <s v="CUST1473"/>
    <s v="Christopher Kelly"/>
    <n v="40"/>
    <s v="Male"/>
    <s v="Yearly"/>
    <d v="2023-09-13T00:00:00"/>
    <d v="2026-02-17T00:00:00"/>
    <n v="36"/>
    <n v="6"/>
    <n v="1"/>
    <x v="7"/>
  </r>
  <r>
    <s v="CUST1474"/>
    <s v="Victoria Johnson"/>
    <n v="53"/>
    <s v="Other"/>
    <s v="Monthly"/>
    <d v="2023-11-23T00:00:00"/>
    <d v="2026-01-25T00:00:00"/>
    <n v="49"/>
    <n v="7"/>
    <n v="0"/>
    <x v="1"/>
  </r>
  <r>
    <s v="CUST1475"/>
    <s v="Brandy Adams"/>
    <n v="51"/>
    <s v="Other"/>
    <s v="Quarterly"/>
    <d v="2023-11-21T00:00:00"/>
    <d v="2026-03-09T00:00:00"/>
    <n v="62"/>
    <n v="1"/>
    <n v="1"/>
    <x v="1"/>
  </r>
  <r>
    <s v="CUST1476"/>
    <s v="Valerie Davis"/>
    <n v="39"/>
    <s v="Other"/>
    <s v="Quarterly"/>
    <d v="2025-08-13T00:00:00"/>
    <d v="2026-04-13T00:00:00"/>
    <n v="19"/>
    <n v="5"/>
    <n v="0"/>
    <x v="20"/>
  </r>
  <r>
    <s v="CUST1477"/>
    <s v="Jacqueline Gray"/>
    <n v="58"/>
    <s v="Other"/>
    <s v="Quarterly"/>
    <d v="2023-09-22T00:00:00"/>
    <d v="2026-03-18T00:00:00"/>
    <n v="19"/>
    <n v="6"/>
    <n v="0"/>
    <x v="7"/>
  </r>
  <r>
    <s v="CUST1478"/>
    <s v="Michael Cunningham"/>
    <n v="47"/>
    <s v="Male"/>
    <s v="Monthly"/>
    <d v="2024-01-10T00:00:00"/>
    <d v="2026-01-10T00:00:00"/>
    <n v="63"/>
    <n v="3"/>
    <n v="0"/>
    <x v="9"/>
  </r>
  <r>
    <s v="CUST1479"/>
    <s v="Jerome Grant"/>
    <n v="28"/>
    <s v="Female"/>
    <s v="Monthly"/>
    <d v="2024-08-05T00:00:00"/>
    <d v="2026-03-15T00:00:00"/>
    <n v="59"/>
    <n v="3"/>
    <n v="0"/>
    <x v="21"/>
  </r>
  <r>
    <s v="CUST1480"/>
    <s v="David Petersen"/>
    <n v="40"/>
    <s v="Female"/>
    <s v="Monthly"/>
    <d v="2025-11-20T00:00:00"/>
    <d v="2026-02-08T00:00:00"/>
    <n v="72"/>
    <n v="4"/>
    <n v="0"/>
    <x v="4"/>
  </r>
  <r>
    <s v="CUST1481"/>
    <s v="Matthew Ford"/>
    <n v="50"/>
    <s v="Male"/>
    <s v="Monthly"/>
    <d v="2025-05-15T00:00:00"/>
    <d v="2026-03-19T00:00:00"/>
    <n v="35"/>
    <n v="7"/>
    <n v="0"/>
    <x v="2"/>
  </r>
  <r>
    <s v="CUST1482"/>
    <s v="Janet Cabrera"/>
    <n v="41"/>
    <s v="Other"/>
    <s v="Monthly"/>
    <d v="2024-05-21T00:00:00"/>
    <d v="2026-01-23T00:00:00"/>
    <n v="66"/>
    <n v="8"/>
    <n v="0"/>
    <x v="6"/>
  </r>
  <r>
    <s v="CUST1483"/>
    <s v="Heather Lewis"/>
    <n v="54"/>
    <s v="Male"/>
    <s v="Monthly"/>
    <d v="2023-10-21T00:00:00"/>
    <d v="2026-02-11T00:00:00"/>
    <n v="63"/>
    <n v="9"/>
    <n v="0"/>
    <x v="8"/>
  </r>
  <r>
    <s v="CUST1484"/>
    <s v="Dustin Rhodes"/>
    <n v="30"/>
    <s v="Female"/>
    <s v="Quarterly"/>
    <d v="2024-03-08T00:00:00"/>
    <d v="2026-02-01T00:00:00"/>
    <n v="40"/>
    <n v="7"/>
    <n v="1"/>
    <x v="30"/>
  </r>
  <r>
    <s v="CUST1485"/>
    <s v="Lori Giles"/>
    <n v="40"/>
    <s v="Female"/>
    <s v="Quarterly"/>
    <d v="2024-07-30T00:00:00"/>
    <d v="2026-02-25T00:00:00"/>
    <n v="12"/>
    <n v="1"/>
    <n v="0"/>
    <x v="15"/>
  </r>
  <r>
    <s v="CUST1486"/>
    <s v="James Ortiz"/>
    <n v="41"/>
    <s v="Other"/>
    <s v="Yearly"/>
    <d v="2024-04-11T00:00:00"/>
    <d v="2026-01-10T00:00:00"/>
    <n v="8"/>
    <n v="7"/>
    <n v="0"/>
    <x v="0"/>
  </r>
  <r>
    <s v="CUST1487"/>
    <s v="Deborah Soto PhD"/>
    <n v="33"/>
    <s v="Other"/>
    <s v="Yearly"/>
    <d v="2024-12-06T00:00:00"/>
    <d v="2026-01-24T00:00:00"/>
    <n v="74"/>
    <n v="5"/>
    <n v="0"/>
    <x v="14"/>
  </r>
  <r>
    <s v="CUST1488"/>
    <s v="Michael Whitney"/>
    <n v="43"/>
    <s v="Female"/>
    <s v="Monthly"/>
    <d v="2024-07-20T00:00:00"/>
    <d v="2026-03-09T00:00:00"/>
    <n v="0"/>
    <n v="9"/>
    <n v="0"/>
    <x v="15"/>
  </r>
  <r>
    <s v="CUST1489"/>
    <s v="Sheri Nguyen"/>
    <n v="23"/>
    <s v="Male"/>
    <s v="Quarterly"/>
    <d v="2025-11-12T00:00:00"/>
    <d v="2026-02-10T00:00:00"/>
    <n v="60"/>
    <n v="3"/>
    <n v="1"/>
    <x v="4"/>
  </r>
  <r>
    <s v="CUST1490"/>
    <s v="Jennifer Watson"/>
    <n v="21"/>
    <s v="Female"/>
    <s v="Monthly"/>
    <d v="2025-03-13T00:00:00"/>
    <d v="2026-04-12T00:00:00"/>
    <n v="69"/>
    <n v="6"/>
    <n v="0"/>
    <x v="18"/>
  </r>
  <r>
    <s v="CUST1491"/>
    <s v="Alexis Costa"/>
    <n v="34"/>
    <s v="Other"/>
    <s v="Quarterly"/>
    <d v="2023-12-11T00:00:00"/>
    <d v="2026-04-13T00:00:00"/>
    <n v="18"/>
    <n v="2"/>
    <n v="0"/>
    <x v="5"/>
  </r>
  <r>
    <s v="CUST1492"/>
    <s v="Tina Reed"/>
    <n v="42"/>
    <s v="Male"/>
    <s v="Monthly"/>
    <d v="2026-01-06T00:00:00"/>
    <d v="2026-01-26T00:00:00"/>
    <n v="51"/>
    <n v="1"/>
    <n v="1"/>
    <x v="29"/>
  </r>
  <r>
    <s v="CUST1493"/>
    <s v="Christopher Taylor"/>
    <n v="52"/>
    <s v="Male"/>
    <s v="Yearly"/>
    <d v="2023-12-13T00:00:00"/>
    <d v="2026-04-08T00:00:00"/>
    <n v="38"/>
    <n v="5"/>
    <n v="0"/>
    <x v="5"/>
  </r>
  <r>
    <s v="CUST1494"/>
    <s v="Carl Carpenter"/>
    <n v="35"/>
    <s v="Male"/>
    <s v="Monthly"/>
    <d v="2024-07-24T00:00:00"/>
    <d v="2026-05-06T00:00:00"/>
    <n v="18"/>
    <n v="9"/>
    <n v="1"/>
    <x v="15"/>
  </r>
  <r>
    <s v="CUST1495"/>
    <s v="Christine Harrell"/>
    <n v="34"/>
    <s v="Male"/>
    <s v="Monthly"/>
    <d v="2025-05-21T00:00:00"/>
    <d v="2026-05-08T00:00:00"/>
    <n v="19"/>
    <n v="1"/>
    <n v="1"/>
    <x v="2"/>
  </r>
  <r>
    <s v="CUST1496"/>
    <s v="Christopher Bennett"/>
    <n v="35"/>
    <s v="Male"/>
    <s v="Monthly"/>
    <d v="2024-08-27T00:00:00"/>
    <d v="2026-05-02T00:00:00"/>
    <n v="20"/>
    <n v="8"/>
    <n v="1"/>
    <x v="21"/>
  </r>
  <r>
    <s v="CUST1497"/>
    <s v="Zachary Vance"/>
    <n v="38"/>
    <s v="Female"/>
    <s v="Monthly"/>
    <d v="2025-12-31T00:00:00"/>
    <d v="2026-04-19T00:00:00"/>
    <n v="48"/>
    <n v="9"/>
    <n v="0"/>
    <x v="28"/>
  </r>
  <r>
    <s v="CUST1498"/>
    <s v="Todd Bauer"/>
    <n v="58"/>
    <s v="Other"/>
    <s v="Quarterly"/>
    <d v="2025-03-30T00:00:00"/>
    <d v="2026-01-31T00:00:00"/>
    <n v="18"/>
    <n v="2"/>
    <n v="1"/>
    <x v="18"/>
  </r>
  <r>
    <s v="CUST1499"/>
    <s v="Patricia Davies"/>
    <n v="60"/>
    <s v="Female"/>
    <s v="Quarterly"/>
    <d v="2024-07-23T00:00:00"/>
    <d v="2026-04-03T00:00:00"/>
    <n v="46"/>
    <n v="5"/>
    <n v="0"/>
    <x v="15"/>
  </r>
  <r>
    <s v="CUST1500"/>
    <s v="Nancy Martin"/>
    <n v="29"/>
    <s v="Other"/>
    <s v="Monthly"/>
    <d v="2024-12-16T00:00:00"/>
    <d v="2026-01-09T00:00:00"/>
    <n v="73"/>
    <n v="5"/>
    <n v="0"/>
    <x v="14"/>
  </r>
  <r>
    <s v="CUST1501"/>
    <s v="Henry Acosta"/>
    <n v="39"/>
    <s v="Other"/>
    <s v="Monthly"/>
    <d v="2025-08-26T00:00:00"/>
    <d v="2026-01-31T00:00:00"/>
    <n v="26"/>
    <n v="7"/>
    <n v="0"/>
    <x v="20"/>
  </r>
  <r>
    <s v="CUST1502"/>
    <s v="Shawn Carter"/>
    <n v="46"/>
    <s v="Other"/>
    <s v="Monthly"/>
    <d v="2025-07-14T00:00:00"/>
    <d v="2026-03-06T00:00:00"/>
    <n v="65"/>
    <n v="2"/>
    <n v="1"/>
    <x v="12"/>
  </r>
  <r>
    <s v="CUST1503"/>
    <s v="Christian Villarreal"/>
    <n v="21"/>
    <s v="Male"/>
    <s v="Monthly"/>
    <d v="2025-10-01T00:00:00"/>
    <d v="2026-02-10T00:00:00"/>
    <n v="38"/>
    <n v="3"/>
    <n v="1"/>
    <x v="25"/>
  </r>
  <r>
    <s v="CUST1504"/>
    <s v="Kirk Lee"/>
    <n v="24"/>
    <s v="Female"/>
    <s v="Yearly"/>
    <d v="2026-03-11T00:00:00"/>
    <d v="2026-04-24T00:00:00"/>
    <n v="34"/>
    <n v="1"/>
    <n v="1"/>
    <x v="22"/>
  </r>
  <r>
    <s v="CUST1505"/>
    <s v="Barbara Bentley"/>
    <n v="45"/>
    <s v="Other"/>
    <s v="Monthly"/>
    <d v="2025-08-20T00:00:00"/>
    <d v="2026-01-08T00:00:00"/>
    <n v="64"/>
    <n v="6"/>
    <n v="0"/>
    <x v="20"/>
  </r>
  <r>
    <s v="CUST1506"/>
    <s v="Stephen Mitchell"/>
    <n v="36"/>
    <s v="Male"/>
    <s v="Monthly"/>
    <d v="2025-12-01T00:00:00"/>
    <d v="2026-03-12T00:00:00"/>
    <n v="71"/>
    <n v="2"/>
    <n v="0"/>
    <x v="28"/>
  </r>
  <r>
    <s v="CUST1507"/>
    <s v="Tara Martinez"/>
    <n v="31"/>
    <s v="Male"/>
    <s v="Monthly"/>
    <d v="2024-11-09T00:00:00"/>
    <d v="2026-04-13T00:00:00"/>
    <n v="43"/>
    <n v="9"/>
    <n v="0"/>
    <x v="24"/>
  </r>
  <r>
    <s v="CUST1508"/>
    <s v="Kelly Everett"/>
    <n v="44"/>
    <s v="Female"/>
    <s v="Yearly"/>
    <d v="2025-02-25T00:00:00"/>
    <d v="2026-04-13T00:00:00"/>
    <n v="31"/>
    <n v="7"/>
    <n v="0"/>
    <x v="19"/>
  </r>
  <r>
    <s v="CUST1509"/>
    <s v="Jeremy Grant"/>
    <n v="31"/>
    <s v="Other"/>
    <s v="Yearly"/>
    <d v="2025-05-12T00:00:00"/>
    <d v="2026-02-20T00:00:00"/>
    <n v="29"/>
    <n v="9"/>
    <n v="1"/>
    <x v="2"/>
  </r>
  <r>
    <s v="CUST1510"/>
    <s v="Barry Hernandez"/>
    <n v="56"/>
    <s v="Female"/>
    <s v="Monthly"/>
    <d v="2023-11-01T00:00:00"/>
    <d v="2026-03-08T00:00:00"/>
    <n v="34"/>
    <n v="1"/>
    <n v="1"/>
    <x v="1"/>
  </r>
  <r>
    <s v="CUST1511"/>
    <s v="Christopher Lopez"/>
    <n v="26"/>
    <s v="Male"/>
    <s v="Quarterly"/>
    <d v="2025-08-28T00:00:00"/>
    <d v="2026-04-15T00:00:00"/>
    <n v="9"/>
    <n v="7"/>
    <n v="0"/>
    <x v="20"/>
  </r>
  <r>
    <s v="CUST1512"/>
    <s v="Deanna Mcfarland"/>
    <n v="49"/>
    <s v="Other"/>
    <s v="Monthly"/>
    <d v="2025-07-14T00:00:00"/>
    <d v="2026-01-25T00:00:00"/>
    <n v="10"/>
    <n v="8"/>
    <n v="1"/>
    <x v="12"/>
  </r>
  <r>
    <s v="CUST1513"/>
    <s v="Lauren Mcdaniel"/>
    <n v="37"/>
    <s v="Other"/>
    <s v="Monthly"/>
    <d v="2024-11-29T00:00:00"/>
    <d v="2026-03-04T00:00:00"/>
    <n v="34"/>
    <n v="5"/>
    <n v="1"/>
    <x v="24"/>
  </r>
  <r>
    <s v="CUST1514"/>
    <s v="Joseph Jackson"/>
    <n v="43"/>
    <s v="Other"/>
    <s v="Quarterly"/>
    <d v="2025-09-10T00:00:00"/>
    <d v="2026-05-01T00:00:00"/>
    <n v="11"/>
    <n v="6"/>
    <n v="0"/>
    <x v="13"/>
  </r>
  <r>
    <s v="CUST1515"/>
    <s v="Charles Walker"/>
    <n v="25"/>
    <s v="Female"/>
    <s v="Monthly"/>
    <d v="2025-01-20T00:00:00"/>
    <d v="2026-04-01T00:00:00"/>
    <n v="31"/>
    <n v="8"/>
    <n v="0"/>
    <x v="23"/>
  </r>
  <r>
    <s v="CUST1516"/>
    <s v="Jennifer Mitchell"/>
    <n v="59"/>
    <s v="Male"/>
    <s v="Yearly"/>
    <d v="2025-01-23T00:00:00"/>
    <d v="2026-03-02T00:00:00"/>
    <n v="32"/>
    <n v="2"/>
    <n v="0"/>
    <x v="23"/>
  </r>
  <r>
    <s v="CUST1517"/>
    <s v="Briana Kennedy"/>
    <n v="37"/>
    <s v="Other"/>
    <s v="Yearly"/>
    <d v="2025-09-22T00:00:00"/>
    <d v="2026-04-06T00:00:00"/>
    <n v="61"/>
    <n v="6"/>
    <n v="0"/>
    <x v="13"/>
  </r>
  <r>
    <s v="CUST1518"/>
    <s v="Dwayne Wilkins"/>
    <n v="60"/>
    <s v="Other"/>
    <s v="Monthly"/>
    <d v="2026-02-24T00:00:00"/>
    <d v="2026-02-20T00:00:00"/>
    <n v="43"/>
    <n v="7"/>
    <n v="0"/>
    <x v="16"/>
  </r>
  <r>
    <s v="CUST1519"/>
    <s v="Tyler Fox"/>
    <n v="59"/>
    <s v="Other"/>
    <s v="Monthly"/>
    <d v="2024-11-16T00:00:00"/>
    <d v="2026-04-11T00:00:00"/>
    <n v="24"/>
    <n v="6"/>
    <n v="0"/>
    <x v="24"/>
  </r>
  <r>
    <s v="CUST1520"/>
    <s v="Daniel Parker"/>
    <n v="42"/>
    <s v="Other"/>
    <s v="Quarterly"/>
    <d v="2025-08-07T00:00:00"/>
    <d v="2026-03-16T00:00:00"/>
    <n v="47"/>
    <n v="1"/>
    <n v="0"/>
    <x v="20"/>
  </r>
  <r>
    <s v="CUST1521"/>
    <s v="Noah Jordan"/>
    <n v="57"/>
    <s v="Female"/>
    <s v="Yearly"/>
    <d v="2023-10-01T00:00:00"/>
    <d v="2026-02-28T00:00:00"/>
    <n v="24"/>
    <n v="3"/>
    <n v="0"/>
    <x v="8"/>
  </r>
  <r>
    <s v="CUST1522"/>
    <s v="Denise Harrison"/>
    <n v="52"/>
    <s v="Male"/>
    <s v="Monthly"/>
    <d v="2024-03-24T00:00:00"/>
    <d v="2026-02-22T00:00:00"/>
    <n v="11"/>
    <n v="5"/>
    <n v="0"/>
    <x v="30"/>
  </r>
  <r>
    <s v="CUST1523"/>
    <s v="Christopher Fleming"/>
    <n v="56"/>
    <s v="Male"/>
    <s v="Quarterly"/>
    <d v="2025-11-09T00:00:00"/>
    <d v="2026-01-11T00:00:00"/>
    <n v="44"/>
    <n v="2"/>
    <n v="1"/>
    <x v="4"/>
  </r>
  <r>
    <s v="CUST1524"/>
    <s v="Bailey Martinez"/>
    <n v="29"/>
    <s v="Male"/>
    <s v="Monthly"/>
    <d v="2024-11-07T00:00:00"/>
    <d v="2026-03-07T00:00:00"/>
    <n v="18"/>
    <n v="4"/>
    <n v="1"/>
    <x v="24"/>
  </r>
  <r>
    <s v="CUST1525"/>
    <s v="Dr. Luis Chavez"/>
    <n v="22"/>
    <s v="Other"/>
    <s v="Monthly"/>
    <d v="2024-08-17T00:00:00"/>
    <d v="2026-01-23T00:00:00"/>
    <n v="52"/>
    <n v="4"/>
    <n v="1"/>
    <x v="21"/>
  </r>
  <r>
    <s v="CUST1526"/>
    <s v="Christopher Alvarez"/>
    <n v="21"/>
    <s v="Female"/>
    <s v="Monthly"/>
    <d v="2024-11-13T00:00:00"/>
    <d v="2026-05-02T00:00:00"/>
    <n v="47"/>
    <n v="6"/>
    <n v="0"/>
    <x v="24"/>
  </r>
  <r>
    <s v="CUST1527"/>
    <s v="Matthew King"/>
    <n v="30"/>
    <s v="Other"/>
    <s v="Monthly"/>
    <d v="2023-12-01T00:00:00"/>
    <d v="2026-04-08T00:00:00"/>
    <n v="26"/>
    <n v="4"/>
    <n v="0"/>
    <x v="5"/>
  </r>
  <r>
    <s v="CUST1528"/>
    <s v="Dylan Barnett"/>
    <n v="19"/>
    <s v="Female"/>
    <s v="Yearly"/>
    <d v="2025-07-11T00:00:00"/>
    <d v="2026-02-16T00:00:00"/>
    <n v="7"/>
    <n v="7"/>
    <n v="0"/>
    <x v="12"/>
  </r>
  <r>
    <s v="CUST1529"/>
    <s v="Jacob Oneal"/>
    <n v="42"/>
    <s v="Male"/>
    <s v="Monthly"/>
    <d v="2024-10-12T00:00:00"/>
    <d v="2026-02-07T00:00:00"/>
    <n v="32"/>
    <n v="3"/>
    <n v="1"/>
    <x v="26"/>
  </r>
  <r>
    <s v="CUST1530"/>
    <s v="Emily Lane"/>
    <n v="42"/>
    <s v="Male"/>
    <s v="Monthly"/>
    <d v="2024-12-04T00:00:00"/>
    <d v="2026-02-25T00:00:00"/>
    <n v="44"/>
    <n v="5"/>
    <n v="0"/>
    <x v="14"/>
  </r>
  <r>
    <s v="CUST1531"/>
    <s v="Lynn Lewis"/>
    <n v="56"/>
    <s v="Male"/>
    <s v="Quarterly"/>
    <d v="2025-08-30T00:00:00"/>
    <d v="2026-04-28T00:00:00"/>
    <n v="39"/>
    <n v="10"/>
    <n v="0"/>
    <x v="20"/>
  </r>
  <r>
    <s v="CUST1532"/>
    <s v="Richard Wright"/>
    <n v="36"/>
    <s v="Female"/>
    <s v="Monthly"/>
    <d v="2024-08-31T00:00:00"/>
    <d v="2026-04-28T00:00:00"/>
    <n v="20"/>
    <n v="10"/>
    <n v="0"/>
    <x v="21"/>
  </r>
  <r>
    <s v="CUST1533"/>
    <s v="Stacy Brown"/>
    <n v="24"/>
    <s v="Male"/>
    <s v="Monthly"/>
    <d v="2024-01-23T00:00:00"/>
    <d v="2026-05-01T00:00:00"/>
    <n v="20"/>
    <n v="8"/>
    <n v="1"/>
    <x v="9"/>
  </r>
  <r>
    <s v="CUST1534"/>
    <s v="Scott Gamble"/>
    <n v="49"/>
    <s v="Female"/>
    <s v="Quarterly"/>
    <d v="2023-11-06T00:00:00"/>
    <d v="2026-05-04T00:00:00"/>
    <n v="36"/>
    <n v="3"/>
    <n v="1"/>
    <x v="1"/>
  </r>
  <r>
    <s v="CUST1535"/>
    <s v="Samantha Cook"/>
    <n v="23"/>
    <s v="Female"/>
    <s v="Monthly"/>
    <d v="2026-03-04T00:00:00"/>
    <d v="2026-03-31T00:00:00"/>
    <n v="79"/>
    <n v="10"/>
    <n v="1"/>
    <x v="22"/>
  </r>
  <r>
    <s v="CUST1536"/>
    <s v="Elizabeth Martinez"/>
    <n v="59"/>
    <s v="Other"/>
    <s v="Quarterly"/>
    <d v="2025-10-25T00:00:00"/>
    <d v="2026-02-27T00:00:00"/>
    <n v="79"/>
    <n v="6"/>
    <n v="1"/>
    <x v="25"/>
  </r>
  <r>
    <s v="CUST1537"/>
    <s v="Jimmy Lara"/>
    <n v="29"/>
    <s v="Female"/>
    <s v="Quarterly"/>
    <d v="2024-12-25T00:00:00"/>
    <d v="2026-04-27T00:00:00"/>
    <n v="17"/>
    <n v="6"/>
    <n v="0"/>
    <x v="14"/>
  </r>
  <r>
    <s v="CUST1538"/>
    <s v="Steven Greene"/>
    <n v="53"/>
    <s v="Other"/>
    <s v="Monthly"/>
    <d v="2024-01-16T00:00:00"/>
    <d v="2026-03-02T00:00:00"/>
    <n v="10"/>
    <n v="6"/>
    <n v="0"/>
    <x v="9"/>
  </r>
  <r>
    <s v="CUST1539"/>
    <s v="Kayla Murphy"/>
    <n v="45"/>
    <s v="Male"/>
    <s v="Monthly"/>
    <d v="2025-07-20T00:00:00"/>
    <d v="2026-01-23T00:00:00"/>
    <n v="4"/>
    <n v="9"/>
    <n v="1"/>
    <x v="12"/>
  </r>
  <r>
    <s v="CUST1540"/>
    <s v="Erin Wilson"/>
    <n v="36"/>
    <s v="Male"/>
    <s v="Monthly"/>
    <d v="2024-12-13T00:00:00"/>
    <d v="2026-04-28T00:00:00"/>
    <n v="42"/>
    <n v="2"/>
    <n v="0"/>
    <x v="14"/>
  </r>
  <r>
    <s v="CUST1541"/>
    <s v="Andrew Newman"/>
    <n v="22"/>
    <s v="Other"/>
    <s v="Yearly"/>
    <d v="2024-04-03T00:00:00"/>
    <d v="2026-03-08T00:00:00"/>
    <n v="47"/>
    <n v="2"/>
    <n v="0"/>
    <x v="0"/>
  </r>
  <r>
    <s v="CUST1542"/>
    <s v="Stephanie Marshall"/>
    <n v="23"/>
    <s v="Other"/>
    <s v="Monthly"/>
    <d v="2023-10-01T00:00:00"/>
    <d v="2026-02-08T00:00:00"/>
    <n v="7"/>
    <n v="10"/>
    <n v="1"/>
    <x v="8"/>
  </r>
  <r>
    <s v="CUST1543"/>
    <s v="Shane Schultz"/>
    <n v="37"/>
    <s v="Female"/>
    <s v="Monthly"/>
    <d v="2025-09-29T00:00:00"/>
    <d v="2026-03-11T00:00:00"/>
    <n v="13"/>
    <n v="9"/>
    <n v="0"/>
    <x v="13"/>
  </r>
  <r>
    <s v="CUST1544"/>
    <s v="Wayne Gomez"/>
    <n v="34"/>
    <s v="Male"/>
    <s v="Monthly"/>
    <d v="2024-05-15T00:00:00"/>
    <d v="2026-02-23T00:00:00"/>
    <n v="43"/>
    <n v="2"/>
    <n v="1"/>
    <x v="6"/>
  </r>
  <r>
    <s v="CUST1545"/>
    <s v="Christian Brown"/>
    <n v="48"/>
    <s v="Female"/>
    <s v="Yearly"/>
    <d v="2023-08-21T00:00:00"/>
    <d v="2026-02-06T00:00:00"/>
    <n v="62"/>
    <n v="5"/>
    <n v="1"/>
    <x v="32"/>
  </r>
  <r>
    <s v="CUST1546"/>
    <s v="Rebecca Smith"/>
    <n v="32"/>
    <s v="Other"/>
    <s v="Monthly"/>
    <d v="2026-02-24T00:00:00"/>
    <d v="2026-02-14T00:00:00"/>
    <n v="25"/>
    <n v="3"/>
    <n v="1"/>
    <x v="16"/>
  </r>
  <r>
    <s v="CUST1547"/>
    <s v="Julia Bailey"/>
    <n v="39"/>
    <s v="Male"/>
    <s v="Quarterly"/>
    <d v="2024-02-09T00:00:00"/>
    <d v="2026-05-06T00:00:00"/>
    <n v="79"/>
    <n v="7"/>
    <n v="1"/>
    <x v="3"/>
  </r>
  <r>
    <s v="CUST1548"/>
    <s v="Thomas Shields"/>
    <n v="21"/>
    <s v="Other"/>
    <s v="Monthly"/>
    <d v="2024-10-04T00:00:00"/>
    <d v="2026-03-29T00:00:00"/>
    <n v="74"/>
    <n v="6"/>
    <n v="0"/>
    <x v="26"/>
  </r>
  <r>
    <s v="CUST1549"/>
    <s v="Megan Cantu"/>
    <n v="42"/>
    <s v="Other"/>
    <s v="Quarterly"/>
    <d v="2026-03-23T00:00:00"/>
    <d v="2026-02-27T00:00:00"/>
    <n v="79"/>
    <n v="2"/>
    <n v="0"/>
    <x v="22"/>
  </r>
  <r>
    <s v="CUST1550"/>
    <s v="Tammy Li"/>
    <n v="44"/>
    <s v="Other"/>
    <s v="Monthly"/>
    <d v="2024-03-26T00:00:00"/>
    <d v="2026-01-08T00:00:00"/>
    <n v="76"/>
    <n v="8"/>
    <n v="0"/>
    <x v="30"/>
  </r>
  <r>
    <s v="CUST1551"/>
    <s v="Kayla Smith"/>
    <n v="57"/>
    <s v="Male"/>
    <s v="Monthly"/>
    <d v="2025-01-06T00:00:00"/>
    <d v="2026-03-14T00:00:00"/>
    <n v="9"/>
    <n v="6"/>
    <n v="0"/>
    <x v="23"/>
  </r>
  <r>
    <s v="CUST1552"/>
    <s v="Daniel Lee"/>
    <n v="34"/>
    <s v="Male"/>
    <s v="Quarterly"/>
    <d v="2026-04-06T00:00:00"/>
    <d v="2026-02-21T00:00:00"/>
    <n v="33"/>
    <n v="2"/>
    <n v="1"/>
    <x v="31"/>
  </r>
  <r>
    <s v="CUST1553"/>
    <s v="Amy Bird"/>
    <n v="38"/>
    <s v="Male"/>
    <s v="Monthly"/>
    <d v="2024-02-08T00:00:00"/>
    <d v="2026-04-07T00:00:00"/>
    <n v="2"/>
    <n v="6"/>
    <n v="0"/>
    <x v="3"/>
  </r>
  <r>
    <s v="CUST1554"/>
    <s v="James Rangel"/>
    <n v="56"/>
    <s v="Female"/>
    <s v="Monthly"/>
    <d v="2024-04-10T00:00:00"/>
    <d v="2026-03-03T00:00:00"/>
    <n v="23"/>
    <n v="7"/>
    <n v="0"/>
    <x v="0"/>
  </r>
  <r>
    <s v="CUST1555"/>
    <s v="Terry Yang"/>
    <n v="25"/>
    <s v="Female"/>
    <s v="Quarterly"/>
    <d v="2023-11-04T00:00:00"/>
    <d v="2026-05-08T00:00:00"/>
    <n v="54"/>
    <n v="2"/>
    <n v="1"/>
    <x v="1"/>
  </r>
  <r>
    <s v="CUST1556"/>
    <s v="Carolyn Ball"/>
    <n v="50"/>
    <s v="Other"/>
    <s v="Monthly"/>
    <d v="2026-02-05T00:00:00"/>
    <d v="2026-03-04T00:00:00"/>
    <n v="37"/>
    <n v="1"/>
    <n v="1"/>
    <x v="16"/>
  </r>
  <r>
    <s v="CUST1557"/>
    <s v="Stephen Stevens"/>
    <n v="27"/>
    <s v="Female"/>
    <s v="Monthly"/>
    <d v="2025-01-16T00:00:00"/>
    <d v="2026-01-10T00:00:00"/>
    <n v="67"/>
    <n v="7"/>
    <n v="1"/>
    <x v="23"/>
  </r>
  <r>
    <s v="CUST1558"/>
    <s v="Regina Perez"/>
    <n v="19"/>
    <s v="Male"/>
    <s v="Monthly"/>
    <d v="2024-03-16T00:00:00"/>
    <d v="2026-02-10T00:00:00"/>
    <n v="15"/>
    <n v="1"/>
    <n v="0"/>
    <x v="30"/>
  </r>
  <r>
    <s v="CUST1559"/>
    <s v="Mark Miller"/>
    <n v="48"/>
    <s v="Female"/>
    <s v="Monthly"/>
    <d v="2023-11-06T00:00:00"/>
    <d v="2026-03-13T00:00:00"/>
    <n v="38"/>
    <n v="2"/>
    <n v="0"/>
    <x v="1"/>
  </r>
  <r>
    <s v="CUST1560"/>
    <s v="Mary Lopez"/>
    <n v="48"/>
    <s v="Male"/>
    <s v="Yearly"/>
    <d v="2025-11-02T00:00:00"/>
    <d v="2026-04-28T00:00:00"/>
    <n v="27"/>
    <n v="4"/>
    <n v="1"/>
    <x v="4"/>
  </r>
  <r>
    <s v="CUST1561"/>
    <s v="Jason Pham"/>
    <n v="18"/>
    <s v="Female"/>
    <s v="Monthly"/>
    <d v="2025-09-22T00:00:00"/>
    <d v="2026-03-29T00:00:00"/>
    <n v="27"/>
    <n v="5"/>
    <n v="0"/>
    <x v="13"/>
  </r>
  <r>
    <s v="CUST1562"/>
    <s v="Kelly Wright"/>
    <n v="26"/>
    <s v="Other"/>
    <s v="Monthly"/>
    <d v="2024-05-15T00:00:00"/>
    <d v="2026-03-27T00:00:00"/>
    <n v="6"/>
    <n v="3"/>
    <n v="0"/>
    <x v="6"/>
  </r>
  <r>
    <s v="CUST1563"/>
    <s v="Timothy Palmer"/>
    <n v="22"/>
    <s v="Female"/>
    <s v="Yearly"/>
    <d v="2026-01-11T00:00:00"/>
    <d v="2026-02-15T00:00:00"/>
    <n v="17"/>
    <n v="3"/>
    <n v="0"/>
    <x v="29"/>
  </r>
  <r>
    <s v="CUST1564"/>
    <s v="Victoria Lambert"/>
    <n v="53"/>
    <s v="Female"/>
    <s v="Monthly"/>
    <d v="2024-01-23T00:00:00"/>
    <d v="2026-04-30T00:00:00"/>
    <n v="77"/>
    <n v="10"/>
    <n v="0"/>
    <x v="9"/>
  </r>
  <r>
    <s v="CUST1565"/>
    <s v="Juan Gonzalez"/>
    <n v="50"/>
    <s v="Male"/>
    <s v="Monthly"/>
    <d v="2024-04-20T00:00:00"/>
    <d v="2026-03-03T00:00:00"/>
    <n v="43"/>
    <n v="2"/>
    <n v="0"/>
    <x v="0"/>
  </r>
  <r>
    <s v="CUST1566"/>
    <s v="Mark Foster"/>
    <n v="48"/>
    <s v="Male"/>
    <s v="Quarterly"/>
    <d v="2023-11-12T00:00:00"/>
    <d v="2026-04-10T00:00:00"/>
    <n v="33"/>
    <n v="5"/>
    <n v="0"/>
    <x v="1"/>
  </r>
  <r>
    <s v="CUST1567"/>
    <s v="Pamela Morris"/>
    <n v="41"/>
    <s v="Other"/>
    <s v="Yearly"/>
    <d v="2026-03-10T00:00:00"/>
    <d v="2026-02-10T00:00:00"/>
    <n v="52"/>
    <n v="2"/>
    <n v="1"/>
    <x v="22"/>
  </r>
  <r>
    <s v="CUST1568"/>
    <s v="Ronald Powell"/>
    <n v="41"/>
    <s v="Other"/>
    <s v="Monthly"/>
    <d v="2026-02-14T00:00:00"/>
    <d v="2026-01-09T00:00:00"/>
    <n v="50"/>
    <n v="2"/>
    <n v="1"/>
    <x v="16"/>
  </r>
  <r>
    <s v="CUST1569"/>
    <s v="Krystal Knight"/>
    <n v="49"/>
    <s v="Other"/>
    <s v="Monthly"/>
    <d v="2026-03-18T00:00:00"/>
    <d v="2026-04-18T00:00:00"/>
    <n v="42"/>
    <n v="10"/>
    <n v="0"/>
    <x v="22"/>
  </r>
  <r>
    <s v="CUST1570"/>
    <s v="Alejandro Buckley"/>
    <n v="59"/>
    <s v="Male"/>
    <s v="Monthly"/>
    <d v="2024-03-27T00:00:00"/>
    <d v="2026-02-21T00:00:00"/>
    <n v="66"/>
    <n v="6"/>
    <n v="1"/>
    <x v="30"/>
  </r>
  <r>
    <s v="CUST1571"/>
    <s v="Miss Sandra Gonzales DDS"/>
    <n v="39"/>
    <s v="Male"/>
    <s v="Monthly"/>
    <d v="2025-06-06T00:00:00"/>
    <d v="2026-02-24T00:00:00"/>
    <n v="11"/>
    <n v="7"/>
    <n v="0"/>
    <x v="27"/>
  </r>
  <r>
    <s v="CUST1572"/>
    <s v="Erin Johnson"/>
    <n v="41"/>
    <s v="Male"/>
    <s v="Monthly"/>
    <d v="2025-09-02T00:00:00"/>
    <d v="2026-05-05T00:00:00"/>
    <n v="18"/>
    <n v="8"/>
    <n v="0"/>
    <x v="13"/>
  </r>
  <r>
    <s v="CUST1573"/>
    <s v="Sara Mccarty"/>
    <n v="19"/>
    <s v="Male"/>
    <s v="Monthly"/>
    <d v="2026-02-10T00:00:00"/>
    <d v="2026-04-09T00:00:00"/>
    <n v="28"/>
    <n v="6"/>
    <n v="1"/>
    <x v="16"/>
  </r>
  <r>
    <s v="CUST1574"/>
    <s v="Andrew Lane"/>
    <n v="24"/>
    <s v="Female"/>
    <s v="Monthly"/>
    <d v="2025-10-03T00:00:00"/>
    <d v="2026-03-11T00:00:00"/>
    <n v="24"/>
    <n v="6"/>
    <n v="0"/>
    <x v="25"/>
  </r>
  <r>
    <s v="CUST1575"/>
    <s v="Mrs. Tara Diaz"/>
    <n v="51"/>
    <s v="Male"/>
    <s v="Monthly"/>
    <d v="2024-02-03T00:00:00"/>
    <d v="2026-03-11T00:00:00"/>
    <n v="60"/>
    <n v="5"/>
    <n v="0"/>
    <x v="3"/>
  </r>
  <r>
    <s v="CUST1576"/>
    <s v="Renee Tucker"/>
    <n v="50"/>
    <s v="Other"/>
    <s v="Monthly"/>
    <d v="2024-03-15T00:00:00"/>
    <d v="2026-02-05T00:00:00"/>
    <n v="23"/>
    <n v="8"/>
    <n v="0"/>
    <x v="30"/>
  </r>
  <r>
    <s v="CUST1577"/>
    <s v="Wayne Gilbert"/>
    <n v="38"/>
    <s v="Other"/>
    <s v="Monthly"/>
    <d v="2024-05-30T00:00:00"/>
    <d v="2026-01-24T00:00:00"/>
    <n v="65"/>
    <n v="10"/>
    <n v="1"/>
    <x v="6"/>
  </r>
  <r>
    <s v="CUST1578"/>
    <s v="David Bass"/>
    <n v="54"/>
    <s v="Female"/>
    <s v="Monthly"/>
    <d v="2024-05-11T00:00:00"/>
    <d v="2026-01-25T00:00:00"/>
    <n v="80"/>
    <n v="9"/>
    <n v="1"/>
    <x v="6"/>
  </r>
  <r>
    <s v="CUST1579"/>
    <s v="Angela Wall"/>
    <n v="57"/>
    <s v="Male"/>
    <s v="Quarterly"/>
    <d v="2023-09-26T00:00:00"/>
    <d v="2026-03-22T00:00:00"/>
    <n v="18"/>
    <n v="7"/>
    <n v="0"/>
    <x v="7"/>
  </r>
  <r>
    <s v="CUST1580"/>
    <s v="Matthew Anderson"/>
    <n v="28"/>
    <s v="Female"/>
    <s v="Yearly"/>
    <d v="2025-01-28T00:00:00"/>
    <d v="2026-04-20T00:00:00"/>
    <n v="36"/>
    <n v="6"/>
    <n v="0"/>
    <x v="23"/>
  </r>
  <r>
    <s v="CUST1581"/>
    <s v="Amy Brewer"/>
    <n v="56"/>
    <s v="Male"/>
    <s v="Monthly"/>
    <d v="2024-06-02T00:00:00"/>
    <d v="2026-04-15T00:00:00"/>
    <n v="49"/>
    <n v="9"/>
    <n v="0"/>
    <x v="11"/>
  </r>
  <r>
    <s v="CUST1582"/>
    <s v="Sheila Jensen"/>
    <n v="51"/>
    <s v="Male"/>
    <s v="Yearly"/>
    <d v="2023-08-14T00:00:00"/>
    <d v="2026-01-10T00:00:00"/>
    <n v="52"/>
    <n v="8"/>
    <n v="0"/>
    <x v="32"/>
  </r>
  <r>
    <s v="CUST1583"/>
    <s v="Darrell Gomez"/>
    <n v="57"/>
    <s v="Female"/>
    <s v="Monthly"/>
    <d v="2024-10-30T00:00:00"/>
    <d v="2026-03-17T00:00:00"/>
    <n v="49"/>
    <n v="9"/>
    <n v="0"/>
    <x v="26"/>
  </r>
  <r>
    <s v="CUST1584"/>
    <s v="Christopher Taylor"/>
    <n v="18"/>
    <s v="Female"/>
    <s v="Monthly"/>
    <d v="2024-10-02T00:00:00"/>
    <d v="2026-02-10T00:00:00"/>
    <n v="68"/>
    <n v="8"/>
    <n v="0"/>
    <x v="26"/>
  </r>
  <r>
    <s v="CUST1585"/>
    <s v="Meagan Moore"/>
    <n v="20"/>
    <s v="Male"/>
    <s v="Monthly"/>
    <d v="2023-10-14T00:00:00"/>
    <d v="2026-03-17T00:00:00"/>
    <n v="39"/>
    <n v="6"/>
    <n v="0"/>
    <x v="8"/>
  </r>
  <r>
    <s v="CUST1586"/>
    <s v="Juan Mitchell"/>
    <n v="40"/>
    <s v="Female"/>
    <s v="Monthly"/>
    <d v="2025-09-21T00:00:00"/>
    <d v="2026-01-08T00:00:00"/>
    <n v="11"/>
    <n v="3"/>
    <n v="1"/>
    <x v="13"/>
  </r>
  <r>
    <s v="CUST1587"/>
    <s v="Jose Miller"/>
    <n v="28"/>
    <s v="Male"/>
    <s v="Yearly"/>
    <d v="2025-01-12T00:00:00"/>
    <d v="2026-04-18T00:00:00"/>
    <n v="75"/>
    <n v="2"/>
    <n v="1"/>
    <x v="23"/>
  </r>
  <r>
    <s v="CUST1588"/>
    <s v="Patrick Calhoun"/>
    <n v="27"/>
    <s v="Male"/>
    <s v="Monthly"/>
    <d v="2024-07-02T00:00:00"/>
    <d v="2026-05-03T00:00:00"/>
    <n v="40"/>
    <n v="7"/>
    <n v="0"/>
    <x v="15"/>
  </r>
  <r>
    <s v="CUST1589"/>
    <s v="Stacey Robbins"/>
    <n v="19"/>
    <s v="Female"/>
    <s v="Monthly"/>
    <d v="2024-04-20T00:00:00"/>
    <d v="2026-03-18T00:00:00"/>
    <n v="53"/>
    <n v="10"/>
    <n v="0"/>
    <x v="0"/>
  </r>
  <r>
    <s v="CUST1590"/>
    <s v="Jamie Coffey DDS"/>
    <n v="47"/>
    <s v="Other"/>
    <s v="Quarterly"/>
    <d v="2024-08-30T00:00:00"/>
    <d v="2026-03-16T00:00:00"/>
    <n v="32"/>
    <n v="4"/>
    <n v="0"/>
    <x v="21"/>
  </r>
  <r>
    <s v="CUST1591"/>
    <s v="Carlos Grant"/>
    <n v="19"/>
    <s v="Other"/>
    <s v="Yearly"/>
    <d v="2025-10-24T00:00:00"/>
    <d v="2026-02-11T00:00:00"/>
    <n v="18"/>
    <n v="7"/>
    <n v="0"/>
    <x v="25"/>
  </r>
  <r>
    <s v="CUST1592"/>
    <s v="Melissa Jackson"/>
    <n v="46"/>
    <s v="Other"/>
    <s v="Monthly"/>
    <d v="2025-03-26T00:00:00"/>
    <d v="2026-02-04T00:00:00"/>
    <n v="73"/>
    <n v="2"/>
    <n v="1"/>
    <x v="18"/>
  </r>
  <r>
    <s v="CUST1593"/>
    <s v="Brenda Tucker"/>
    <n v="26"/>
    <s v="Female"/>
    <s v="Monthly"/>
    <d v="2025-05-06T00:00:00"/>
    <d v="2026-01-31T00:00:00"/>
    <n v="55"/>
    <n v="8"/>
    <n v="0"/>
    <x v="2"/>
  </r>
  <r>
    <s v="CUST1594"/>
    <s v="Brian Wolfe"/>
    <n v="43"/>
    <s v="Female"/>
    <s v="Quarterly"/>
    <d v="2024-01-10T00:00:00"/>
    <d v="2026-03-05T00:00:00"/>
    <n v="64"/>
    <n v="6"/>
    <n v="1"/>
    <x v="9"/>
  </r>
  <r>
    <s v="CUST1595"/>
    <s v="Nancy Smith"/>
    <n v="54"/>
    <s v="Other"/>
    <s v="Monthly"/>
    <d v="2024-07-05T00:00:00"/>
    <d v="2026-04-22T00:00:00"/>
    <n v="50"/>
    <n v="4"/>
    <n v="1"/>
    <x v="15"/>
  </r>
  <r>
    <s v="CUST1596"/>
    <s v="Jason Dixon"/>
    <n v="49"/>
    <s v="Other"/>
    <s v="Monthly"/>
    <d v="2024-01-01T00:00:00"/>
    <d v="2026-05-05T00:00:00"/>
    <n v="26"/>
    <n v="9"/>
    <n v="1"/>
    <x v="9"/>
  </r>
  <r>
    <s v="CUST1597"/>
    <s v="Anthony Schneider"/>
    <n v="32"/>
    <s v="Female"/>
    <s v="Monthly"/>
    <d v="2025-07-27T00:00:00"/>
    <d v="2026-03-12T00:00:00"/>
    <n v="79"/>
    <n v="4"/>
    <n v="0"/>
    <x v="12"/>
  </r>
  <r>
    <s v="CUST1598"/>
    <s v="Jennifer Gregory"/>
    <n v="28"/>
    <s v="Male"/>
    <s v="Yearly"/>
    <d v="2025-02-14T00:00:00"/>
    <d v="2026-04-25T00:00:00"/>
    <n v="68"/>
    <n v="10"/>
    <n v="0"/>
    <x v="19"/>
  </r>
  <r>
    <s v="CUST1599"/>
    <s v="Seth Mccarthy Jr."/>
    <n v="19"/>
    <s v="Other"/>
    <s v="Monthly"/>
    <d v="2024-02-01T00:00:00"/>
    <d v="2026-04-03T00:00:00"/>
    <n v="59"/>
    <n v="8"/>
    <n v="0"/>
    <x v="3"/>
  </r>
  <r>
    <s v="CUST1600"/>
    <s v="Christine Contreras"/>
    <n v="49"/>
    <s v="Male"/>
    <s v="Monthly"/>
    <d v="2024-05-09T00:00:00"/>
    <d v="2026-02-08T00:00:00"/>
    <n v="62"/>
    <n v="6"/>
    <n v="1"/>
    <x v="6"/>
  </r>
  <r>
    <s v="CUST1601"/>
    <s v="Charles Lopez"/>
    <n v="43"/>
    <s v="Male"/>
    <s v="Yearly"/>
    <d v="2024-06-01T00:00:00"/>
    <d v="2026-04-27T00:00:00"/>
    <n v="78"/>
    <n v="2"/>
    <n v="1"/>
    <x v="11"/>
  </r>
  <r>
    <s v="CUST1602"/>
    <s v="Michelle Mccarty"/>
    <n v="31"/>
    <s v="Female"/>
    <s v="Quarterly"/>
    <d v="2024-03-30T00:00:00"/>
    <d v="2026-02-20T00:00:00"/>
    <n v="59"/>
    <n v="8"/>
    <n v="1"/>
    <x v="30"/>
  </r>
  <r>
    <s v="CUST1603"/>
    <s v="Christine Gardner"/>
    <n v="19"/>
    <s v="Female"/>
    <s v="Quarterly"/>
    <d v="2026-02-05T00:00:00"/>
    <d v="2026-03-01T00:00:00"/>
    <n v="8"/>
    <n v="2"/>
    <n v="1"/>
    <x v="16"/>
  </r>
  <r>
    <s v="CUST1604"/>
    <s v="Katelyn Brooks"/>
    <n v="22"/>
    <s v="Male"/>
    <s v="Quarterly"/>
    <d v="2023-11-18T00:00:00"/>
    <d v="2026-03-19T00:00:00"/>
    <n v="33"/>
    <n v="9"/>
    <n v="0"/>
    <x v="1"/>
  </r>
  <r>
    <s v="CUST1605"/>
    <s v="Angela Mendoza"/>
    <n v="41"/>
    <s v="Male"/>
    <s v="Monthly"/>
    <d v="2024-12-23T00:00:00"/>
    <d v="2026-03-09T00:00:00"/>
    <n v="54"/>
    <n v="8"/>
    <n v="0"/>
    <x v="14"/>
  </r>
  <r>
    <s v="CUST1606"/>
    <s v="Sherry Phillips"/>
    <n v="29"/>
    <s v="Female"/>
    <s v="Monthly"/>
    <d v="2026-04-02T00:00:00"/>
    <d v="2026-01-21T00:00:00"/>
    <n v="29"/>
    <n v="10"/>
    <n v="1"/>
    <x v="31"/>
  </r>
  <r>
    <s v="CUST1607"/>
    <s v="Emily Webster"/>
    <n v="55"/>
    <s v="Male"/>
    <s v="Monthly"/>
    <d v="2024-10-24T00:00:00"/>
    <d v="2026-04-20T00:00:00"/>
    <n v="41"/>
    <n v="1"/>
    <n v="1"/>
    <x v="26"/>
  </r>
  <r>
    <s v="CUST1608"/>
    <s v="Julie Robinson"/>
    <n v="59"/>
    <s v="Female"/>
    <s v="Quarterly"/>
    <d v="2024-08-14T00:00:00"/>
    <d v="2026-01-10T00:00:00"/>
    <n v="49"/>
    <n v="2"/>
    <n v="1"/>
    <x v="21"/>
  </r>
  <r>
    <s v="CUST1609"/>
    <s v="Walter Hubbard"/>
    <n v="26"/>
    <s v="Male"/>
    <s v="Yearly"/>
    <d v="2024-08-01T00:00:00"/>
    <d v="2026-01-29T00:00:00"/>
    <n v="56"/>
    <n v="9"/>
    <n v="0"/>
    <x v="21"/>
  </r>
  <r>
    <s v="CUST1610"/>
    <s v="Natasha Kennedy"/>
    <n v="55"/>
    <s v="Female"/>
    <s v="Monthly"/>
    <d v="2025-08-13T00:00:00"/>
    <d v="2026-03-31T00:00:00"/>
    <n v="51"/>
    <n v="3"/>
    <n v="1"/>
    <x v="20"/>
  </r>
  <r>
    <s v="CUST1611"/>
    <s v="Jennifer Ochoa"/>
    <n v="18"/>
    <s v="Male"/>
    <s v="Quarterly"/>
    <d v="2025-11-12T00:00:00"/>
    <d v="2026-04-30T00:00:00"/>
    <n v="56"/>
    <n v="1"/>
    <n v="1"/>
    <x v="4"/>
  </r>
  <r>
    <s v="CUST1612"/>
    <s v="Brandy Patton"/>
    <n v="47"/>
    <s v="Female"/>
    <s v="Quarterly"/>
    <d v="2024-01-18T00:00:00"/>
    <d v="2026-03-15T00:00:00"/>
    <n v="57"/>
    <n v="5"/>
    <n v="0"/>
    <x v="9"/>
  </r>
  <r>
    <s v="CUST1613"/>
    <s v="Brandon Martinez"/>
    <n v="33"/>
    <s v="Other"/>
    <s v="Monthly"/>
    <d v="2023-09-08T00:00:00"/>
    <d v="2026-01-15T00:00:00"/>
    <n v="16"/>
    <n v="9"/>
    <n v="0"/>
    <x v="7"/>
  </r>
  <r>
    <s v="CUST1614"/>
    <s v="Sara Terrell"/>
    <n v="32"/>
    <s v="Female"/>
    <s v="Yearly"/>
    <d v="2025-07-15T00:00:00"/>
    <d v="2026-03-05T00:00:00"/>
    <n v="72"/>
    <n v="8"/>
    <n v="0"/>
    <x v="12"/>
  </r>
  <r>
    <s v="CUST1615"/>
    <s v="Cody Rodgers"/>
    <n v="43"/>
    <s v="Male"/>
    <s v="Monthly"/>
    <d v="2023-08-24T00:00:00"/>
    <d v="2026-02-03T00:00:00"/>
    <n v="36"/>
    <n v="2"/>
    <n v="1"/>
    <x v="32"/>
  </r>
  <r>
    <s v="CUST1616"/>
    <s v="Sarah Walker"/>
    <n v="46"/>
    <s v="Other"/>
    <s v="Quarterly"/>
    <d v="2026-03-22T00:00:00"/>
    <d v="2026-01-24T00:00:00"/>
    <n v="26"/>
    <n v="6"/>
    <n v="0"/>
    <x v="22"/>
  </r>
  <r>
    <s v="CUST1617"/>
    <s v="Martin Hammond"/>
    <n v="57"/>
    <s v="Female"/>
    <s v="Monthly"/>
    <d v="2024-08-27T00:00:00"/>
    <d v="2026-01-19T00:00:00"/>
    <n v="8"/>
    <n v="3"/>
    <n v="0"/>
    <x v="21"/>
  </r>
  <r>
    <s v="CUST1618"/>
    <s v="Cheryl Thompson"/>
    <n v="60"/>
    <s v="Other"/>
    <s v="Monthly"/>
    <d v="2025-03-07T00:00:00"/>
    <d v="2026-04-04T00:00:00"/>
    <n v="73"/>
    <n v="5"/>
    <n v="1"/>
    <x v="18"/>
  </r>
  <r>
    <s v="CUST1619"/>
    <s v="Marcus Rodriguez"/>
    <n v="35"/>
    <s v="Other"/>
    <s v="Yearly"/>
    <d v="2025-04-13T00:00:00"/>
    <d v="2026-02-03T00:00:00"/>
    <n v="72"/>
    <n v="4"/>
    <n v="0"/>
    <x v="17"/>
  </r>
  <r>
    <s v="CUST1620"/>
    <s v="Laurie Pierce"/>
    <n v="31"/>
    <s v="Male"/>
    <s v="Monthly"/>
    <d v="2025-12-16T00:00:00"/>
    <d v="2026-01-13T00:00:00"/>
    <n v="65"/>
    <n v="8"/>
    <n v="0"/>
    <x v="28"/>
  </r>
  <r>
    <s v="CUST1621"/>
    <s v="David Harrington"/>
    <n v="43"/>
    <s v="Female"/>
    <s v="Monthly"/>
    <d v="2026-02-18T00:00:00"/>
    <d v="2026-01-26T00:00:00"/>
    <n v="46"/>
    <n v="3"/>
    <n v="1"/>
    <x v="16"/>
  </r>
  <r>
    <s v="CUST1622"/>
    <s v="Katelyn Figueroa"/>
    <n v="36"/>
    <s v="Female"/>
    <s v="Yearly"/>
    <d v="2025-04-19T00:00:00"/>
    <d v="2026-04-20T00:00:00"/>
    <n v="27"/>
    <n v="8"/>
    <n v="0"/>
    <x v="17"/>
  </r>
  <r>
    <s v="CUST1623"/>
    <s v="Elizabeth Smith"/>
    <n v="52"/>
    <s v="Female"/>
    <s v="Monthly"/>
    <d v="2026-01-21T00:00:00"/>
    <d v="2026-05-01T00:00:00"/>
    <n v="66"/>
    <n v="5"/>
    <n v="0"/>
    <x v="29"/>
  </r>
  <r>
    <s v="CUST1624"/>
    <s v="Adrian Sullivan II"/>
    <n v="32"/>
    <s v="Other"/>
    <s v="Quarterly"/>
    <d v="2025-01-13T00:00:00"/>
    <d v="2026-03-26T00:00:00"/>
    <n v="17"/>
    <n v="2"/>
    <n v="0"/>
    <x v="23"/>
  </r>
  <r>
    <s v="CUST1625"/>
    <s v="Michele Pena"/>
    <n v="30"/>
    <s v="Other"/>
    <s v="Yearly"/>
    <d v="2026-01-17T00:00:00"/>
    <d v="2026-04-26T00:00:00"/>
    <n v="25"/>
    <n v="8"/>
    <n v="0"/>
    <x v="29"/>
  </r>
  <r>
    <s v="CUST1626"/>
    <s v="Melissa Burton"/>
    <n v="18"/>
    <s v="Male"/>
    <s v="Quarterly"/>
    <d v="2026-01-07T00:00:00"/>
    <d v="2026-04-22T00:00:00"/>
    <n v="41"/>
    <n v="1"/>
    <n v="0"/>
    <x v="29"/>
  </r>
  <r>
    <s v="CUST1627"/>
    <s v="Deborah Hall"/>
    <n v="49"/>
    <s v="Female"/>
    <s v="Monthly"/>
    <d v="2025-04-20T00:00:00"/>
    <d v="2026-05-04T00:00:00"/>
    <n v="49"/>
    <n v="2"/>
    <n v="0"/>
    <x v="17"/>
  </r>
  <r>
    <s v="CUST1628"/>
    <s v="Vickie Cohen"/>
    <n v="31"/>
    <s v="Male"/>
    <s v="Quarterly"/>
    <d v="2024-07-04T00:00:00"/>
    <d v="2026-03-28T00:00:00"/>
    <n v="11"/>
    <n v="9"/>
    <n v="0"/>
    <x v="15"/>
  </r>
  <r>
    <s v="CUST1629"/>
    <s v="Jacob Roberts"/>
    <n v="43"/>
    <s v="Other"/>
    <s v="Quarterly"/>
    <d v="2026-02-11T00:00:00"/>
    <d v="2026-04-08T00:00:00"/>
    <n v="80"/>
    <n v="4"/>
    <n v="1"/>
    <x v="16"/>
  </r>
  <r>
    <s v="CUST1630"/>
    <s v="Dominic Long"/>
    <n v="60"/>
    <s v="Other"/>
    <s v="Quarterly"/>
    <d v="2025-10-09T00:00:00"/>
    <d v="2026-03-30T00:00:00"/>
    <n v="79"/>
    <n v="4"/>
    <n v="0"/>
    <x v="25"/>
  </r>
  <r>
    <s v="CUST1631"/>
    <s v="Albert Vaughn PhD"/>
    <n v="23"/>
    <s v="Other"/>
    <s v="Yearly"/>
    <d v="2024-07-17T00:00:00"/>
    <d v="2026-01-13T00:00:00"/>
    <n v="35"/>
    <n v="2"/>
    <n v="0"/>
    <x v="15"/>
  </r>
  <r>
    <s v="CUST1632"/>
    <s v="Derrick Parker"/>
    <n v="53"/>
    <s v="Male"/>
    <s v="Quarterly"/>
    <d v="2024-12-16T00:00:00"/>
    <d v="2026-02-05T00:00:00"/>
    <n v="46"/>
    <n v="10"/>
    <n v="0"/>
    <x v="14"/>
  </r>
  <r>
    <s v="CUST1633"/>
    <s v="Valerie Galloway"/>
    <n v="53"/>
    <s v="Male"/>
    <s v="Monthly"/>
    <d v="2024-08-14T00:00:00"/>
    <d v="2026-04-20T00:00:00"/>
    <n v="1"/>
    <n v="2"/>
    <n v="1"/>
    <x v="21"/>
  </r>
  <r>
    <s v="CUST1634"/>
    <s v="Ashley Jennings"/>
    <n v="44"/>
    <s v="Other"/>
    <s v="Monthly"/>
    <d v="2024-12-21T00:00:00"/>
    <d v="2026-03-05T00:00:00"/>
    <n v="2"/>
    <n v="2"/>
    <n v="1"/>
    <x v="14"/>
  </r>
  <r>
    <s v="CUST1635"/>
    <s v="Hunter King"/>
    <n v="37"/>
    <s v="Female"/>
    <s v="Quarterly"/>
    <d v="2024-06-10T00:00:00"/>
    <d v="2026-02-14T00:00:00"/>
    <n v="13"/>
    <n v="8"/>
    <n v="0"/>
    <x v="11"/>
  </r>
  <r>
    <s v="CUST1636"/>
    <s v="Mark Tran"/>
    <n v="57"/>
    <s v="Female"/>
    <s v="Monthly"/>
    <d v="2025-01-18T00:00:00"/>
    <d v="2026-01-31T00:00:00"/>
    <n v="60"/>
    <n v="1"/>
    <n v="1"/>
    <x v="23"/>
  </r>
  <r>
    <s v="CUST1637"/>
    <s v="Candace Mejia"/>
    <n v="44"/>
    <s v="Male"/>
    <s v="Quarterly"/>
    <d v="2024-08-01T00:00:00"/>
    <d v="2026-02-06T00:00:00"/>
    <n v="73"/>
    <n v="6"/>
    <n v="1"/>
    <x v="21"/>
  </r>
  <r>
    <s v="CUST1638"/>
    <s v="Connor Ramirez"/>
    <n v="49"/>
    <s v="Other"/>
    <s v="Monthly"/>
    <d v="2024-05-01T00:00:00"/>
    <d v="2026-02-22T00:00:00"/>
    <n v="42"/>
    <n v="1"/>
    <n v="1"/>
    <x v="6"/>
  </r>
  <r>
    <s v="CUST1639"/>
    <s v="Jason Richard"/>
    <n v="41"/>
    <s v="Male"/>
    <s v="Monthly"/>
    <d v="2025-08-01T00:00:00"/>
    <d v="2026-01-29T00:00:00"/>
    <n v="47"/>
    <n v="4"/>
    <n v="1"/>
    <x v="20"/>
  </r>
  <r>
    <s v="CUST1640"/>
    <s v="Kevin Johnson"/>
    <n v="54"/>
    <s v="Male"/>
    <s v="Yearly"/>
    <d v="2023-08-20T00:00:00"/>
    <d v="2026-02-10T00:00:00"/>
    <n v="46"/>
    <n v="2"/>
    <n v="1"/>
    <x v="32"/>
  </r>
  <r>
    <s v="CUST1641"/>
    <s v="John Davis"/>
    <n v="49"/>
    <s v="Male"/>
    <s v="Quarterly"/>
    <d v="2023-08-21T00:00:00"/>
    <d v="2026-04-15T00:00:00"/>
    <n v="51"/>
    <n v="6"/>
    <n v="0"/>
    <x v="32"/>
  </r>
  <r>
    <s v="CUST1642"/>
    <s v="Christina Wilson"/>
    <n v="21"/>
    <s v="Female"/>
    <s v="Monthly"/>
    <d v="2025-09-04T00:00:00"/>
    <d v="2026-05-03T00:00:00"/>
    <n v="24"/>
    <n v="7"/>
    <n v="0"/>
    <x v="13"/>
  </r>
  <r>
    <s v="CUST1643"/>
    <s v="Brooke Miller"/>
    <n v="58"/>
    <s v="Female"/>
    <s v="Monthly"/>
    <d v="2024-01-28T00:00:00"/>
    <d v="2026-03-06T00:00:00"/>
    <n v="69"/>
    <n v="8"/>
    <n v="0"/>
    <x v="9"/>
  </r>
  <r>
    <s v="CUST1644"/>
    <s v="Randy Hamilton"/>
    <n v="19"/>
    <s v="Other"/>
    <s v="Monthly"/>
    <d v="2023-10-21T00:00:00"/>
    <d v="2026-02-21T00:00:00"/>
    <n v="6"/>
    <n v="2"/>
    <n v="1"/>
    <x v="8"/>
  </r>
  <r>
    <s v="CUST1645"/>
    <s v="David Henry"/>
    <n v="21"/>
    <s v="Female"/>
    <s v="Monthly"/>
    <d v="2023-11-21T00:00:00"/>
    <d v="2026-04-01T00:00:00"/>
    <n v="74"/>
    <n v="5"/>
    <n v="0"/>
    <x v="1"/>
  </r>
  <r>
    <s v="CUST1646"/>
    <s v="Anthony Baker"/>
    <n v="52"/>
    <s v="Other"/>
    <s v="Quarterly"/>
    <d v="2024-05-31T00:00:00"/>
    <d v="2026-01-11T00:00:00"/>
    <n v="62"/>
    <n v="3"/>
    <n v="0"/>
    <x v="6"/>
  </r>
  <r>
    <s v="CUST1647"/>
    <s v="Jesse Butler"/>
    <n v="42"/>
    <s v="Other"/>
    <s v="Monthly"/>
    <d v="2025-05-13T00:00:00"/>
    <d v="2026-03-18T00:00:00"/>
    <n v="46"/>
    <n v="9"/>
    <n v="0"/>
    <x v="2"/>
  </r>
  <r>
    <s v="CUST1648"/>
    <s v="Dr. Anthony Gates DDS"/>
    <n v="34"/>
    <s v="Female"/>
    <s v="Quarterly"/>
    <d v="2024-06-18T00:00:00"/>
    <d v="2026-03-23T00:00:00"/>
    <n v="80"/>
    <n v="10"/>
    <n v="0"/>
    <x v="11"/>
  </r>
  <r>
    <s v="CUST1649"/>
    <s v="Christina Preston"/>
    <n v="24"/>
    <s v="Other"/>
    <s v="Quarterly"/>
    <d v="2025-11-02T00:00:00"/>
    <d v="2026-03-24T00:00:00"/>
    <n v="44"/>
    <n v="7"/>
    <n v="0"/>
    <x v="4"/>
  </r>
  <r>
    <s v="CUST1650"/>
    <s v="Luke Roberts"/>
    <n v="48"/>
    <s v="Male"/>
    <s v="Monthly"/>
    <d v="2026-01-08T00:00:00"/>
    <d v="2026-01-14T00:00:00"/>
    <n v="9"/>
    <n v="3"/>
    <n v="1"/>
    <x v="29"/>
  </r>
  <r>
    <s v="CUST1651"/>
    <s v="Justin Shepherd"/>
    <n v="44"/>
    <s v="Female"/>
    <s v="Monthly"/>
    <d v="2026-03-21T00:00:00"/>
    <d v="2026-03-23T00:00:00"/>
    <n v="76"/>
    <n v="1"/>
    <n v="1"/>
    <x v="22"/>
  </r>
  <r>
    <s v="CUST1652"/>
    <s v="Harold Jackson"/>
    <n v="29"/>
    <s v="Other"/>
    <s v="Quarterly"/>
    <d v="2024-03-03T00:00:00"/>
    <d v="2026-04-07T00:00:00"/>
    <n v="28"/>
    <n v="8"/>
    <n v="0"/>
    <x v="30"/>
  </r>
  <r>
    <s v="CUST1653"/>
    <s v="Mrs. Patricia Mann DDS"/>
    <n v="42"/>
    <s v="Male"/>
    <s v="Monthly"/>
    <d v="2024-08-18T00:00:00"/>
    <d v="2026-01-19T00:00:00"/>
    <n v="72"/>
    <n v="10"/>
    <n v="1"/>
    <x v="21"/>
  </r>
  <r>
    <s v="CUST1654"/>
    <s v="Alexander Green"/>
    <n v="39"/>
    <s v="Male"/>
    <s v="Monthly"/>
    <d v="2024-11-16T00:00:00"/>
    <d v="2026-01-17T00:00:00"/>
    <n v="60"/>
    <n v="1"/>
    <n v="0"/>
    <x v="24"/>
  </r>
  <r>
    <s v="CUST1655"/>
    <s v="Elizabeth Collins"/>
    <n v="54"/>
    <s v="Other"/>
    <s v="Quarterly"/>
    <d v="2023-11-27T00:00:00"/>
    <d v="2026-04-13T00:00:00"/>
    <n v="29"/>
    <n v="6"/>
    <n v="0"/>
    <x v="1"/>
  </r>
  <r>
    <s v="CUST1656"/>
    <s v="David Kane"/>
    <n v="41"/>
    <s v="Female"/>
    <s v="Monthly"/>
    <d v="2025-04-08T00:00:00"/>
    <d v="2026-03-10T00:00:00"/>
    <n v="22"/>
    <n v="8"/>
    <n v="1"/>
    <x v="17"/>
  </r>
  <r>
    <s v="CUST1657"/>
    <s v="Steven Schmidt"/>
    <n v="32"/>
    <s v="Other"/>
    <s v="Monthly"/>
    <d v="2024-10-08T00:00:00"/>
    <d v="2026-01-09T00:00:00"/>
    <n v="43"/>
    <n v="8"/>
    <n v="1"/>
    <x v="26"/>
  </r>
  <r>
    <s v="CUST1658"/>
    <s v="Scott Lloyd"/>
    <n v="37"/>
    <s v="Other"/>
    <s v="Monthly"/>
    <d v="2024-09-24T00:00:00"/>
    <d v="2026-04-16T00:00:00"/>
    <n v="19"/>
    <n v="1"/>
    <n v="0"/>
    <x v="10"/>
  </r>
  <r>
    <s v="CUST1659"/>
    <s v="Nicholas Bradshaw"/>
    <n v="40"/>
    <s v="Female"/>
    <s v="Monthly"/>
    <d v="2024-08-08T00:00:00"/>
    <d v="2026-03-14T00:00:00"/>
    <n v="6"/>
    <n v="4"/>
    <n v="0"/>
    <x v="21"/>
  </r>
  <r>
    <s v="CUST1660"/>
    <s v="Lori Pena"/>
    <n v="21"/>
    <s v="Male"/>
    <s v="Yearly"/>
    <d v="2023-09-26T00:00:00"/>
    <d v="2026-01-29T00:00:00"/>
    <n v="29"/>
    <n v="10"/>
    <n v="1"/>
    <x v="7"/>
  </r>
  <r>
    <s v="CUST1661"/>
    <s v="Darius Clark"/>
    <n v="47"/>
    <s v="Male"/>
    <s v="Quarterly"/>
    <d v="2025-07-27T00:00:00"/>
    <d v="2026-03-19T00:00:00"/>
    <n v="20"/>
    <n v="5"/>
    <n v="0"/>
    <x v="12"/>
  </r>
  <r>
    <s v="CUST1662"/>
    <s v="Molly Mathis"/>
    <n v="45"/>
    <s v="Male"/>
    <s v="Yearly"/>
    <d v="2023-10-28T00:00:00"/>
    <d v="2026-04-17T00:00:00"/>
    <n v="48"/>
    <n v="7"/>
    <n v="0"/>
    <x v="8"/>
  </r>
  <r>
    <s v="CUST1663"/>
    <s v="Kim Ramos"/>
    <n v="44"/>
    <s v="Male"/>
    <s v="Quarterly"/>
    <d v="2023-09-05T00:00:00"/>
    <d v="2026-02-12T00:00:00"/>
    <n v="9"/>
    <n v="8"/>
    <n v="0"/>
    <x v="7"/>
  </r>
  <r>
    <s v="CUST1664"/>
    <s v="Jonathan Foster"/>
    <n v="29"/>
    <s v="Other"/>
    <s v="Yearly"/>
    <d v="2025-04-25T00:00:00"/>
    <d v="2026-02-19T00:00:00"/>
    <n v="37"/>
    <n v="8"/>
    <n v="0"/>
    <x v="17"/>
  </r>
  <r>
    <s v="CUST1665"/>
    <s v="Jason Hill"/>
    <n v="48"/>
    <s v="Male"/>
    <s v="Monthly"/>
    <d v="2024-12-28T00:00:00"/>
    <d v="2026-02-16T00:00:00"/>
    <n v="78"/>
    <n v="1"/>
    <n v="1"/>
    <x v="14"/>
  </r>
  <r>
    <s v="CUST1666"/>
    <s v="Derek Bowman"/>
    <n v="44"/>
    <s v="Male"/>
    <s v="Yearly"/>
    <d v="2023-11-28T00:00:00"/>
    <d v="2026-03-07T00:00:00"/>
    <n v="57"/>
    <n v="4"/>
    <n v="0"/>
    <x v="1"/>
  </r>
  <r>
    <s v="CUST1667"/>
    <s v="Michael Zamora"/>
    <n v="55"/>
    <s v="Male"/>
    <s v="Monthly"/>
    <d v="2023-12-27T00:00:00"/>
    <d v="2026-04-08T00:00:00"/>
    <n v="77"/>
    <n v="3"/>
    <n v="0"/>
    <x v="5"/>
  </r>
  <r>
    <s v="CUST1668"/>
    <s v="Kimberly Brown"/>
    <n v="45"/>
    <s v="Other"/>
    <s v="Quarterly"/>
    <d v="2025-10-15T00:00:00"/>
    <d v="2026-02-17T00:00:00"/>
    <n v="21"/>
    <n v="1"/>
    <n v="1"/>
    <x v="25"/>
  </r>
  <r>
    <s v="CUST1669"/>
    <s v="Joshua Cooper"/>
    <n v="60"/>
    <s v="Other"/>
    <s v="Yearly"/>
    <d v="2025-05-02T00:00:00"/>
    <d v="2026-05-08T00:00:00"/>
    <n v="9"/>
    <n v="7"/>
    <n v="0"/>
    <x v="2"/>
  </r>
  <r>
    <s v="CUST1670"/>
    <s v="David Humphrey"/>
    <n v="26"/>
    <s v="Female"/>
    <s v="Yearly"/>
    <d v="2024-11-29T00:00:00"/>
    <d v="2026-02-13T00:00:00"/>
    <n v="70"/>
    <n v="6"/>
    <n v="1"/>
    <x v="24"/>
  </r>
  <r>
    <s v="CUST1671"/>
    <s v="Christine James"/>
    <n v="37"/>
    <s v="Female"/>
    <s v="Monthly"/>
    <d v="2024-09-07T00:00:00"/>
    <d v="2026-01-09T00:00:00"/>
    <n v="50"/>
    <n v="5"/>
    <n v="1"/>
    <x v="10"/>
  </r>
  <r>
    <s v="CUST1672"/>
    <s v="Kevin Rodriguez"/>
    <n v="52"/>
    <s v="Male"/>
    <s v="Monthly"/>
    <d v="2024-11-01T00:00:00"/>
    <d v="2026-02-27T00:00:00"/>
    <n v="0"/>
    <n v="8"/>
    <n v="0"/>
    <x v="24"/>
  </r>
  <r>
    <s v="CUST1673"/>
    <s v="William Bender"/>
    <n v="32"/>
    <s v="Other"/>
    <s v="Monthly"/>
    <d v="2023-11-05T00:00:00"/>
    <d v="2026-04-08T00:00:00"/>
    <n v="45"/>
    <n v="4"/>
    <n v="1"/>
    <x v="1"/>
  </r>
  <r>
    <s v="CUST1674"/>
    <s v="Ryan Riley"/>
    <n v="33"/>
    <s v="Male"/>
    <s v="Monthly"/>
    <d v="2026-01-22T00:00:00"/>
    <d v="2026-03-11T00:00:00"/>
    <n v="26"/>
    <n v="1"/>
    <n v="0"/>
    <x v="29"/>
  </r>
  <r>
    <s v="CUST1675"/>
    <s v="Hunter Chambers"/>
    <n v="45"/>
    <s v="Other"/>
    <s v="Quarterly"/>
    <d v="2023-10-06T00:00:00"/>
    <d v="2026-04-11T00:00:00"/>
    <n v="41"/>
    <n v="10"/>
    <n v="1"/>
    <x v="8"/>
  </r>
  <r>
    <s v="CUST1676"/>
    <s v="Brittney Moore"/>
    <n v="56"/>
    <s v="Female"/>
    <s v="Yearly"/>
    <d v="2025-07-30T00:00:00"/>
    <d v="2026-01-10T00:00:00"/>
    <n v="78"/>
    <n v="10"/>
    <n v="0"/>
    <x v="12"/>
  </r>
  <r>
    <s v="CUST1677"/>
    <s v="Michael Watkins"/>
    <n v="46"/>
    <s v="Other"/>
    <s v="Quarterly"/>
    <d v="2024-07-19T00:00:00"/>
    <d v="2026-01-11T00:00:00"/>
    <n v="18"/>
    <n v="7"/>
    <n v="1"/>
    <x v="15"/>
  </r>
  <r>
    <s v="CUST1678"/>
    <s v="Cory Blackburn"/>
    <n v="40"/>
    <s v="Female"/>
    <s v="Quarterly"/>
    <d v="2025-06-08T00:00:00"/>
    <d v="2026-05-03T00:00:00"/>
    <n v="46"/>
    <n v="8"/>
    <n v="0"/>
    <x v="27"/>
  </r>
  <r>
    <s v="CUST1679"/>
    <s v="Andrea Miller"/>
    <n v="26"/>
    <s v="Female"/>
    <s v="Monthly"/>
    <d v="2024-02-19T00:00:00"/>
    <d v="2026-01-12T00:00:00"/>
    <n v="50"/>
    <n v="9"/>
    <n v="1"/>
    <x v="3"/>
  </r>
  <r>
    <s v="CUST1680"/>
    <s v="Corey Anderson"/>
    <n v="30"/>
    <s v="Other"/>
    <s v="Yearly"/>
    <d v="2025-10-15T00:00:00"/>
    <d v="2026-01-26T00:00:00"/>
    <n v="79"/>
    <n v="3"/>
    <n v="0"/>
    <x v="25"/>
  </r>
  <r>
    <s v="CUST1681"/>
    <s v="Dennis Williams"/>
    <n v="39"/>
    <s v="Male"/>
    <s v="Quarterly"/>
    <d v="2024-09-18T00:00:00"/>
    <d v="2026-03-07T00:00:00"/>
    <n v="10"/>
    <n v="1"/>
    <n v="1"/>
    <x v="10"/>
  </r>
  <r>
    <s v="CUST1682"/>
    <s v="Ruben Green"/>
    <n v="38"/>
    <s v="Other"/>
    <s v="Monthly"/>
    <d v="2023-11-26T00:00:00"/>
    <d v="2026-02-11T00:00:00"/>
    <n v="59"/>
    <n v="2"/>
    <n v="1"/>
    <x v="1"/>
  </r>
  <r>
    <s v="CUST1683"/>
    <s v="Justin Pugh"/>
    <n v="60"/>
    <s v="Male"/>
    <s v="Yearly"/>
    <d v="2025-08-30T00:00:00"/>
    <d v="2026-03-06T00:00:00"/>
    <n v="78"/>
    <n v="4"/>
    <n v="1"/>
    <x v="20"/>
  </r>
  <r>
    <s v="CUST1684"/>
    <s v="Diane Thornton"/>
    <n v="28"/>
    <s v="Other"/>
    <s v="Monthly"/>
    <d v="2025-12-28T00:00:00"/>
    <d v="2026-02-19T00:00:00"/>
    <n v="35"/>
    <n v="2"/>
    <n v="1"/>
    <x v="28"/>
  </r>
  <r>
    <s v="CUST1685"/>
    <s v="Jesus Dodson"/>
    <n v="19"/>
    <s v="Female"/>
    <s v="Quarterly"/>
    <d v="2026-03-13T00:00:00"/>
    <d v="2026-03-26T00:00:00"/>
    <n v="43"/>
    <n v="7"/>
    <n v="0"/>
    <x v="22"/>
  </r>
  <r>
    <s v="CUST1686"/>
    <s v="Jacqueline Fuller"/>
    <n v="28"/>
    <s v="Female"/>
    <s v="Yearly"/>
    <d v="2025-07-13T00:00:00"/>
    <d v="2026-03-10T00:00:00"/>
    <n v="1"/>
    <n v="9"/>
    <n v="1"/>
    <x v="12"/>
  </r>
  <r>
    <s v="CUST1687"/>
    <s v="Stephanie Chapman"/>
    <n v="46"/>
    <s v="Female"/>
    <s v="Yearly"/>
    <d v="2025-01-12T00:00:00"/>
    <d v="2026-01-30T00:00:00"/>
    <n v="62"/>
    <n v="6"/>
    <n v="1"/>
    <x v="23"/>
  </r>
  <r>
    <s v="CUST1688"/>
    <s v="April Morris"/>
    <n v="21"/>
    <s v="Male"/>
    <s v="Monthly"/>
    <d v="2024-10-19T00:00:00"/>
    <d v="2026-02-28T00:00:00"/>
    <n v="55"/>
    <n v="3"/>
    <n v="1"/>
    <x v="26"/>
  </r>
  <r>
    <s v="CUST1689"/>
    <s v="Samuel Brown"/>
    <n v="29"/>
    <s v="Female"/>
    <s v="Monthly"/>
    <d v="2025-03-03T00:00:00"/>
    <d v="2026-02-12T00:00:00"/>
    <n v="13"/>
    <n v="8"/>
    <n v="0"/>
    <x v="18"/>
  </r>
  <r>
    <s v="CUST1690"/>
    <s v="Heidi Walsh"/>
    <n v="40"/>
    <s v="Other"/>
    <s v="Monthly"/>
    <d v="2024-10-07T00:00:00"/>
    <d v="2026-01-17T00:00:00"/>
    <n v="69"/>
    <n v="5"/>
    <n v="0"/>
    <x v="26"/>
  </r>
  <r>
    <s v="CUST1691"/>
    <s v="Kristi Haynes"/>
    <n v="34"/>
    <s v="Other"/>
    <s v="Monthly"/>
    <d v="2025-05-17T00:00:00"/>
    <d v="2026-03-25T00:00:00"/>
    <n v="74"/>
    <n v="4"/>
    <n v="1"/>
    <x v="2"/>
  </r>
  <r>
    <s v="CUST1692"/>
    <s v="Jessica Mckenzie"/>
    <n v="26"/>
    <s v="Other"/>
    <s v="Quarterly"/>
    <d v="2025-12-19T00:00:00"/>
    <d v="2026-01-24T00:00:00"/>
    <n v="41"/>
    <n v="4"/>
    <n v="1"/>
    <x v="28"/>
  </r>
  <r>
    <s v="CUST1693"/>
    <s v="Terry Robinson"/>
    <n v="26"/>
    <s v="Male"/>
    <s v="Monthly"/>
    <d v="2023-08-12T00:00:00"/>
    <d v="2026-03-03T00:00:00"/>
    <n v="65"/>
    <n v="5"/>
    <n v="0"/>
    <x v="32"/>
  </r>
  <r>
    <s v="CUST1694"/>
    <s v="Linda Gomez"/>
    <n v="19"/>
    <s v="Male"/>
    <s v="Monthly"/>
    <d v="2023-08-22T00:00:00"/>
    <d v="2026-02-23T00:00:00"/>
    <n v="14"/>
    <n v="1"/>
    <n v="1"/>
    <x v="32"/>
  </r>
  <r>
    <s v="CUST1695"/>
    <s v="Kathleen Herman"/>
    <n v="56"/>
    <s v="Male"/>
    <s v="Quarterly"/>
    <d v="2024-03-14T00:00:00"/>
    <d v="2026-03-03T00:00:00"/>
    <n v="65"/>
    <n v="4"/>
    <n v="1"/>
    <x v="30"/>
  </r>
  <r>
    <s v="CUST1696"/>
    <s v="Alejandro Stokes"/>
    <n v="42"/>
    <s v="Other"/>
    <s v="Yearly"/>
    <d v="2024-05-17T00:00:00"/>
    <d v="2026-05-05T00:00:00"/>
    <n v="68"/>
    <n v="3"/>
    <n v="1"/>
    <x v="6"/>
  </r>
  <r>
    <s v="CUST1697"/>
    <s v="Luke Johnson"/>
    <n v="20"/>
    <s v="Other"/>
    <s v="Monthly"/>
    <d v="2024-06-12T00:00:00"/>
    <d v="2026-04-18T00:00:00"/>
    <n v="67"/>
    <n v="7"/>
    <n v="1"/>
    <x v="11"/>
  </r>
  <r>
    <s v="CUST1698"/>
    <s v="Brandon Mack"/>
    <n v="19"/>
    <s v="Female"/>
    <s v="Yearly"/>
    <d v="2026-01-16T00:00:00"/>
    <d v="2026-04-29T00:00:00"/>
    <n v="22"/>
    <n v="9"/>
    <n v="1"/>
    <x v="29"/>
  </r>
  <r>
    <s v="CUST1699"/>
    <s v="Brandy Hall"/>
    <n v="45"/>
    <s v="Female"/>
    <s v="Yearly"/>
    <d v="2025-11-29T00:00:00"/>
    <d v="2026-03-06T00:00:00"/>
    <n v="20"/>
    <n v="7"/>
    <n v="0"/>
    <x v="4"/>
  </r>
  <r>
    <s v="CUST1700"/>
    <s v="James Thomas"/>
    <n v="36"/>
    <s v="Female"/>
    <s v="Monthly"/>
    <d v="2024-08-07T00:00:00"/>
    <d v="2026-04-26T00:00:00"/>
    <n v="64"/>
    <n v="2"/>
    <n v="1"/>
    <x v="21"/>
  </r>
  <r>
    <s v="CUST1701"/>
    <s v="Robert Johnson"/>
    <n v="54"/>
    <s v="Male"/>
    <s v="Monthly"/>
    <d v="2024-07-30T00:00:00"/>
    <d v="2026-04-22T00:00:00"/>
    <n v="25"/>
    <n v="1"/>
    <n v="1"/>
    <x v="15"/>
  </r>
  <r>
    <s v="CUST1702"/>
    <s v="Ashley Gaines"/>
    <n v="49"/>
    <s v="Other"/>
    <s v="Monthly"/>
    <d v="2025-02-14T00:00:00"/>
    <d v="2026-01-14T00:00:00"/>
    <n v="37"/>
    <n v="7"/>
    <n v="0"/>
    <x v="19"/>
  </r>
  <r>
    <s v="CUST1703"/>
    <s v="Kathy Hernandez"/>
    <n v="57"/>
    <s v="Female"/>
    <s v="Yearly"/>
    <d v="2024-10-07T00:00:00"/>
    <d v="2026-02-16T00:00:00"/>
    <n v="74"/>
    <n v="8"/>
    <n v="0"/>
    <x v="26"/>
  </r>
  <r>
    <s v="CUST1704"/>
    <s v="Michael Horn"/>
    <n v="18"/>
    <s v="Other"/>
    <s v="Yearly"/>
    <d v="2025-02-14T00:00:00"/>
    <d v="2026-01-18T00:00:00"/>
    <n v="79"/>
    <n v="2"/>
    <n v="1"/>
    <x v="19"/>
  </r>
  <r>
    <s v="CUST1705"/>
    <s v="Charles Boyd"/>
    <n v="46"/>
    <s v="Male"/>
    <s v="Yearly"/>
    <d v="2024-05-09T00:00:00"/>
    <d v="2026-01-18T00:00:00"/>
    <n v="56"/>
    <n v="8"/>
    <n v="0"/>
    <x v="6"/>
  </r>
  <r>
    <s v="CUST1706"/>
    <s v="Roger Brown"/>
    <n v="56"/>
    <s v="Other"/>
    <s v="Monthly"/>
    <d v="2025-01-30T00:00:00"/>
    <d v="2026-05-04T00:00:00"/>
    <n v="0"/>
    <n v="8"/>
    <n v="0"/>
    <x v="23"/>
  </r>
  <r>
    <s v="CUST1707"/>
    <s v="Marie Contreras"/>
    <n v="48"/>
    <s v="Female"/>
    <s v="Monthly"/>
    <d v="2025-06-09T00:00:00"/>
    <d v="2026-03-02T00:00:00"/>
    <n v="77"/>
    <n v="6"/>
    <n v="0"/>
    <x v="27"/>
  </r>
  <r>
    <s v="CUST1708"/>
    <s v="Jamie Drake"/>
    <n v="50"/>
    <s v="Male"/>
    <s v="Quarterly"/>
    <d v="2026-01-07T00:00:00"/>
    <d v="2026-02-05T00:00:00"/>
    <n v="43"/>
    <n v="2"/>
    <n v="1"/>
    <x v="29"/>
  </r>
  <r>
    <s v="CUST1709"/>
    <s v="Jacob Wallace"/>
    <n v="18"/>
    <s v="Male"/>
    <s v="Monthly"/>
    <d v="2023-10-02T00:00:00"/>
    <d v="2026-02-16T00:00:00"/>
    <n v="50"/>
    <n v="4"/>
    <n v="1"/>
    <x v="8"/>
  </r>
  <r>
    <s v="CUST1710"/>
    <s v="Timothy Chen"/>
    <n v="18"/>
    <s v="Female"/>
    <s v="Yearly"/>
    <d v="2025-04-09T00:00:00"/>
    <d v="2026-04-04T00:00:00"/>
    <n v="75"/>
    <n v="1"/>
    <n v="0"/>
    <x v="17"/>
  </r>
  <r>
    <s v="CUST1711"/>
    <s v="Susan Montgomery"/>
    <n v="29"/>
    <s v="Male"/>
    <s v="Yearly"/>
    <d v="2023-12-19T00:00:00"/>
    <d v="2026-03-14T00:00:00"/>
    <n v="15"/>
    <n v="4"/>
    <n v="0"/>
    <x v="5"/>
  </r>
  <r>
    <s v="CUST1712"/>
    <s v="Brooke King"/>
    <n v="45"/>
    <s v="Other"/>
    <s v="Monthly"/>
    <d v="2024-01-28T00:00:00"/>
    <d v="2026-05-01T00:00:00"/>
    <n v="6"/>
    <n v="1"/>
    <n v="0"/>
    <x v="9"/>
  </r>
  <r>
    <s v="CUST1713"/>
    <s v="Michael Kelly"/>
    <n v="53"/>
    <s v="Male"/>
    <s v="Quarterly"/>
    <d v="2024-04-14T00:00:00"/>
    <d v="2026-03-18T00:00:00"/>
    <n v="54"/>
    <n v="3"/>
    <n v="1"/>
    <x v="0"/>
  </r>
  <r>
    <s v="CUST1714"/>
    <s v="Kristine Short"/>
    <n v="29"/>
    <s v="Other"/>
    <s v="Yearly"/>
    <d v="2025-04-11T00:00:00"/>
    <d v="2026-01-29T00:00:00"/>
    <n v="43"/>
    <n v="3"/>
    <n v="0"/>
    <x v="17"/>
  </r>
  <r>
    <s v="CUST1715"/>
    <s v="Michael Cummings"/>
    <n v="31"/>
    <s v="Female"/>
    <s v="Quarterly"/>
    <d v="2024-07-11T00:00:00"/>
    <d v="2026-02-11T00:00:00"/>
    <n v="47"/>
    <n v="7"/>
    <n v="0"/>
    <x v="15"/>
  </r>
  <r>
    <s v="CUST1716"/>
    <s v="Leah Stone"/>
    <n v="46"/>
    <s v="Male"/>
    <s v="Monthly"/>
    <d v="2025-03-03T00:00:00"/>
    <d v="2026-03-05T00:00:00"/>
    <n v="30"/>
    <n v="2"/>
    <n v="0"/>
    <x v="18"/>
  </r>
  <r>
    <s v="CUST1717"/>
    <s v="Daniel Fleming"/>
    <n v="20"/>
    <s v="Male"/>
    <s v="Monthly"/>
    <d v="2025-10-26T00:00:00"/>
    <d v="2026-02-26T00:00:00"/>
    <n v="25"/>
    <n v="9"/>
    <n v="1"/>
    <x v="25"/>
  </r>
  <r>
    <s v="CUST1718"/>
    <s v="Brittany Burton"/>
    <n v="40"/>
    <s v="Female"/>
    <s v="Monthly"/>
    <d v="2025-04-26T00:00:00"/>
    <d v="2026-02-16T00:00:00"/>
    <n v="50"/>
    <n v="2"/>
    <n v="1"/>
    <x v="17"/>
  </r>
  <r>
    <s v="CUST1719"/>
    <s v="Jonathan Ramirez"/>
    <n v="58"/>
    <s v="Other"/>
    <s v="Quarterly"/>
    <d v="2023-11-12T00:00:00"/>
    <d v="2026-01-13T00:00:00"/>
    <n v="36"/>
    <n v="10"/>
    <n v="1"/>
    <x v="1"/>
  </r>
  <r>
    <s v="CUST1720"/>
    <s v="Jennifer Wright"/>
    <n v="53"/>
    <s v="Male"/>
    <s v="Monthly"/>
    <d v="2025-02-02T00:00:00"/>
    <d v="2026-04-01T00:00:00"/>
    <n v="15"/>
    <n v="10"/>
    <n v="1"/>
    <x v="19"/>
  </r>
  <r>
    <s v="CUST1721"/>
    <s v="Megan Herman"/>
    <n v="59"/>
    <s v="Other"/>
    <s v="Yearly"/>
    <d v="2025-01-02T00:00:00"/>
    <d v="2026-04-22T00:00:00"/>
    <n v="29"/>
    <n v="3"/>
    <n v="0"/>
    <x v="23"/>
  </r>
  <r>
    <s v="CUST1722"/>
    <s v="Christopher Mcdonald"/>
    <n v="32"/>
    <s v="Male"/>
    <s v="Quarterly"/>
    <d v="2026-04-07T00:00:00"/>
    <d v="2026-04-03T00:00:00"/>
    <n v="17"/>
    <n v="7"/>
    <n v="0"/>
    <x v="31"/>
  </r>
  <r>
    <s v="CUST1723"/>
    <s v="Charlotte Ross"/>
    <n v="52"/>
    <s v="Other"/>
    <s v="Yearly"/>
    <d v="2025-12-30T00:00:00"/>
    <d v="2026-01-17T00:00:00"/>
    <n v="69"/>
    <n v="9"/>
    <n v="0"/>
    <x v="28"/>
  </r>
  <r>
    <s v="CUST1724"/>
    <s v="Daniel Rodriguez"/>
    <n v="38"/>
    <s v="Other"/>
    <s v="Quarterly"/>
    <d v="2025-03-30T00:00:00"/>
    <d v="2026-04-01T00:00:00"/>
    <n v="76"/>
    <n v="6"/>
    <n v="0"/>
    <x v="18"/>
  </r>
  <r>
    <s v="CUST1725"/>
    <s v="Cynthia Davis"/>
    <n v="21"/>
    <s v="Other"/>
    <s v="Yearly"/>
    <d v="2025-08-28T00:00:00"/>
    <d v="2026-03-28T00:00:00"/>
    <n v="22"/>
    <n v="10"/>
    <n v="0"/>
    <x v="20"/>
  </r>
  <r>
    <s v="CUST1726"/>
    <s v="Sarah Fuller"/>
    <n v="30"/>
    <s v="Other"/>
    <s v="Monthly"/>
    <d v="2025-04-30T00:00:00"/>
    <d v="2026-04-14T00:00:00"/>
    <n v="79"/>
    <n v="6"/>
    <n v="0"/>
    <x v="17"/>
  </r>
  <r>
    <s v="CUST1727"/>
    <s v="Dana Leonard"/>
    <n v="29"/>
    <s v="Other"/>
    <s v="Yearly"/>
    <d v="2025-03-07T00:00:00"/>
    <d v="2026-01-19T00:00:00"/>
    <n v="54"/>
    <n v="10"/>
    <n v="0"/>
    <x v="18"/>
  </r>
  <r>
    <s v="CUST1728"/>
    <s v="Connie Lewis"/>
    <n v="19"/>
    <s v="Other"/>
    <s v="Monthly"/>
    <d v="2025-06-15T00:00:00"/>
    <d v="2026-04-09T00:00:00"/>
    <n v="14"/>
    <n v="5"/>
    <n v="0"/>
    <x v="27"/>
  </r>
  <r>
    <s v="CUST1729"/>
    <s v="Jason Smith"/>
    <n v="24"/>
    <s v="Other"/>
    <s v="Monthly"/>
    <d v="2024-09-25T00:00:00"/>
    <d v="2026-03-12T00:00:00"/>
    <n v="55"/>
    <n v="7"/>
    <n v="0"/>
    <x v="10"/>
  </r>
  <r>
    <s v="CUST1730"/>
    <s v="Christopher Hardin"/>
    <n v="51"/>
    <s v="Female"/>
    <s v="Quarterly"/>
    <d v="2025-05-20T00:00:00"/>
    <d v="2026-04-07T00:00:00"/>
    <n v="65"/>
    <n v="1"/>
    <n v="0"/>
    <x v="2"/>
  </r>
  <r>
    <s v="CUST1731"/>
    <s v="Christopher King DDS"/>
    <n v="30"/>
    <s v="Male"/>
    <s v="Yearly"/>
    <d v="2024-12-28T00:00:00"/>
    <d v="2026-01-23T00:00:00"/>
    <n v="56"/>
    <n v="8"/>
    <n v="1"/>
    <x v="14"/>
  </r>
  <r>
    <s v="CUST1732"/>
    <s v="Dustin Hamilton"/>
    <n v="25"/>
    <s v="Male"/>
    <s v="Monthly"/>
    <d v="2023-10-07T00:00:00"/>
    <d v="2026-01-08T00:00:00"/>
    <n v="20"/>
    <n v="6"/>
    <n v="0"/>
    <x v="8"/>
  </r>
  <r>
    <s v="CUST1733"/>
    <s v="Alexandria Edwards"/>
    <n v="29"/>
    <s v="Female"/>
    <s v="Quarterly"/>
    <d v="2024-09-25T00:00:00"/>
    <d v="2026-01-10T00:00:00"/>
    <n v="37"/>
    <n v="8"/>
    <n v="0"/>
    <x v="10"/>
  </r>
  <r>
    <s v="CUST1734"/>
    <s v="Felicia Gilbert"/>
    <n v="57"/>
    <s v="Female"/>
    <s v="Monthly"/>
    <d v="2025-01-23T00:00:00"/>
    <d v="2026-01-26T00:00:00"/>
    <n v="17"/>
    <n v="4"/>
    <n v="1"/>
    <x v="23"/>
  </r>
  <r>
    <s v="CUST1735"/>
    <s v="Hayley Reyes"/>
    <n v="57"/>
    <s v="Female"/>
    <s v="Monthly"/>
    <d v="2025-01-20T00:00:00"/>
    <d v="2026-04-05T00:00:00"/>
    <n v="50"/>
    <n v="3"/>
    <n v="0"/>
    <x v="23"/>
  </r>
  <r>
    <s v="CUST1736"/>
    <s v="Tina Knight"/>
    <n v="51"/>
    <s v="Other"/>
    <s v="Monthly"/>
    <d v="2025-08-11T00:00:00"/>
    <d v="2026-03-15T00:00:00"/>
    <n v="22"/>
    <n v="2"/>
    <n v="1"/>
    <x v="20"/>
  </r>
  <r>
    <s v="CUST1737"/>
    <s v="Robert Ortiz"/>
    <n v="22"/>
    <s v="Female"/>
    <s v="Quarterly"/>
    <d v="2025-10-17T00:00:00"/>
    <d v="2026-01-28T00:00:00"/>
    <n v="43"/>
    <n v="1"/>
    <n v="1"/>
    <x v="25"/>
  </r>
  <r>
    <s v="CUST1738"/>
    <s v="Cheryl Howell"/>
    <n v="34"/>
    <s v="Male"/>
    <s v="Monthly"/>
    <d v="2025-08-24T00:00:00"/>
    <d v="2026-05-01T00:00:00"/>
    <n v="26"/>
    <n v="6"/>
    <n v="0"/>
    <x v="20"/>
  </r>
  <r>
    <s v="CUST1739"/>
    <s v="Alec Alvarez"/>
    <n v="37"/>
    <s v="Male"/>
    <s v="Yearly"/>
    <d v="2023-12-31T00:00:00"/>
    <d v="2026-02-25T00:00:00"/>
    <n v="57"/>
    <n v="7"/>
    <n v="0"/>
    <x v="5"/>
  </r>
  <r>
    <s v="CUST1740"/>
    <s v="Jeffery Campbell"/>
    <n v="60"/>
    <s v="Other"/>
    <s v="Monthly"/>
    <d v="2025-08-04T00:00:00"/>
    <d v="2026-04-22T00:00:00"/>
    <n v="12"/>
    <n v="2"/>
    <n v="1"/>
    <x v="20"/>
  </r>
  <r>
    <s v="CUST1741"/>
    <s v="Claire Adams"/>
    <n v="46"/>
    <s v="Other"/>
    <s v="Yearly"/>
    <d v="2024-01-26T00:00:00"/>
    <d v="2026-02-04T00:00:00"/>
    <n v="26"/>
    <n v="9"/>
    <n v="0"/>
    <x v="9"/>
  </r>
  <r>
    <s v="CUST1742"/>
    <s v="Cathy Stark"/>
    <n v="46"/>
    <s v="Male"/>
    <s v="Yearly"/>
    <d v="2024-11-20T00:00:00"/>
    <d v="2026-01-28T00:00:00"/>
    <n v="19"/>
    <n v="6"/>
    <n v="0"/>
    <x v="24"/>
  </r>
  <r>
    <s v="CUST1743"/>
    <s v="Rachel Russell"/>
    <n v="27"/>
    <s v="Male"/>
    <s v="Quarterly"/>
    <d v="2025-10-19T00:00:00"/>
    <d v="2026-01-20T00:00:00"/>
    <n v="42"/>
    <n v="4"/>
    <n v="1"/>
    <x v="25"/>
  </r>
  <r>
    <s v="CUST1744"/>
    <s v="Kara Grant"/>
    <n v="48"/>
    <s v="Male"/>
    <s v="Yearly"/>
    <d v="2024-03-14T00:00:00"/>
    <d v="2026-03-28T00:00:00"/>
    <n v="50"/>
    <n v="2"/>
    <n v="1"/>
    <x v="30"/>
  </r>
  <r>
    <s v="CUST1745"/>
    <s v="Margaret Juarez"/>
    <n v="52"/>
    <s v="Male"/>
    <s v="Quarterly"/>
    <d v="2026-01-15T00:00:00"/>
    <d v="2026-03-02T00:00:00"/>
    <n v="71"/>
    <n v="10"/>
    <n v="0"/>
    <x v="29"/>
  </r>
  <r>
    <s v="CUST1746"/>
    <s v="Natasha Johnson"/>
    <n v="33"/>
    <s v="Female"/>
    <s v="Yearly"/>
    <d v="2025-01-14T00:00:00"/>
    <d v="2026-02-28T00:00:00"/>
    <n v="32"/>
    <n v="6"/>
    <n v="0"/>
    <x v="23"/>
  </r>
  <r>
    <s v="CUST1747"/>
    <s v="Sara Castillo"/>
    <n v="55"/>
    <s v="Male"/>
    <s v="Quarterly"/>
    <d v="2026-02-07T00:00:00"/>
    <d v="2026-01-30T00:00:00"/>
    <n v="65"/>
    <n v="2"/>
    <n v="0"/>
    <x v="16"/>
  </r>
  <r>
    <s v="CUST1748"/>
    <s v="Brian Morales"/>
    <n v="48"/>
    <s v="Female"/>
    <s v="Monthly"/>
    <d v="2025-12-04T00:00:00"/>
    <d v="2026-03-27T00:00:00"/>
    <n v="16"/>
    <n v="9"/>
    <n v="0"/>
    <x v="28"/>
  </r>
  <r>
    <s v="CUST1749"/>
    <s v="Margaret Johnson"/>
    <n v="41"/>
    <s v="Other"/>
    <s v="Monthly"/>
    <d v="2025-08-12T00:00:00"/>
    <d v="2026-04-28T00:00:00"/>
    <n v="4"/>
    <n v="8"/>
    <n v="1"/>
    <x v="20"/>
  </r>
  <r>
    <s v="CUST1750"/>
    <s v="Tyler Kelley"/>
    <n v="45"/>
    <s v="Male"/>
    <s v="Monthly"/>
    <d v="2025-06-06T00:00:00"/>
    <d v="2026-01-31T00:00:00"/>
    <n v="69"/>
    <n v="10"/>
    <n v="1"/>
    <x v="27"/>
  </r>
  <r>
    <s v="CUST1751"/>
    <s v="Michael Ford"/>
    <n v="26"/>
    <s v="Male"/>
    <s v="Monthly"/>
    <d v="2023-08-22T00:00:00"/>
    <d v="2026-05-03T00:00:00"/>
    <n v="46"/>
    <n v="8"/>
    <n v="0"/>
    <x v="32"/>
  </r>
  <r>
    <s v="CUST1752"/>
    <s v="Yvonne Dunn"/>
    <n v="23"/>
    <s v="Male"/>
    <s v="Quarterly"/>
    <d v="2024-02-16T00:00:00"/>
    <d v="2026-02-17T00:00:00"/>
    <n v="10"/>
    <n v="9"/>
    <n v="1"/>
    <x v="3"/>
  </r>
  <r>
    <s v="CUST1753"/>
    <s v="Elizabeth White"/>
    <n v="47"/>
    <s v="Other"/>
    <s v="Quarterly"/>
    <d v="2024-01-04T00:00:00"/>
    <d v="2026-04-12T00:00:00"/>
    <n v="79"/>
    <n v="8"/>
    <n v="0"/>
    <x v="9"/>
  </r>
  <r>
    <s v="CUST1754"/>
    <s v="Heather Ferguson"/>
    <n v="26"/>
    <s v="Other"/>
    <s v="Monthly"/>
    <d v="2024-04-18T00:00:00"/>
    <d v="2026-02-07T00:00:00"/>
    <n v="78"/>
    <n v="9"/>
    <n v="1"/>
    <x v="0"/>
  </r>
  <r>
    <s v="CUST1755"/>
    <s v="Alex Miller"/>
    <n v="38"/>
    <s v="Male"/>
    <s v="Monthly"/>
    <d v="2024-03-05T00:00:00"/>
    <d v="2026-04-03T00:00:00"/>
    <n v="63"/>
    <n v="9"/>
    <n v="1"/>
    <x v="30"/>
  </r>
  <r>
    <s v="CUST1756"/>
    <s v="Evan Mendoza"/>
    <n v="24"/>
    <s v="Female"/>
    <s v="Yearly"/>
    <d v="2023-09-17T00:00:00"/>
    <d v="2026-03-07T00:00:00"/>
    <n v="56"/>
    <n v="7"/>
    <n v="0"/>
    <x v="7"/>
  </r>
  <r>
    <s v="CUST1757"/>
    <s v="Randall Mendoza"/>
    <n v="45"/>
    <s v="Other"/>
    <s v="Monthly"/>
    <d v="2025-09-29T00:00:00"/>
    <d v="2026-02-15T00:00:00"/>
    <n v="19"/>
    <n v="6"/>
    <n v="1"/>
    <x v="13"/>
  </r>
  <r>
    <s v="CUST1758"/>
    <s v="Connie Welch"/>
    <n v="24"/>
    <s v="Male"/>
    <s v="Monthly"/>
    <d v="2025-10-12T00:00:00"/>
    <d v="2026-03-23T00:00:00"/>
    <n v="77"/>
    <n v="3"/>
    <n v="1"/>
    <x v="25"/>
  </r>
  <r>
    <s v="CUST1759"/>
    <s v="Joel Chan"/>
    <n v="18"/>
    <s v="Male"/>
    <s v="Quarterly"/>
    <d v="2023-09-27T00:00:00"/>
    <d v="2026-03-18T00:00:00"/>
    <n v="25"/>
    <n v="6"/>
    <n v="0"/>
    <x v="7"/>
  </r>
  <r>
    <s v="CUST1760"/>
    <s v="Cindy White"/>
    <n v="36"/>
    <s v="Male"/>
    <s v="Monthly"/>
    <d v="2023-11-05T00:00:00"/>
    <d v="2026-04-14T00:00:00"/>
    <n v="11"/>
    <n v="8"/>
    <n v="0"/>
    <x v="1"/>
  </r>
  <r>
    <s v="CUST1761"/>
    <s v="Joshua Franklin"/>
    <n v="25"/>
    <s v="Other"/>
    <s v="Quarterly"/>
    <d v="2024-10-26T00:00:00"/>
    <d v="2026-01-14T00:00:00"/>
    <n v="6"/>
    <n v="2"/>
    <n v="1"/>
    <x v="26"/>
  </r>
  <r>
    <s v="CUST1762"/>
    <s v="Billy Walker"/>
    <n v="51"/>
    <s v="Other"/>
    <s v="Monthly"/>
    <d v="2024-06-29T00:00:00"/>
    <d v="2026-01-27T00:00:00"/>
    <n v="40"/>
    <n v="9"/>
    <n v="0"/>
    <x v="11"/>
  </r>
  <r>
    <s v="CUST1763"/>
    <s v="Tony Mills"/>
    <n v="58"/>
    <s v="Male"/>
    <s v="Quarterly"/>
    <d v="2026-03-27T00:00:00"/>
    <d v="2026-03-31T00:00:00"/>
    <n v="37"/>
    <n v="6"/>
    <n v="1"/>
    <x v="22"/>
  </r>
  <r>
    <s v="CUST1764"/>
    <s v="Cynthia Romero"/>
    <n v="48"/>
    <s v="Male"/>
    <s v="Quarterly"/>
    <d v="2024-10-04T00:00:00"/>
    <d v="2026-01-23T00:00:00"/>
    <n v="69"/>
    <n v="6"/>
    <n v="1"/>
    <x v="26"/>
  </r>
  <r>
    <s v="CUST1765"/>
    <s v="Jennifer Robinson"/>
    <n v="32"/>
    <s v="Other"/>
    <s v="Quarterly"/>
    <d v="2026-01-26T00:00:00"/>
    <d v="2026-04-22T00:00:00"/>
    <n v="50"/>
    <n v="3"/>
    <n v="1"/>
    <x v="29"/>
  </r>
  <r>
    <s v="CUST1766"/>
    <s v="Jennifer Bautista"/>
    <n v="32"/>
    <s v="Other"/>
    <s v="Yearly"/>
    <d v="2024-08-21T00:00:00"/>
    <d v="2026-02-13T00:00:00"/>
    <n v="29"/>
    <n v="1"/>
    <n v="1"/>
    <x v="21"/>
  </r>
  <r>
    <s v="CUST1767"/>
    <s v="Ronald Reyes"/>
    <n v="60"/>
    <s v="Other"/>
    <s v="Monthly"/>
    <d v="2024-09-27T00:00:00"/>
    <d v="2026-03-22T00:00:00"/>
    <n v="19"/>
    <n v="9"/>
    <n v="0"/>
    <x v="10"/>
  </r>
  <r>
    <s v="CUST1768"/>
    <s v="Donna Alvarez"/>
    <n v="41"/>
    <s v="Male"/>
    <s v="Monthly"/>
    <d v="2024-07-07T00:00:00"/>
    <d v="2026-03-11T00:00:00"/>
    <n v="30"/>
    <n v="5"/>
    <n v="0"/>
    <x v="15"/>
  </r>
  <r>
    <s v="CUST1769"/>
    <s v="Marisa Luna"/>
    <n v="30"/>
    <s v="Female"/>
    <s v="Monthly"/>
    <d v="2023-10-18T00:00:00"/>
    <d v="2026-01-21T00:00:00"/>
    <n v="73"/>
    <n v="1"/>
    <n v="1"/>
    <x v="8"/>
  </r>
  <r>
    <s v="CUST1770"/>
    <s v="Brandon Hill"/>
    <n v="50"/>
    <s v="Other"/>
    <s v="Monthly"/>
    <d v="2026-02-17T00:00:00"/>
    <d v="2026-03-30T00:00:00"/>
    <n v="8"/>
    <n v="8"/>
    <n v="1"/>
    <x v="16"/>
  </r>
  <r>
    <s v="CUST1771"/>
    <s v="Jonathan Olson"/>
    <n v="33"/>
    <s v="Female"/>
    <s v="Quarterly"/>
    <d v="2024-09-13T00:00:00"/>
    <d v="2026-04-25T00:00:00"/>
    <n v="63"/>
    <n v="9"/>
    <n v="0"/>
    <x v="10"/>
  </r>
  <r>
    <s v="CUST1772"/>
    <s v="Stacy Mclaughlin"/>
    <n v="52"/>
    <s v="Male"/>
    <s v="Monthly"/>
    <d v="2025-10-27T00:00:00"/>
    <d v="2026-05-04T00:00:00"/>
    <n v="59"/>
    <n v="3"/>
    <n v="1"/>
    <x v="25"/>
  </r>
  <r>
    <s v="CUST1773"/>
    <s v="Joshua Richardson"/>
    <n v="25"/>
    <s v="Other"/>
    <s v="Monthly"/>
    <d v="2025-10-14T00:00:00"/>
    <d v="2026-01-14T00:00:00"/>
    <n v="13"/>
    <n v="3"/>
    <n v="1"/>
    <x v="25"/>
  </r>
  <r>
    <s v="CUST1774"/>
    <s v="Cheryl Gordon"/>
    <n v="20"/>
    <s v="Male"/>
    <s v="Quarterly"/>
    <d v="2024-12-23T00:00:00"/>
    <d v="2026-03-18T00:00:00"/>
    <n v="57"/>
    <n v="7"/>
    <n v="1"/>
    <x v="14"/>
  </r>
  <r>
    <s v="CUST1775"/>
    <s v="Daniel Lane"/>
    <n v="55"/>
    <s v="Female"/>
    <s v="Quarterly"/>
    <d v="2025-03-27T00:00:00"/>
    <d v="2026-05-06T00:00:00"/>
    <n v="32"/>
    <n v="9"/>
    <n v="0"/>
    <x v="18"/>
  </r>
  <r>
    <s v="CUST1776"/>
    <s v="Robert Underwood"/>
    <n v="50"/>
    <s v="Male"/>
    <s v="Quarterly"/>
    <d v="2023-12-02T00:00:00"/>
    <d v="2026-03-09T00:00:00"/>
    <n v="27"/>
    <n v="8"/>
    <n v="0"/>
    <x v="5"/>
  </r>
  <r>
    <s v="CUST1777"/>
    <s v="Daniel Cline"/>
    <n v="27"/>
    <s v="Male"/>
    <s v="Monthly"/>
    <d v="2025-11-02T00:00:00"/>
    <d v="2026-04-24T00:00:00"/>
    <n v="76"/>
    <n v="5"/>
    <n v="1"/>
    <x v="4"/>
  </r>
  <r>
    <s v="CUST1778"/>
    <s v="Scott Russell"/>
    <n v="59"/>
    <s v="Male"/>
    <s v="Monthly"/>
    <d v="2024-01-10T00:00:00"/>
    <d v="2026-02-04T00:00:00"/>
    <n v="73"/>
    <n v="5"/>
    <n v="0"/>
    <x v="9"/>
  </r>
  <r>
    <s v="CUST1779"/>
    <s v="Stephen Morgan"/>
    <n v="46"/>
    <s v="Male"/>
    <s v="Yearly"/>
    <d v="2025-10-09T00:00:00"/>
    <d v="2026-03-04T00:00:00"/>
    <n v="20"/>
    <n v="5"/>
    <n v="0"/>
    <x v="25"/>
  </r>
  <r>
    <s v="CUST1780"/>
    <s v="Roberto Coleman"/>
    <n v="31"/>
    <s v="Male"/>
    <s v="Yearly"/>
    <d v="2025-09-12T00:00:00"/>
    <d v="2026-04-07T00:00:00"/>
    <n v="48"/>
    <n v="7"/>
    <n v="0"/>
    <x v="13"/>
  </r>
  <r>
    <s v="CUST1781"/>
    <s v="Jon Evans"/>
    <n v="26"/>
    <s v="Female"/>
    <s v="Monthly"/>
    <d v="2024-03-12T00:00:00"/>
    <d v="2026-02-10T00:00:00"/>
    <n v="13"/>
    <n v="9"/>
    <n v="0"/>
    <x v="30"/>
  </r>
  <r>
    <s v="CUST1782"/>
    <s v="Katrina Day"/>
    <n v="18"/>
    <s v="Female"/>
    <s v="Quarterly"/>
    <d v="2024-04-14T00:00:00"/>
    <d v="2026-04-14T00:00:00"/>
    <n v="24"/>
    <n v="2"/>
    <n v="0"/>
    <x v="0"/>
  </r>
  <r>
    <s v="CUST1783"/>
    <s v="Benjamin Rodriguez"/>
    <n v="29"/>
    <s v="Male"/>
    <s v="Yearly"/>
    <d v="2024-06-18T00:00:00"/>
    <d v="2026-02-16T00:00:00"/>
    <n v="20"/>
    <n v="5"/>
    <n v="0"/>
    <x v="11"/>
  </r>
  <r>
    <s v="CUST1784"/>
    <s v="Amanda Alexander"/>
    <n v="32"/>
    <s v="Male"/>
    <s v="Monthly"/>
    <d v="2025-07-24T00:00:00"/>
    <d v="2026-01-21T00:00:00"/>
    <n v="6"/>
    <n v="6"/>
    <n v="1"/>
    <x v="12"/>
  </r>
  <r>
    <s v="CUST1785"/>
    <s v="Jessica Pierce"/>
    <n v="32"/>
    <s v="Female"/>
    <s v="Quarterly"/>
    <d v="2026-03-04T00:00:00"/>
    <d v="2026-01-10T00:00:00"/>
    <n v="9"/>
    <n v="10"/>
    <n v="0"/>
    <x v="22"/>
  </r>
  <r>
    <s v="CUST1786"/>
    <s v="Patrick Barnes"/>
    <n v="44"/>
    <s v="Other"/>
    <s v="Yearly"/>
    <d v="2023-12-21T00:00:00"/>
    <d v="2026-03-10T00:00:00"/>
    <n v="44"/>
    <n v="4"/>
    <n v="0"/>
    <x v="5"/>
  </r>
  <r>
    <s v="CUST1787"/>
    <s v="Danielle Yates"/>
    <n v="19"/>
    <s v="Other"/>
    <s v="Quarterly"/>
    <d v="2025-02-17T00:00:00"/>
    <d v="2026-03-20T00:00:00"/>
    <n v="68"/>
    <n v="5"/>
    <n v="1"/>
    <x v="19"/>
  </r>
  <r>
    <s v="CUST1788"/>
    <s v="Gina Davis"/>
    <n v="18"/>
    <s v="Female"/>
    <s v="Quarterly"/>
    <d v="2024-05-30T00:00:00"/>
    <d v="2026-04-16T00:00:00"/>
    <n v="65"/>
    <n v="9"/>
    <n v="1"/>
    <x v="6"/>
  </r>
  <r>
    <s v="CUST1789"/>
    <s v="Christopher Norman"/>
    <n v="21"/>
    <s v="Female"/>
    <s v="Quarterly"/>
    <d v="2025-05-02T00:00:00"/>
    <d v="2026-01-18T00:00:00"/>
    <n v="34"/>
    <n v="10"/>
    <n v="1"/>
    <x v="2"/>
  </r>
  <r>
    <s v="CUST1790"/>
    <s v="James Mason"/>
    <n v="24"/>
    <s v="Female"/>
    <s v="Monthly"/>
    <d v="2024-08-12T00:00:00"/>
    <d v="2026-03-26T00:00:00"/>
    <n v="79"/>
    <n v="10"/>
    <n v="0"/>
    <x v="21"/>
  </r>
  <r>
    <s v="CUST1791"/>
    <s v="Thomas Adkins"/>
    <n v="25"/>
    <s v="Female"/>
    <s v="Quarterly"/>
    <d v="2025-11-13T00:00:00"/>
    <d v="2026-05-07T00:00:00"/>
    <n v="26"/>
    <n v="6"/>
    <n v="0"/>
    <x v="4"/>
  </r>
  <r>
    <s v="CUST1792"/>
    <s v="Ross Lopez"/>
    <n v="50"/>
    <s v="Female"/>
    <s v="Yearly"/>
    <d v="2025-01-26T00:00:00"/>
    <d v="2026-02-06T00:00:00"/>
    <n v="19"/>
    <n v="1"/>
    <n v="0"/>
    <x v="23"/>
  </r>
  <r>
    <s v="CUST1793"/>
    <s v="Kristin Reynolds MD"/>
    <n v="34"/>
    <s v="Male"/>
    <s v="Monthly"/>
    <d v="2024-08-07T00:00:00"/>
    <d v="2026-03-16T00:00:00"/>
    <n v="40"/>
    <n v="10"/>
    <n v="0"/>
    <x v="21"/>
  </r>
  <r>
    <s v="CUST1794"/>
    <s v="Julie Richardson"/>
    <n v="25"/>
    <s v="Female"/>
    <s v="Monthly"/>
    <d v="2024-09-07T00:00:00"/>
    <d v="2026-04-19T00:00:00"/>
    <n v="55"/>
    <n v="8"/>
    <n v="0"/>
    <x v="10"/>
  </r>
  <r>
    <s v="CUST1795"/>
    <s v="Amanda Ruiz"/>
    <n v="33"/>
    <s v="Male"/>
    <s v="Yearly"/>
    <d v="2026-03-19T00:00:00"/>
    <d v="2026-02-10T00:00:00"/>
    <n v="46"/>
    <n v="2"/>
    <n v="1"/>
    <x v="22"/>
  </r>
  <r>
    <s v="CUST1796"/>
    <s v="Amy Mitchell"/>
    <n v="35"/>
    <s v="Other"/>
    <s v="Monthly"/>
    <d v="2026-01-31T00:00:00"/>
    <d v="2026-03-02T00:00:00"/>
    <n v="20"/>
    <n v="2"/>
    <n v="1"/>
    <x v="29"/>
  </r>
  <r>
    <s v="CUST1797"/>
    <s v="Walter Martin"/>
    <n v="35"/>
    <s v="Female"/>
    <s v="Monthly"/>
    <d v="2025-06-16T00:00:00"/>
    <d v="2026-01-29T00:00:00"/>
    <n v="48"/>
    <n v="8"/>
    <n v="0"/>
    <x v="27"/>
  </r>
  <r>
    <s v="CUST1798"/>
    <s v="Martin Morgan"/>
    <n v="58"/>
    <s v="Other"/>
    <s v="Yearly"/>
    <d v="2025-02-05T00:00:00"/>
    <d v="2026-01-28T00:00:00"/>
    <n v="9"/>
    <n v="1"/>
    <n v="0"/>
    <x v="19"/>
  </r>
  <r>
    <s v="CUST1799"/>
    <s v="Michael Scott"/>
    <n v="26"/>
    <s v="Female"/>
    <s v="Monthly"/>
    <d v="2023-10-03T00:00:00"/>
    <d v="2026-04-18T00:00:00"/>
    <n v="18"/>
    <n v="6"/>
    <n v="1"/>
    <x v="8"/>
  </r>
  <r>
    <s v="CUST1800"/>
    <s v="Kimberly Zuniga"/>
    <n v="20"/>
    <s v="Other"/>
    <s v="Monthly"/>
    <d v="2025-12-28T00:00:00"/>
    <d v="2026-04-15T00:00:00"/>
    <n v="9"/>
    <n v="5"/>
    <n v="1"/>
    <x v="28"/>
  </r>
  <r>
    <s v="CUST1801"/>
    <s v="Matthew French"/>
    <n v="44"/>
    <s v="Female"/>
    <s v="Monthly"/>
    <d v="2025-09-28T00:00:00"/>
    <d v="2026-04-30T00:00:00"/>
    <n v="3"/>
    <n v="5"/>
    <n v="0"/>
    <x v="13"/>
  </r>
  <r>
    <s v="CUST1802"/>
    <s v="Andrew Howard"/>
    <n v="29"/>
    <s v="Female"/>
    <s v="Monthly"/>
    <d v="2024-05-25T00:00:00"/>
    <d v="2026-02-04T00:00:00"/>
    <n v="41"/>
    <n v="7"/>
    <n v="0"/>
    <x v="6"/>
  </r>
  <r>
    <s v="CUST1803"/>
    <s v="Justin Tran"/>
    <n v="49"/>
    <s v="Female"/>
    <s v="Quarterly"/>
    <d v="2024-08-21T00:00:00"/>
    <d v="2026-03-05T00:00:00"/>
    <n v="40"/>
    <n v="3"/>
    <n v="1"/>
    <x v="21"/>
  </r>
  <r>
    <s v="CUST1804"/>
    <s v="Brooke Castro"/>
    <n v="18"/>
    <s v="Other"/>
    <s v="Quarterly"/>
    <d v="2026-03-11T00:00:00"/>
    <d v="2026-03-28T00:00:00"/>
    <n v="10"/>
    <n v="1"/>
    <n v="1"/>
    <x v="22"/>
  </r>
  <r>
    <s v="CUST1805"/>
    <s v="Kimberly Medina"/>
    <n v="23"/>
    <s v="Female"/>
    <s v="Monthly"/>
    <d v="2023-09-05T00:00:00"/>
    <d v="2026-03-17T00:00:00"/>
    <n v="2"/>
    <n v="2"/>
    <n v="1"/>
    <x v="7"/>
  </r>
  <r>
    <s v="CUST1806"/>
    <s v="Adam Morton"/>
    <n v="46"/>
    <s v="Female"/>
    <s v="Quarterly"/>
    <d v="2023-09-01T00:00:00"/>
    <d v="2026-05-07T00:00:00"/>
    <n v="28"/>
    <n v="3"/>
    <n v="1"/>
    <x v="7"/>
  </r>
  <r>
    <s v="CUST1807"/>
    <s v="Jesse Martin"/>
    <n v="18"/>
    <s v="Female"/>
    <s v="Monthly"/>
    <d v="2024-03-22T00:00:00"/>
    <d v="2026-04-05T00:00:00"/>
    <n v="18"/>
    <n v="8"/>
    <n v="0"/>
    <x v="30"/>
  </r>
  <r>
    <s v="CUST1808"/>
    <s v="Melanie Brown"/>
    <n v="25"/>
    <s v="Other"/>
    <s v="Yearly"/>
    <d v="2024-06-13T00:00:00"/>
    <d v="2026-02-02T00:00:00"/>
    <n v="79"/>
    <n v="10"/>
    <n v="0"/>
    <x v="11"/>
  </r>
  <r>
    <s v="CUST1809"/>
    <s v="Jorge Frank"/>
    <n v="45"/>
    <s v="Male"/>
    <s v="Monthly"/>
    <d v="2024-05-24T00:00:00"/>
    <d v="2026-02-27T00:00:00"/>
    <n v="63"/>
    <n v="4"/>
    <n v="1"/>
    <x v="6"/>
  </r>
  <r>
    <s v="CUST1810"/>
    <s v="Wendy Martin"/>
    <n v="43"/>
    <s v="Male"/>
    <s v="Quarterly"/>
    <d v="2024-07-11T00:00:00"/>
    <d v="2026-02-20T00:00:00"/>
    <n v="17"/>
    <n v="1"/>
    <n v="0"/>
    <x v="15"/>
  </r>
  <r>
    <s v="CUST1811"/>
    <s v="Wendy Russell"/>
    <n v="45"/>
    <s v="Female"/>
    <s v="Yearly"/>
    <d v="2025-07-10T00:00:00"/>
    <d v="2026-03-24T00:00:00"/>
    <n v="12"/>
    <n v="7"/>
    <n v="0"/>
    <x v="12"/>
  </r>
  <r>
    <s v="CUST1812"/>
    <s v="Kayla Dominguez"/>
    <n v="40"/>
    <s v="Male"/>
    <s v="Yearly"/>
    <d v="2024-06-15T00:00:00"/>
    <d v="2026-01-27T00:00:00"/>
    <n v="80"/>
    <n v="8"/>
    <n v="1"/>
    <x v="11"/>
  </r>
  <r>
    <s v="CUST1813"/>
    <s v="Amy Gonzalez"/>
    <n v="47"/>
    <s v="Other"/>
    <s v="Monthly"/>
    <d v="2024-09-02T00:00:00"/>
    <d v="2026-03-02T00:00:00"/>
    <n v="29"/>
    <n v="7"/>
    <n v="0"/>
    <x v="10"/>
  </r>
  <r>
    <s v="CUST1814"/>
    <s v="Daniel Kelly"/>
    <n v="22"/>
    <s v="Female"/>
    <s v="Yearly"/>
    <d v="2025-09-14T00:00:00"/>
    <d v="2026-04-02T00:00:00"/>
    <n v="11"/>
    <n v="5"/>
    <n v="0"/>
    <x v="13"/>
  </r>
  <r>
    <s v="CUST1815"/>
    <s v="Edward Mcgee"/>
    <n v="38"/>
    <s v="Male"/>
    <s v="Monthly"/>
    <d v="2024-04-17T00:00:00"/>
    <d v="2026-03-29T00:00:00"/>
    <n v="18"/>
    <n v="1"/>
    <n v="0"/>
    <x v="0"/>
  </r>
  <r>
    <s v="CUST1816"/>
    <s v="Jacob Burnett"/>
    <n v="37"/>
    <s v="Female"/>
    <s v="Quarterly"/>
    <d v="2024-05-03T00:00:00"/>
    <d v="2026-03-07T00:00:00"/>
    <n v="60"/>
    <n v="3"/>
    <n v="1"/>
    <x v="6"/>
  </r>
  <r>
    <s v="CUST1817"/>
    <s v="Sheri Diaz"/>
    <n v="27"/>
    <s v="Female"/>
    <s v="Monthly"/>
    <d v="2025-08-21T00:00:00"/>
    <d v="2026-02-13T00:00:00"/>
    <n v="51"/>
    <n v="7"/>
    <n v="0"/>
    <x v="20"/>
  </r>
  <r>
    <s v="CUST1818"/>
    <s v="Jamie Luna"/>
    <n v="24"/>
    <s v="Other"/>
    <s v="Quarterly"/>
    <d v="2025-07-04T00:00:00"/>
    <d v="2026-02-12T00:00:00"/>
    <n v="7"/>
    <n v="5"/>
    <n v="1"/>
    <x v="12"/>
  </r>
  <r>
    <s v="CUST1819"/>
    <s v="Brian Rogers"/>
    <n v="25"/>
    <s v="Other"/>
    <s v="Monthly"/>
    <d v="2025-01-16T00:00:00"/>
    <d v="2026-01-20T00:00:00"/>
    <n v="8"/>
    <n v="6"/>
    <n v="0"/>
    <x v="23"/>
  </r>
  <r>
    <s v="CUST1820"/>
    <s v="Sara Graves"/>
    <n v="35"/>
    <s v="Other"/>
    <s v="Monthly"/>
    <d v="2026-01-24T00:00:00"/>
    <d v="2026-03-18T00:00:00"/>
    <n v="61"/>
    <n v="2"/>
    <n v="0"/>
    <x v="29"/>
  </r>
  <r>
    <s v="CUST1821"/>
    <s v="Linda Pierce"/>
    <n v="47"/>
    <s v="Other"/>
    <s v="Monthly"/>
    <d v="2024-04-26T00:00:00"/>
    <d v="2026-03-07T00:00:00"/>
    <n v="68"/>
    <n v="1"/>
    <n v="1"/>
    <x v="0"/>
  </r>
  <r>
    <s v="CUST1822"/>
    <s v="Aaron Rios"/>
    <n v="19"/>
    <s v="Male"/>
    <s v="Monthly"/>
    <d v="2024-06-04T00:00:00"/>
    <d v="2026-03-19T00:00:00"/>
    <n v="63"/>
    <n v="1"/>
    <n v="1"/>
    <x v="11"/>
  </r>
  <r>
    <s v="CUST1823"/>
    <s v="David Walker"/>
    <n v="21"/>
    <s v="Male"/>
    <s v="Yearly"/>
    <d v="2025-09-09T00:00:00"/>
    <d v="2026-03-21T00:00:00"/>
    <n v="62"/>
    <n v="10"/>
    <n v="0"/>
    <x v="13"/>
  </r>
  <r>
    <s v="CUST1824"/>
    <s v="Jonathan Ryan"/>
    <n v="39"/>
    <s v="Female"/>
    <s v="Quarterly"/>
    <d v="2025-12-08T00:00:00"/>
    <d v="2026-02-05T00:00:00"/>
    <n v="33"/>
    <n v="7"/>
    <n v="1"/>
    <x v="28"/>
  </r>
  <r>
    <s v="CUST1825"/>
    <s v="Eric Lowery"/>
    <n v="43"/>
    <s v="Male"/>
    <s v="Yearly"/>
    <d v="2023-08-19T00:00:00"/>
    <d v="2026-04-09T00:00:00"/>
    <n v="77"/>
    <n v="2"/>
    <n v="1"/>
    <x v="32"/>
  </r>
  <r>
    <s v="CUST1826"/>
    <s v="Christina Adams"/>
    <n v="26"/>
    <s v="Female"/>
    <s v="Quarterly"/>
    <d v="2025-09-29T00:00:00"/>
    <d v="2026-03-20T00:00:00"/>
    <n v="37"/>
    <n v="3"/>
    <n v="0"/>
    <x v="13"/>
  </r>
  <r>
    <s v="CUST1827"/>
    <s v="Andrea Bauer"/>
    <n v="18"/>
    <s v="Male"/>
    <s v="Monthly"/>
    <d v="2023-10-15T00:00:00"/>
    <d v="2026-03-29T00:00:00"/>
    <n v="31"/>
    <n v="8"/>
    <n v="1"/>
    <x v="8"/>
  </r>
  <r>
    <s v="CUST1828"/>
    <s v="Collin Johnson"/>
    <n v="32"/>
    <s v="Female"/>
    <s v="Monthly"/>
    <d v="2023-09-09T00:00:00"/>
    <d v="2026-03-17T00:00:00"/>
    <n v="71"/>
    <n v="6"/>
    <n v="1"/>
    <x v="7"/>
  </r>
  <r>
    <s v="CUST1829"/>
    <s v="Kevin Schroeder"/>
    <n v="45"/>
    <s v="Other"/>
    <s v="Monthly"/>
    <d v="2026-03-19T00:00:00"/>
    <d v="2026-04-12T00:00:00"/>
    <n v="9"/>
    <n v="5"/>
    <n v="0"/>
    <x v="22"/>
  </r>
  <r>
    <s v="CUST1830"/>
    <s v="Michelle Macdonald"/>
    <n v="46"/>
    <s v="Female"/>
    <s v="Monthly"/>
    <d v="2024-03-07T00:00:00"/>
    <d v="2026-04-19T00:00:00"/>
    <n v="64"/>
    <n v="5"/>
    <n v="0"/>
    <x v="30"/>
  </r>
  <r>
    <s v="CUST1831"/>
    <s v="Audrey Edwards"/>
    <n v="31"/>
    <s v="Female"/>
    <s v="Yearly"/>
    <d v="2025-02-01T00:00:00"/>
    <d v="2026-02-26T00:00:00"/>
    <n v="13"/>
    <n v="2"/>
    <n v="1"/>
    <x v="19"/>
  </r>
  <r>
    <s v="CUST1832"/>
    <s v="Nancy Atkins"/>
    <n v="59"/>
    <s v="Male"/>
    <s v="Monthly"/>
    <d v="2025-01-11T00:00:00"/>
    <d v="2026-05-05T00:00:00"/>
    <n v="56"/>
    <n v="3"/>
    <n v="1"/>
    <x v="23"/>
  </r>
  <r>
    <s v="CUST1833"/>
    <s v="Timothy Silva"/>
    <n v="50"/>
    <s v="Female"/>
    <s v="Quarterly"/>
    <d v="2023-10-31T00:00:00"/>
    <d v="2026-02-27T00:00:00"/>
    <n v="38"/>
    <n v="7"/>
    <n v="0"/>
    <x v="8"/>
  </r>
  <r>
    <s v="CUST1834"/>
    <s v="William Stewart"/>
    <n v="35"/>
    <s v="Female"/>
    <s v="Monthly"/>
    <d v="2025-12-11T00:00:00"/>
    <d v="2026-03-01T00:00:00"/>
    <n v="53"/>
    <n v="5"/>
    <n v="1"/>
    <x v="28"/>
  </r>
  <r>
    <s v="CUST1835"/>
    <s v="Valerie Galvan"/>
    <n v="59"/>
    <s v="Female"/>
    <s v="Monthly"/>
    <d v="2024-11-26T00:00:00"/>
    <d v="2026-01-26T00:00:00"/>
    <n v="49"/>
    <n v="8"/>
    <n v="0"/>
    <x v="24"/>
  </r>
  <r>
    <s v="CUST1836"/>
    <s v="Michael Manning"/>
    <n v="55"/>
    <s v="Female"/>
    <s v="Monthly"/>
    <d v="2025-04-07T00:00:00"/>
    <d v="2026-03-02T00:00:00"/>
    <n v="15"/>
    <n v="1"/>
    <n v="1"/>
    <x v="17"/>
  </r>
  <r>
    <s v="CUST1837"/>
    <s v="Mr. Michael Ferguson"/>
    <n v="34"/>
    <s v="Female"/>
    <s v="Quarterly"/>
    <d v="2023-08-28T00:00:00"/>
    <d v="2026-04-13T00:00:00"/>
    <n v="67"/>
    <n v="10"/>
    <n v="0"/>
    <x v="32"/>
  </r>
  <r>
    <s v="CUST1838"/>
    <s v="Leon Landry"/>
    <n v="56"/>
    <s v="Male"/>
    <s v="Yearly"/>
    <d v="2024-08-21T00:00:00"/>
    <d v="2026-05-06T00:00:00"/>
    <n v="16"/>
    <n v="6"/>
    <n v="0"/>
    <x v="21"/>
  </r>
  <r>
    <s v="CUST1839"/>
    <s v="Michelle Andersen"/>
    <n v="41"/>
    <s v="Male"/>
    <s v="Quarterly"/>
    <d v="2024-09-14T00:00:00"/>
    <d v="2026-01-08T00:00:00"/>
    <n v="41"/>
    <n v="7"/>
    <n v="0"/>
    <x v="10"/>
  </r>
  <r>
    <s v="CUST1840"/>
    <s v="Beth Vincent"/>
    <n v="47"/>
    <s v="Male"/>
    <s v="Yearly"/>
    <d v="2024-06-20T00:00:00"/>
    <d v="2026-03-23T00:00:00"/>
    <n v="18"/>
    <n v="10"/>
    <n v="0"/>
    <x v="11"/>
  </r>
  <r>
    <s v="CUST1841"/>
    <s v="Brian Henry"/>
    <n v="55"/>
    <s v="Other"/>
    <s v="Monthly"/>
    <d v="2025-11-08T00:00:00"/>
    <d v="2026-02-01T00:00:00"/>
    <n v="78"/>
    <n v="5"/>
    <n v="0"/>
    <x v="4"/>
  </r>
  <r>
    <s v="CUST1842"/>
    <s v="Heidi Brown"/>
    <n v="28"/>
    <s v="Male"/>
    <s v="Yearly"/>
    <d v="2024-02-04T00:00:00"/>
    <d v="2026-04-04T00:00:00"/>
    <n v="68"/>
    <n v="4"/>
    <n v="1"/>
    <x v="3"/>
  </r>
  <r>
    <s v="CUST1843"/>
    <s v="Melissa Baker"/>
    <n v="46"/>
    <s v="Other"/>
    <s v="Monthly"/>
    <d v="2026-02-23T00:00:00"/>
    <d v="2026-05-01T00:00:00"/>
    <n v="40"/>
    <n v="3"/>
    <n v="0"/>
    <x v="16"/>
  </r>
  <r>
    <s v="CUST1844"/>
    <s v="Dalton Johnson"/>
    <n v="58"/>
    <s v="Male"/>
    <s v="Monthly"/>
    <d v="2025-06-05T00:00:00"/>
    <d v="2026-03-29T00:00:00"/>
    <n v="16"/>
    <n v="6"/>
    <n v="0"/>
    <x v="27"/>
  </r>
  <r>
    <s v="CUST1845"/>
    <s v="Nathan Scott"/>
    <n v="28"/>
    <s v="Other"/>
    <s v="Monthly"/>
    <d v="2024-09-08T00:00:00"/>
    <d v="2026-02-17T00:00:00"/>
    <n v="73"/>
    <n v="8"/>
    <n v="1"/>
    <x v="10"/>
  </r>
  <r>
    <s v="CUST1846"/>
    <s v="Kari Garrett"/>
    <n v="39"/>
    <s v="Female"/>
    <s v="Quarterly"/>
    <d v="2026-01-19T00:00:00"/>
    <d v="2026-02-02T00:00:00"/>
    <n v="55"/>
    <n v="5"/>
    <n v="0"/>
    <x v="29"/>
  </r>
  <r>
    <s v="CUST1847"/>
    <s v="Jesse Branch"/>
    <n v="25"/>
    <s v="Male"/>
    <s v="Monthly"/>
    <d v="2025-06-17T00:00:00"/>
    <d v="2026-01-29T00:00:00"/>
    <n v="8"/>
    <n v="7"/>
    <n v="0"/>
    <x v="27"/>
  </r>
  <r>
    <s v="CUST1848"/>
    <s v="Jeremy Brown"/>
    <n v="24"/>
    <s v="Male"/>
    <s v="Monthly"/>
    <d v="2026-02-02T00:00:00"/>
    <d v="2026-02-02T00:00:00"/>
    <n v="77"/>
    <n v="10"/>
    <n v="0"/>
    <x v="16"/>
  </r>
  <r>
    <s v="CUST1849"/>
    <s v="Sarah Schneider"/>
    <n v="19"/>
    <s v="Female"/>
    <s v="Quarterly"/>
    <d v="2023-10-26T00:00:00"/>
    <d v="2026-03-10T00:00:00"/>
    <n v="7"/>
    <n v="1"/>
    <n v="1"/>
    <x v="8"/>
  </r>
  <r>
    <s v="CUST1850"/>
    <s v="Victor Davis"/>
    <n v="37"/>
    <s v="Other"/>
    <s v="Yearly"/>
    <d v="2024-05-12T00:00:00"/>
    <d v="2026-03-10T00:00:00"/>
    <n v="54"/>
    <n v="9"/>
    <n v="0"/>
    <x v="6"/>
  </r>
  <r>
    <s v="CUST1851"/>
    <s v="Lori Byrd"/>
    <n v="56"/>
    <s v="Female"/>
    <s v="Monthly"/>
    <d v="2025-10-01T00:00:00"/>
    <d v="2026-03-03T00:00:00"/>
    <n v="4"/>
    <n v="2"/>
    <n v="1"/>
    <x v="25"/>
  </r>
  <r>
    <s v="CUST1852"/>
    <s v="Crystal Owens"/>
    <n v="37"/>
    <s v="Male"/>
    <s v="Yearly"/>
    <d v="2025-05-19T00:00:00"/>
    <d v="2026-01-23T00:00:00"/>
    <n v="53"/>
    <n v="9"/>
    <n v="0"/>
    <x v="2"/>
  </r>
  <r>
    <s v="CUST1853"/>
    <s v="Greg Kennedy"/>
    <n v="43"/>
    <s v="Male"/>
    <s v="Monthly"/>
    <d v="2024-01-13T00:00:00"/>
    <d v="2026-03-30T00:00:00"/>
    <n v="58"/>
    <n v="1"/>
    <n v="0"/>
    <x v="9"/>
  </r>
  <r>
    <s v="CUST1854"/>
    <s v="Cynthia Miller"/>
    <n v="25"/>
    <s v="Other"/>
    <s v="Quarterly"/>
    <d v="2023-12-10T00:00:00"/>
    <d v="2026-05-03T00:00:00"/>
    <n v="40"/>
    <n v="9"/>
    <n v="0"/>
    <x v="5"/>
  </r>
  <r>
    <s v="CUST1855"/>
    <s v="Joe Roberts"/>
    <n v="26"/>
    <s v="Female"/>
    <s v="Yearly"/>
    <d v="2023-10-02T00:00:00"/>
    <d v="2026-03-21T00:00:00"/>
    <n v="28"/>
    <n v="5"/>
    <n v="0"/>
    <x v="8"/>
  </r>
  <r>
    <s v="CUST1856"/>
    <s v="Robert Green"/>
    <n v="38"/>
    <s v="Male"/>
    <s v="Monthly"/>
    <d v="2024-01-19T00:00:00"/>
    <d v="2026-01-24T00:00:00"/>
    <n v="37"/>
    <n v="10"/>
    <n v="0"/>
    <x v="9"/>
  </r>
  <r>
    <s v="CUST1857"/>
    <s v="Susan Warner"/>
    <n v="60"/>
    <s v="Male"/>
    <s v="Monthly"/>
    <d v="2024-07-14T00:00:00"/>
    <d v="2026-03-25T00:00:00"/>
    <n v="17"/>
    <n v="10"/>
    <n v="1"/>
    <x v="15"/>
  </r>
  <r>
    <s v="CUST1858"/>
    <s v="Justin Russell MD"/>
    <n v="39"/>
    <s v="Male"/>
    <s v="Yearly"/>
    <d v="2024-04-09T00:00:00"/>
    <d v="2026-04-29T00:00:00"/>
    <n v="57"/>
    <n v="4"/>
    <n v="0"/>
    <x v="0"/>
  </r>
  <r>
    <s v="CUST1859"/>
    <s v="Jason Rodgers"/>
    <n v="41"/>
    <s v="Other"/>
    <s v="Yearly"/>
    <d v="2025-05-28T00:00:00"/>
    <d v="2026-04-01T00:00:00"/>
    <n v="78"/>
    <n v="8"/>
    <n v="0"/>
    <x v="2"/>
  </r>
  <r>
    <s v="CUST1860"/>
    <s v="Jasmine Ayers"/>
    <n v="60"/>
    <s v="Male"/>
    <s v="Monthly"/>
    <d v="2024-09-26T00:00:00"/>
    <d v="2026-04-20T00:00:00"/>
    <n v="50"/>
    <n v="5"/>
    <n v="1"/>
    <x v="10"/>
  </r>
  <r>
    <s v="CUST1861"/>
    <s v="Samantha Bryan"/>
    <n v="40"/>
    <s v="Other"/>
    <s v="Yearly"/>
    <d v="2026-03-01T00:00:00"/>
    <d v="2026-04-27T00:00:00"/>
    <n v="15"/>
    <n v="1"/>
    <n v="0"/>
    <x v="22"/>
  </r>
  <r>
    <s v="CUST1862"/>
    <s v="Anthony Payne"/>
    <n v="32"/>
    <s v="Male"/>
    <s v="Yearly"/>
    <d v="2023-09-15T00:00:00"/>
    <d v="2026-02-24T00:00:00"/>
    <n v="0"/>
    <n v="8"/>
    <n v="1"/>
    <x v="7"/>
  </r>
  <r>
    <s v="CUST1863"/>
    <s v="Summer Oliver"/>
    <n v="39"/>
    <s v="Other"/>
    <s v="Monthly"/>
    <d v="2025-03-02T00:00:00"/>
    <d v="2026-04-02T00:00:00"/>
    <n v="22"/>
    <n v="4"/>
    <n v="1"/>
    <x v="18"/>
  </r>
  <r>
    <s v="CUST1864"/>
    <s v="Joel Nguyen"/>
    <n v="47"/>
    <s v="Other"/>
    <s v="Quarterly"/>
    <d v="2023-09-03T00:00:00"/>
    <d v="2026-04-28T00:00:00"/>
    <n v="42"/>
    <n v="4"/>
    <n v="1"/>
    <x v="7"/>
  </r>
  <r>
    <s v="CUST1865"/>
    <s v="Seth Crawford"/>
    <n v="29"/>
    <s v="Male"/>
    <s v="Monthly"/>
    <d v="2025-12-18T00:00:00"/>
    <d v="2026-01-08T00:00:00"/>
    <n v="2"/>
    <n v="6"/>
    <n v="1"/>
    <x v="28"/>
  </r>
  <r>
    <s v="CUST1866"/>
    <s v="Kristen Bentley"/>
    <n v="31"/>
    <s v="Female"/>
    <s v="Yearly"/>
    <d v="2024-12-29T00:00:00"/>
    <d v="2026-04-27T00:00:00"/>
    <n v="61"/>
    <n v="3"/>
    <n v="1"/>
    <x v="14"/>
  </r>
  <r>
    <s v="CUST1867"/>
    <s v="Kenneth Mercer"/>
    <n v="41"/>
    <s v="Female"/>
    <s v="Monthly"/>
    <d v="2025-10-01T00:00:00"/>
    <d v="2026-03-16T00:00:00"/>
    <n v="5"/>
    <n v="1"/>
    <n v="0"/>
    <x v="25"/>
  </r>
  <r>
    <s v="CUST1868"/>
    <s v="Shawn Briggs"/>
    <n v="45"/>
    <s v="Female"/>
    <s v="Monthly"/>
    <d v="2024-08-30T00:00:00"/>
    <d v="2026-02-23T00:00:00"/>
    <n v="58"/>
    <n v="8"/>
    <n v="1"/>
    <x v="21"/>
  </r>
  <r>
    <s v="CUST1869"/>
    <s v="Gina Miller"/>
    <n v="41"/>
    <s v="Other"/>
    <s v="Quarterly"/>
    <d v="2024-05-01T00:00:00"/>
    <d v="2026-02-05T00:00:00"/>
    <n v="15"/>
    <n v="7"/>
    <n v="1"/>
    <x v="6"/>
  </r>
  <r>
    <s v="CUST1870"/>
    <s v="Michael Reed"/>
    <n v="31"/>
    <s v="Other"/>
    <s v="Quarterly"/>
    <d v="2025-10-29T00:00:00"/>
    <d v="2026-05-02T00:00:00"/>
    <n v="60"/>
    <n v="6"/>
    <n v="0"/>
    <x v="25"/>
  </r>
  <r>
    <s v="CUST1871"/>
    <s v="Julie George"/>
    <n v="59"/>
    <s v="Other"/>
    <s v="Monthly"/>
    <d v="2024-11-09T00:00:00"/>
    <d v="2026-04-13T00:00:00"/>
    <n v="17"/>
    <n v="8"/>
    <n v="0"/>
    <x v="24"/>
  </r>
  <r>
    <s v="CUST1872"/>
    <s v="Mary West"/>
    <n v="52"/>
    <s v="Male"/>
    <s v="Monthly"/>
    <d v="2025-04-29T00:00:00"/>
    <d v="2026-03-23T00:00:00"/>
    <n v="69"/>
    <n v="1"/>
    <n v="0"/>
    <x v="17"/>
  </r>
  <r>
    <s v="CUST1873"/>
    <s v="Cameron Turner"/>
    <n v="47"/>
    <s v="Other"/>
    <s v="Monthly"/>
    <d v="2024-06-26T00:00:00"/>
    <d v="2026-01-13T00:00:00"/>
    <n v="70"/>
    <n v="6"/>
    <n v="0"/>
    <x v="11"/>
  </r>
  <r>
    <s v="CUST1874"/>
    <s v="Stephanie Thomas"/>
    <n v="25"/>
    <s v="Other"/>
    <s v="Quarterly"/>
    <d v="2025-11-08T00:00:00"/>
    <d v="2026-05-06T00:00:00"/>
    <n v="11"/>
    <n v="5"/>
    <n v="0"/>
    <x v="4"/>
  </r>
  <r>
    <s v="CUST1875"/>
    <s v="Michael Aguilar"/>
    <n v="39"/>
    <s v="Male"/>
    <s v="Yearly"/>
    <d v="2025-01-21T00:00:00"/>
    <d v="2026-05-04T00:00:00"/>
    <n v="53"/>
    <n v="1"/>
    <n v="1"/>
    <x v="23"/>
  </r>
  <r>
    <s v="CUST1876"/>
    <s v="Shawn Miller"/>
    <n v="43"/>
    <s v="Female"/>
    <s v="Yearly"/>
    <d v="2024-05-30T00:00:00"/>
    <d v="2026-02-16T00:00:00"/>
    <n v="8"/>
    <n v="2"/>
    <n v="0"/>
    <x v="6"/>
  </r>
  <r>
    <s v="CUST1877"/>
    <s v="Carolyn Alvarez"/>
    <n v="18"/>
    <s v="Female"/>
    <s v="Monthly"/>
    <d v="2025-08-18T00:00:00"/>
    <d v="2026-03-16T00:00:00"/>
    <n v="52"/>
    <n v="1"/>
    <n v="0"/>
    <x v="20"/>
  </r>
  <r>
    <s v="CUST1878"/>
    <s v="Jennifer Moore"/>
    <n v="33"/>
    <s v="Male"/>
    <s v="Monthly"/>
    <d v="2023-11-07T00:00:00"/>
    <d v="2026-03-12T00:00:00"/>
    <n v="24"/>
    <n v="9"/>
    <n v="0"/>
    <x v="1"/>
  </r>
  <r>
    <s v="CUST1879"/>
    <s v="Melissa Shaw"/>
    <n v="60"/>
    <s v="Female"/>
    <s v="Monthly"/>
    <d v="2026-03-04T00:00:00"/>
    <d v="2026-03-28T00:00:00"/>
    <n v="43"/>
    <n v="6"/>
    <n v="1"/>
    <x v="22"/>
  </r>
  <r>
    <s v="CUST1880"/>
    <s v="Kyle Murillo"/>
    <n v="57"/>
    <s v="Female"/>
    <s v="Monthly"/>
    <d v="2024-06-05T00:00:00"/>
    <d v="2026-01-13T00:00:00"/>
    <n v="27"/>
    <n v="3"/>
    <n v="1"/>
    <x v="11"/>
  </r>
  <r>
    <s v="CUST1881"/>
    <s v="Johnny Murphy"/>
    <n v="59"/>
    <s v="Other"/>
    <s v="Monthly"/>
    <d v="2024-07-14T00:00:00"/>
    <d v="2026-02-23T00:00:00"/>
    <n v="72"/>
    <n v="5"/>
    <n v="0"/>
    <x v="15"/>
  </r>
  <r>
    <s v="CUST1882"/>
    <s v="Theresa Allen"/>
    <n v="22"/>
    <s v="Other"/>
    <s v="Quarterly"/>
    <d v="2025-04-06T00:00:00"/>
    <d v="2026-04-07T00:00:00"/>
    <n v="17"/>
    <n v="1"/>
    <n v="1"/>
    <x v="17"/>
  </r>
  <r>
    <s v="CUST1883"/>
    <s v="Brenda Poole"/>
    <n v="24"/>
    <s v="Female"/>
    <s v="Monthly"/>
    <d v="2025-08-26T00:00:00"/>
    <d v="2026-02-18T00:00:00"/>
    <n v="12"/>
    <n v="1"/>
    <n v="0"/>
    <x v="20"/>
  </r>
  <r>
    <s v="CUST1884"/>
    <s v="Brian Gomez"/>
    <n v="48"/>
    <s v="Male"/>
    <s v="Monthly"/>
    <d v="2025-06-10T00:00:00"/>
    <d v="2026-04-26T00:00:00"/>
    <n v="7"/>
    <n v="4"/>
    <n v="0"/>
    <x v="27"/>
  </r>
  <r>
    <s v="CUST1885"/>
    <s v="Yesenia Thomas"/>
    <n v="51"/>
    <s v="Other"/>
    <s v="Yearly"/>
    <d v="2025-10-10T00:00:00"/>
    <d v="2026-03-04T00:00:00"/>
    <n v="38"/>
    <n v="8"/>
    <n v="1"/>
    <x v="25"/>
  </r>
  <r>
    <s v="CUST1886"/>
    <s v="Anthony Snyder"/>
    <n v="30"/>
    <s v="Male"/>
    <s v="Monthly"/>
    <d v="2023-10-31T00:00:00"/>
    <d v="2026-04-27T00:00:00"/>
    <n v="73"/>
    <n v="4"/>
    <n v="0"/>
    <x v="8"/>
  </r>
  <r>
    <s v="CUST1887"/>
    <s v="Aaron Espinoza"/>
    <n v="36"/>
    <s v="Other"/>
    <s v="Monthly"/>
    <d v="2026-03-04T00:00:00"/>
    <d v="2026-01-20T00:00:00"/>
    <n v="6"/>
    <n v="10"/>
    <n v="1"/>
    <x v="22"/>
  </r>
  <r>
    <s v="CUST1888"/>
    <s v="John Garcia"/>
    <n v="26"/>
    <s v="Male"/>
    <s v="Yearly"/>
    <d v="2026-02-24T00:00:00"/>
    <d v="2026-05-07T00:00:00"/>
    <n v="46"/>
    <n v="5"/>
    <n v="0"/>
    <x v="16"/>
  </r>
  <r>
    <s v="CUST1889"/>
    <s v="Jared Lawson"/>
    <n v="54"/>
    <s v="Female"/>
    <s v="Quarterly"/>
    <d v="2024-04-27T00:00:00"/>
    <d v="2026-02-04T00:00:00"/>
    <n v="57"/>
    <n v="3"/>
    <n v="0"/>
    <x v="0"/>
  </r>
  <r>
    <s v="CUST1890"/>
    <s v="Ryan Henry"/>
    <n v="36"/>
    <s v="Male"/>
    <s v="Quarterly"/>
    <d v="2025-07-14T00:00:00"/>
    <d v="2026-03-21T00:00:00"/>
    <n v="75"/>
    <n v="4"/>
    <n v="0"/>
    <x v="12"/>
  </r>
  <r>
    <s v="CUST1891"/>
    <s v="Cathy Mccormick"/>
    <n v="45"/>
    <s v="Male"/>
    <s v="Monthly"/>
    <d v="2025-01-22T00:00:00"/>
    <d v="2026-03-27T00:00:00"/>
    <n v="64"/>
    <n v="2"/>
    <n v="0"/>
    <x v="23"/>
  </r>
  <r>
    <s v="CUST1892"/>
    <s v="Amber Braun"/>
    <n v="28"/>
    <s v="Male"/>
    <s v="Quarterly"/>
    <d v="2025-02-13T00:00:00"/>
    <d v="2026-02-28T00:00:00"/>
    <n v="62"/>
    <n v="9"/>
    <n v="0"/>
    <x v="19"/>
  </r>
  <r>
    <s v="CUST1893"/>
    <s v="Joseph Taylor Jr."/>
    <n v="57"/>
    <s v="Other"/>
    <s v="Yearly"/>
    <d v="2025-03-22T00:00:00"/>
    <d v="2026-04-03T00:00:00"/>
    <n v="2"/>
    <n v="1"/>
    <n v="0"/>
    <x v="18"/>
  </r>
  <r>
    <s v="CUST1894"/>
    <s v="Michelle Hutchinson"/>
    <n v="19"/>
    <s v="Female"/>
    <s v="Yearly"/>
    <d v="2025-03-06T00:00:00"/>
    <d v="2026-02-13T00:00:00"/>
    <n v="7"/>
    <n v="3"/>
    <n v="0"/>
    <x v="18"/>
  </r>
  <r>
    <s v="CUST1895"/>
    <s v="Michele Alexander"/>
    <n v="31"/>
    <s v="Other"/>
    <s v="Monthly"/>
    <d v="2024-07-18T00:00:00"/>
    <d v="2026-02-22T00:00:00"/>
    <n v="62"/>
    <n v="10"/>
    <n v="1"/>
    <x v="15"/>
  </r>
  <r>
    <s v="CUST1896"/>
    <s v="Meghan Meza"/>
    <n v="21"/>
    <s v="Female"/>
    <s v="Monthly"/>
    <d v="2025-07-12T00:00:00"/>
    <d v="2026-03-14T00:00:00"/>
    <n v="1"/>
    <n v="2"/>
    <n v="1"/>
    <x v="12"/>
  </r>
  <r>
    <s v="CUST1897"/>
    <s v="Joseph Young"/>
    <n v="59"/>
    <s v="Other"/>
    <s v="Monthly"/>
    <d v="2023-11-23T00:00:00"/>
    <d v="2026-03-02T00:00:00"/>
    <n v="67"/>
    <n v="3"/>
    <n v="1"/>
    <x v="1"/>
  </r>
  <r>
    <s v="CUST1898"/>
    <s v="Corey Stewart"/>
    <n v="32"/>
    <s v="Other"/>
    <s v="Quarterly"/>
    <d v="2025-11-19T00:00:00"/>
    <d v="2026-04-02T00:00:00"/>
    <n v="65"/>
    <n v="9"/>
    <n v="0"/>
    <x v="4"/>
  </r>
  <r>
    <s v="CUST1899"/>
    <s v="Virginia Murphy"/>
    <n v="43"/>
    <s v="Other"/>
    <s v="Quarterly"/>
    <d v="2025-07-16T00:00:00"/>
    <d v="2026-03-10T00:00:00"/>
    <n v="54"/>
    <n v="3"/>
    <n v="0"/>
    <x v="12"/>
  </r>
  <r>
    <s v="CUST1900"/>
    <s v="Eric Kramer"/>
    <n v="34"/>
    <s v="Female"/>
    <s v="Quarterly"/>
    <d v="2024-10-04T00:00:00"/>
    <d v="2026-02-20T00:00:00"/>
    <n v="66"/>
    <n v="1"/>
    <n v="0"/>
    <x v="26"/>
  </r>
  <r>
    <s v="CUST1901"/>
    <s v="David Marsh"/>
    <n v="59"/>
    <s v="Male"/>
    <s v="Monthly"/>
    <d v="2024-08-24T00:00:00"/>
    <d v="2026-01-10T00:00:00"/>
    <n v="9"/>
    <n v="6"/>
    <n v="1"/>
    <x v="21"/>
  </r>
  <r>
    <s v="CUST1902"/>
    <s v="Brenda Mclaughlin"/>
    <n v="59"/>
    <s v="Female"/>
    <s v="Quarterly"/>
    <d v="2024-11-22T00:00:00"/>
    <d v="2026-05-05T00:00:00"/>
    <n v="66"/>
    <n v="2"/>
    <n v="0"/>
    <x v="24"/>
  </r>
  <r>
    <s v="CUST1903"/>
    <s v="George Rivera"/>
    <n v="54"/>
    <s v="Male"/>
    <s v="Yearly"/>
    <d v="2024-03-02T00:00:00"/>
    <d v="2026-04-26T00:00:00"/>
    <n v="54"/>
    <n v="8"/>
    <n v="1"/>
    <x v="30"/>
  </r>
  <r>
    <s v="CUST1904"/>
    <s v="Andrea Harrington"/>
    <n v="34"/>
    <s v="Female"/>
    <s v="Quarterly"/>
    <d v="2023-12-24T00:00:00"/>
    <d v="2026-03-18T00:00:00"/>
    <n v="15"/>
    <n v="8"/>
    <n v="0"/>
    <x v="5"/>
  </r>
  <r>
    <s v="CUST1905"/>
    <s v="Sheila Anderson"/>
    <n v="24"/>
    <s v="Male"/>
    <s v="Monthly"/>
    <d v="2025-02-04T00:00:00"/>
    <d v="2026-04-16T00:00:00"/>
    <n v="80"/>
    <n v="6"/>
    <n v="1"/>
    <x v="19"/>
  </r>
  <r>
    <s v="CUST1906"/>
    <s v="Angela Richard"/>
    <n v="57"/>
    <s v="Other"/>
    <s v="Yearly"/>
    <d v="2026-03-31T00:00:00"/>
    <d v="2026-02-23T00:00:00"/>
    <n v="75"/>
    <n v="9"/>
    <n v="0"/>
    <x v="22"/>
  </r>
  <r>
    <s v="CUST1907"/>
    <s v="David Kidd"/>
    <n v="29"/>
    <s v="Other"/>
    <s v="Monthly"/>
    <d v="2025-01-26T00:00:00"/>
    <d v="2026-03-16T00:00:00"/>
    <n v="70"/>
    <n v="8"/>
    <n v="1"/>
    <x v="23"/>
  </r>
  <r>
    <s v="CUST1908"/>
    <s v="Mr. Jesse Woods Jr."/>
    <n v="35"/>
    <s v="Male"/>
    <s v="Quarterly"/>
    <d v="2023-08-28T00:00:00"/>
    <d v="2026-03-19T00:00:00"/>
    <n v="46"/>
    <n v="4"/>
    <n v="1"/>
    <x v="32"/>
  </r>
  <r>
    <s v="CUST1909"/>
    <s v="Emily Aguilar"/>
    <n v="60"/>
    <s v="Male"/>
    <s v="Quarterly"/>
    <d v="2025-04-07T00:00:00"/>
    <d v="2026-03-05T00:00:00"/>
    <n v="30"/>
    <n v="5"/>
    <n v="0"/>
    <x v="17"/>
  </r>
  <r>
    <s v="CUST1910"/>
    <s v="Savannah Mcgrath"/>
    <n v="48"/>
    <s v="Other"/>
    <s v="Yearly"/>
    <d v="2025-10-24T00:00:00"/>
    <d v="2026-01-25T00:00:00"/>
    <n v="76"/>
    <n v="3"/>
    <n v="0"/>
    <x v="25"/>
  </r>
  <r>
    <s v="CUST1911"/>
    <s v="Lisa Kirk"/>
    <n v="36"/>
    <s v="Other"/>
    <s v="Monthly"/>
    <d v="2025-01-08T00:00:00"/>
    <d v="2026-03-17T00:00:00"/>
    <n v="66"/>
    <n v="7"/>
    <n v="0"/>
    <x v="23"/>
  </r>
  <r>
    <s v="CUST1912"/>
    <s v="Lisa Barrett"/>
    <n v="39"/>
    <s v="Other"/>
    <s v="Yearly"/>
    <d v="2023-11-28T00:00:00"/>
    <d v="2026-04-09T00:00:00"/>
    <n v="14"/>
    <n v="10"/>
    <n v="0"/>
    <x v="1"/>
  </r>
  <r>
    <s v="CUST1913"/>
    <s v="William Yu"/>
    <n v="33"/>
    <s v="Female"/>
    <s v="Monthly"/>
    <d v="2024-02-08T00:00:00"/>
    <d v="2026-04-19T00:00:00"/>
    <n v="19"/>
    <n v="2"/>
    <n v="0"/>
    <x v="3"/>
  </r>
  <r>
    <s v="CUST1914"/>
    <s v="Dustin Bell"/>
    <n v="55"/>
    <s v="Other"/>
    <s v="Quarterly"/>
    <d v="2025-12-27T00:00:00"/>
    <d v="2026-01-22T00:00:00"/>
    <n v="24"/>
    <n v="1"/>
    <n v="0"/>
    <x v="28"/>
  </r>
  <r>
    <s v="CUST1915"/>
    <s v="Sharon Mayo"/>
    <n v="32"/>
    <s v="Male"/>
    <s v="Monthly"/>
    <d v="2025-11-01T00:00:00"/>
    <d v="2026-03-23T00:00:00"/>
    <n v="1"/>
    <n v="6"/>
    <n v="0"/>
    <x v="4"/>
  </r>
  <r>
    <s v="CUST1916"/>
    <s v="Blake Baker"/>
    <n v="20"/>
    <s v="Other"/>
    <s v="Monthly"/>
    <d v="2024-08-13T00:00:00"/>
    <d v="2026-03-25T00:00:00"/>
    <n v="71"/>
    <n v="6"/>
    <n v="0"/>
    <x v="21"/>
  </r>
  <r>
    <s v="CUST1917"/>
    <s v="Charles Martin"/>
    <n v="42"/>
    <s v="Other"/>
    <s v="Monthly"/>
    <d v="2023-08-23T00:00:00"/>
    <d v="2026-03-06T00:00:00"/>
    <n v="6"/>
    <n v="2"/>
    <n v="1"/>
    <x v="32"/>
  </r>
  <r>
    <s v="CUST1918"/>
    <s v="James Mosley"/>
    <n v="58"/>
    <s v="Female"/>
    <s v="Monthly"/>
    <d v="2023-11-13T00:00:00"/>
    <d v="2026-03-01T00:00:00"/>
    <n v="4"/>
    <n v="1"/>
    <n v="1"/>
    <x v="1"/>
  </r>
  <r>
    <s v="CUST1919"/>
    <s v="Eric Ramirez"/>
    <n v="45"/>
    <s v="Male"/>
    <s v="Quarterly"/>
    <d v="2025-02-20T00:00:00"/>
    <d v="2026-01-20T00:00:00"/>
    <n v="68"/>
    <n v="8"/>
    <n v="1"/>
    <x v="19"/>
  </r>
  <r>
    <s v="CUST1920"/>
    <s v="Kristen Hubbard"/>
    <n v="22"/>
    <s v="Female"/>
    <s v="Quarterly"/>
    <d v="2024-04-01T00:00:00"/>
    <d v="2026-02-17T00:00:00"/>
    <n v="60"/>
    <n v="2"/>
    <n v="1"/>
    <x v="0"/>
  </r>
  <r>
    <s v="CUST1921"/>
    <s v="Nancy Price"/>
    <n v="39"/>
    <s v="Female"/>
    <s v="Yearly"/>
    <d v="2025-10-19T00:00:00"/>
    <d v="2026-04-21T00:00:00"/>
    <n v="16"/>
    <n v="1"/>
    <n v="0"/>
    <x v="25"/>
  </r>
  <r>
    <s v="CUST1922"/>
    <s v="Christopher Burke"/>
    <n v="25"/>
    <s v="Female"/>
    <s v="Quarterly"/>
    <d v="2024-12-13T00:00:00"/>
    <d v="2026-04-10T00:00:00"/>
    <n v="9"/>
    <n v="5"/>
    <n v="0"/>
    <x v="14"/>
  </r>
  <r>
    <s v="CUST1923"/>
    <s v="Norma Sherman"/>
    <n v="41"/>
    <s v="Male"/>
    <s v="Quarterly"/>
    <d v="2026-03-21T00:00:00"/>
    <d v="2026-02-10T00:00:00"/>
    <n v="58"/>
    <n v="1"/>
    <n v="1"/>
    <x v="22"/>
  </r>
  <r>
    <s v="CUST1924"/>
    <s v="William White"/>
    <n v="60"/>
    <s v="Male"/>
    <s v="Yearly"/>
    <d v="2023-09-15T00:00:00"/>
    <d v="2026-02-12T00:00:00"/>
    <n v="17"/>
    <n v="10"/>
    <n v="0"/>
    <x v="7"/>
  </r>
  <r>
    <s v="CUST1925"/>
    <s v="Carl Hall"/>
    <n v="31"/>
    <s v="Other"/>
    <s v="Quarterly"/>
    <d v="2024-05-19T00:00:00"/>
    <d v="2026-02-14T00:00:00"/>
    <n v="28"/>
    <n v="1"/>
    <n v="1"/>
    <x v="6"/>
  </r>
  <r>
    <s v="CUST1926"/>
    <s v="Michael Moore"/>
    <n v="40"/>
    <s v="Other"/>
    <s v="Quarterly"/>
    <d v="2024-04-19T00:00:00"/>
    <d v="2026-03-04T00:00:00"/>
    <n v="62"/>
    <n v="4"/>
    <n v="1"/>
    <x v="0"/>
  </r>
  <r>
    <s v="CUST1927"/>
    <s v="Samuel Hodges"/>
    <n v="27"/>
    <s v="Other"/>
    <s v="Yearly"/>
    <d v="2023-12-04T00:00:00"/>
    <d v="2026-02-14T00:00:00"/>
    <n v="14"/>
    <n v="7"/>
    <n v="0"/>
    <x v="5"/>
  </r>
  <r>
    <s v="CUST1928"/>
    <s v="Andrea Carpenter"/>
    <n v="44"/>
    <s v="Male"/>
    <s v="Monthly"/>
    <d v="2024-01-11T00:00:00"/>
    <d v="2026-02-10T00:00:00"/>
    <n v="29"/>
    <n v="6"/>
    <n v="1"/>
    <x v="9"/>
  </r>
  <r>
    <s v="CUST1929"/>
    <s v="Lisa Johnston"/>
    <n v="50"/>
    <s v="Male"/>
    <s v="Yearly"/>
    <d v="2025-09-19T00:00:00"/>
    <d v="2026-01-20T00:00:00"/>
    <n v="48"/>
    <n v="1"/>
    <n v="1"/>
    <x v="13"/>
  </r>
  <r>
    <s v="CUST1930"/>
    <s v="Robert Cunningham"/>
    <n v="37"/>
    <s v="Female"/>
    <s v="Monthly"/>
    <d v="2025-05-14T00:00:00"/>
    <d v="2026-02-17T00:00:00"/>
    <n v="20"/>
    <n v="1"/>
    <n v="1"/>
    <x v="2"/>
  </r>
  <r>
    <s v="CUST1931"/>
    <s v="Mr. Thomas Harrington"/>
    <n v="29"/>
    <s v="Other"/>
    <s v="Quarterly"/>
    <d v="2024-09-01T00:00:00"/>
    <d v="2026-01-18T00:00:00"/>
    <n v="43"/>
    <n v="6"/>
    <n v="1"/>
    <x v="10"/>
  </r>
  <r>
    <s v="CUST1932"/>
    <s v="Lori Robles"/>
    <n v="45"/>
    <s v="Other"/>
    <s v="Quarterly"/>
    <d v="2024-01-06T00:00:00"/>
    <d v="2026-04-28T00:00:00"/>
    <n v="43"/>
    <n v="5"/>
    <n v="0"/>
    <x v="9"/>
  </r>
  <r>
    <s v="CUST1933"/>
    <s v="Don Frey"/>
    <n v="18"/>
    <s v="Female"/>
    <s v="Yearly"/>
    <d v="2025-11-16T00:00:00"/>
    <d v="2026-03-07T00:00:00"/>
    <n v="62"/>
    <n v="5"/>
    <n v="1"/>
    <x v="4"/>
  </r>
  <r>
    <s v="CUST1934"/>
    <s v="Paul Padilla"/>
    <n v="32"/>
    <s v="Male"/>
    <s v="Yearly"/>
    <d v="2024-10-15T00:00:00"/>
    <d v="2026-03-19T00:00:00"/>
    <n v="29"/>
    <n v="2"/>
    <n v="0"/>
    <x v="26"/>
  </r>
  <r>
    <s v="CUST1935"/>
    <s v="Jimmy Bauer"/>
    <n v="26"/>
    <s v="Other"/>
    <s v="Monthly"/>
    <d v="2023-09-16T00:00:00"/>
    <d v="2026-04-06T00:00:00"/>
    <n v="69"/>
    <n v="1"/>
    <n v="1"/>
    <x v="7"/>
  </r>
  <r>
    <s v="CUST1936"/>
    <s v="Donna Reynolds"/>
    <n v="35"/>
    <s v="Other"/>
    <s v="Monthly"/>
    <d v="2026-03-22T00:00:00"/>
    <d v="2026-01-17T00:00:00"/>
    <n v="2"/>
    <n v="10"/>
    <n v="1"/>
    <x v="22"/>
  </r>
  <r>
    <s v="CUST1937"/>
    <s v="Brandon Larsen"/>
    <n v="28"/>
    <s v="Other"/>
    <s v="Monthly"/>
    <d v="2024-11-20T00:00:00"/>
    <d v="2026-04-23T00:00:00"/>
    <n v="31"/>
    <n v="9"/>
    <n v="0"/>
    <x v="24"/>
  </r>
  <r>
    <s v="CUST1938"/>
    <s v="Teresa Cunningham"/>
    <n v="36"/>
    <s v="Male"/>
    <s v="Monthly"/>
    <d v="2024-03-16T00:00:00"/>
    <d v="2026-01-20T00:00:00"/>
    <n v="48"/>
    <n v="3"/>
    <n v="1"/>
    <x v="30"/>
  </r>
  <r>
    <s v="CUST1939"/>
    <s v="Natalie Klein"/>
    <n v="43"/>
    <s v="Female"/>
    <s v="Monthly"/>
    <d v="2024-06-10T00:00:00"/>
    <d v="2026-04-29T00:00:00"/>
    <n v="71"/>
    <n v="9"/>
    <n v="0"/>
    <x v="11"/>
  </r>
  <r>
    <s v="CUST1940"/>
    <s v="Taylor Horne"/>
    <n v="57"/>
    <s v="Female"/>
    <s v="Quarterly"/>
    <d v="2023-09-06T00:00:00"/>
    <d v="2026-03-08T00:00:00"/>
    <n v="61"/>
    <n v="10"/>
    <n v="0"/>
    <x v="7"/>
  </r>
  <r>
    <s v="CUST1941"/>
    <s v="Jesse Smith"/>
    <n v="23"/>
    <s v="Male"/>
    <s v="Monthly"/>
    <d v="2023-10-06T00:00:00"/>
    <d v="2026-05-01T00:00:00"/>
    <n v="38"/>
    <n v="6"/>
    <n v="1"/>
    <x v="8"/>
  </r>
  <r>
    <s v="CUST1942"/>
    <s v="Cathy Carr"/>
    <n v="51"/>
    <s v="Male"/>
    <s v="Yearly"/>
    <d v="2024-03-05T00:00:00"/>
    <d v="2026-04-19T00:00:00"/>
    <n v="56"/>
    <n v="10"/>
    <n v="0"/>
    <x v="30"/>
  </r>
  <r>
    <s v="CUST1943"/>
    <s v="Dr. Patrick Hall"/>
    <n v="28"/>
    <s v="Female"/>
    <s v="Yearly"/>
    <d v="2025-06-12T00:00:00"/>
    <d v="2026-05-03T00:00:00"/>
    <n v="25"/>
    <n v="6"/>
    <n v="0"/>
    <x v="27"/>
  </r>
  <r>
    <s v="CUST1944"/>
    <s v="Adrienne Scott"/>
    <n v="48"/>
    <s v="Other"/>
    <s v="Monthly"/>
    <d v="2023-12-23T00:00:00"/>
    <d v="2026-04-18T00:00:00"/>
    <n v="7"/>
    <n v="10"/>
    <n v="1"/>
    <x v="5"/>
  </r>
  <r>
    <s v="CUST1945"/>
    <s v="Ashley Coleman"/>
    <n v="40"/>
    <s v="Other"/>
    <s v="Monthly"/>
    <d v="2025-11-04T00:00:00"/>
    <d v="2026-04-22T00:00:00"/>
    <n v="64"/>
    <n v="2"/>
    <n v="1"/>
    <x v="4"/>
  </r>
  <r>
    <s v="CUST1946"/>
    <s v="Joshua Sullivan"/>
    <n v="31"/>
    <s v="Male"/>
    <s v="Yearly"/>
    <d v="2025-03-21T00:00:00"/>
    <d v="2026-02-22T00:00:00"/>
    <n v="48"/>
    <n v="2"/>
    <n v="1"/>
    <x v="18"/>
  </r>
  <r>
    <s v="CUST1947"/>
    <s v="Candace Davis"/>
    <n v="40"/>
    <s v="Male"/>
    <s v="Monthly"/>
    <d v="2024-04-04T00:00:00"/>
    <d v="2026-01-31T00:00:00"/>
    <n v="50"/>
    <n v="8"/>
    <n v="0"/>
    <x v="0"/>
  </r>
  <r>
    <s v="CUST1948"/>
    <s v="Matthew Brown"/>
    <n v="37"/>
    <s v="Female"/>
    <s v="Quarterly"/>
    <d v="2024-11-26T00:00:00"/>
    <d v="2026-04-16T00:00:00"/>
    <n v="13"/>
    <n v="4"/>
    <n v="1"/>
    <x v="24"/>
  </r>
  <r>
    <s v="CUST1949"/>
    <s v="Olivia Duke"/>
    <n v="47"/>
    <s v="Other"/>
    <s v="Quarterly"/>
    <d v="2023-12-06T00:00:00"/>
    <d v="2026-01-12T00:00:00"/>
    <n v="14"/>
    <n v="2"/>
    <n v="0"/>
    <x v="5"/>
  </r>
  <r>
    <s v="CUST1950"/>
    <s v="Andrew Byrd"/>
    <n v="48"/>
    <s v="Female"/>
    <s v="Monthly"/>
    <d v="2024-10-22T00:00:00"/>
    <d v="2026-04-25T00:00:00"/>
    <n v="6"/>
    <n v="9"/>
    <n v="0"/>
    <x v="26"/>
  </r>
  <r>
    <s v="CUST1951"/>
    <s v="Brenda Vasquez"/>
    <n v="31"/>
    <s v="Other"/>
    <s v="Monthly"/>
    <d v="2024-05-25T00:00:00"/>
    <d v="2026-04-05T00:00:00"/>
    <n v="70"/>
    <n v="4"/>
    <n v="0"/>
    <x v="6"/>
  </r>
  <r>
    <s v="CUST1952"/>
    <s v="Justin Dean"/>
    <n v="39"/>
    <s v="Other"/>
    <s v="Quarterly"/>
    <d v="2024-01-02T00:00:00"/>
    <d v="2026-02-16T00:00:00"/>
    <n v="17"/>
    <n v="5"/>
    <n v="0"/>
    <x v="9"/>
  </r>
  <r>
    <s v="CUST1953"/>
    <s v="Dr. Ryan Rodriguez"/>
    <n v="48"/>
    <s v="Female"/>
    <s v="Quarterly"/>
    <d v="2025-09-19T00:00:00"/>
    <d v="2026-04-14T00:00:00"/>
    <n v="67"/>
    <n v="4"/>
    <n v="0"/>
    <x v="13"/>
  </r>
  <r>
    <s v="CUST1954"/>
    <s v="Anthony Fitzpatrick"/>
    <n v="21"/>
    <s v="Male"/>
    <s v="Quarterly"/>
    <d v="2024-05-15T00:00:00"/>
    <d v="2026-02-23T00:00:00"/>
    <n v="37"/>
    <n v="2"/>
    <n v="1"/>
    <x v="6"/>
  </r>
  <r>
    <s v="CUST1955"/>
    <s v="Christopher Allen"/>
    <n v="44"/>
    <s v="Female"/>
    <s v="Monthly"/>
    <d v="2023-12-16T00:00:00"/>
    <d v="2026-05-06T00:00:00"/>
    <n v="0"/>
    <n v="8"/>
    <n v="1"/>
    <x v="5"/>
  </r>
  <r>
    <s v="CUST1956"/>
    <s v="Michelle Burnett"/>
    <n v="26"/>
    <s v="Other"/>
    <s v="Yearly"/>
    <d v="2025-12-18T00:00:00"/>
    <d v="2026-04-05T00:00:00"/>
    <n v="13"/>
    <n v="3"/>
    <n v="0"/>
    <x v="28"/>
  </r>
  <r>
    <s v="CUST1957"/>
    <s v="Maria Moore"/>
    <n v="21"/>
    <s v="Female"/>
    <s v="Monthly"/>
    <d v="2023-11-19T00:00:00"/>
    <d v="2026-03-29T00:00:00"/>
    <n v="12"/>
    <n v="9"/>
    <n v="0"/>
    <x v="1"/>
  </r>
  <r>
    <s v="CUST1958"/>
    <s v="Amanda Rowe"/>
    <n v="54"/>
    <s v="Female"/>
    <s v="Monthly"/>
    <d v="2024-11-11T00:00:00"/>
    <d v="2026-04-05T00:00:00"/>
    <n v="48"/>
    <n v="3"/>
    <n v="0"/>
    <x v="24"/>
  </r>
  <r>
    <s v="CUST1959"/>
    <s v="Jade Jefferson"/>
    <n v="37"/>
    <s v="Male"/>
    <s v="Monthly"/>
    <d v="2025-07-12T00:00:00"/>
    <d v="2026-03-06T00:00:00"/>
    <n v="35"/>
    <n v="9"/>
    <n v="0"/>
    <x v="12"/>
  </r>
  <r>
    <s v="CUST1960"/>
    <s v="Derrick Taylor"/>
    <n v="32"/>
    <s v="Male"/>
    <s v="Monthly"/>
    <d v="2024-04-02T00:00:00"/>
    <d v="2026-03-03T00:00:00"/>
    <n v="59"/>
    <n v="1"/>
    <n v="0"/>
    <x v="0"/>
  </r>
  <r>
    <s v="CUST1961"/>
    <s v="Ashley Brewer"/>
    <n v="34"/>
    <s v="Male"/>
    <s v="Quarterly"/>
    <d v="2025-09-03T00:00:00"/>
    <d v="2026-05-07T00:00:00"/>
    <n v="32"/>
    <n v="3"/>
    <n v="0"/>
    <x v="13"/>
  </r>
  <r>
    <s v="CUST1962"/>
    <s v="Allison Miller"/>
    <n v="20"/>
    <s v="Other"/>
    <s v="Yearly"/>
    <d v="2025-01-26T00:00:00"/>
    <d v="2026-01-31T00:00:00"/>
    <n v="22"/>
    <n v="3"/>
    <n v="0"/>
    <x v="23"/>
  </r>
  <r>
    <s v="CUST1963"/>
    <s v="Carolyn Lane DVM"/>
    <n v="34"/>
    <s v="Female"/>
    <s v="Monthly"/>
    <d v="2025-12-17T00:00:00"/>
    <d v="2026-03-23T00:00:00"/>
    <n v="54"/>
    <n v="9"/>
    <n v="1"/>
    <x v="28"/>
  </r>
  <r>
    <s v="CUST1964"/>
    <s v="Austin Carlson"/>
    <n v="30"/>
    <s v="Male"/>
    <s v="Monthly"/>
    <d v="2025-03-21T00:00:00"/>
    <d v="2026-01-23T00:00:00"/>
    <n v="59"/>
    <n v="7"/>
    <n v="0"/>
    <x v="18"/>
  </r>
  <r>
    <s v="CUST1965"/>
    <s v="Matthew Lawrence"/>
    <n v="54"/>
    <s v="Other"/>
    <s v="Yearly"/>
    <d v="2023-12-27T00:00:00"/>
    <d v="2026-03-30T00:00:00"/>
    <n v="9"/>
    <n v="4"/>
    <n v="1"/>
    <x v="5"/>
  </r>
  <r>
    <s v="CUST1966"/>
    <s v="Casey Reeves"/>
    <n v="31"/>
    <s v="Female"/>
    <s v="Quarterly"/>
    <d v="2025-12-27T00:00:00"/>
    <d v="2026-04-04T00:00:00"/>
    <n v="53"/>
    <n v="6"/>
    <n v="0"/>
    <x v="28"/>
  </r>
  <r>
    <s v="CUST1967"/>
    <s v="Eddie Saunders"/>
    <n v="58"/>
    <s v="Other"/>
    <s v="Quarterly"/>
    <d v="2024-08-06T00:00:00"/>
    <d v="2026-03-22T00:00:00"/>
    <n v="19"/>
    <n v="6"/>
    <n v="0"/>
    <x v="21"/>
  </r>
  <r>
    <s v="CUST1968"/>
    <s v="Madeline Harding"/>
    <n v="43"/>
    <s v="Male"/>
    <s v="Quarterly"/>
    <d v="2024-07-23T00:00:00"/>
    <d v="2026-03-27T00:00:00"/>
    <n v="44"/>
    <n v="2"/>
    <n v="1"/>
    <x v="15"/>
  </r>
  <r>
    <s v="CUST1969"/>
    <s v="Ernest Adams"/>
    <n v="23"/>
    <s v="Female"/>
    <s v="Monthly"/>
    <d v="2025-06-21T00:00:00"/>
    <d v="2026-04-22T00:00:00"/>
    <n v="60"/>
    <n v="5"/>
    <n v="0"/>
    <x v="27"/>
  </r>
  <r>
    <s v="CUST1970"/>
    <s v="Anna Jones"/>
    <n v="60"/>
    <s v="Other"/>
    <s v="Monthly"/>
    <d v="2024-06-04T00:00:00"/>
    <d v="2026-03-04T00:00:00"/>
    <n v="35"/>
    <n v="10"/>
    <n v="0"/>
    <x v="11"/>
  </r>
  <r>
    <s v="CUST1971"/>
    <s v="David May"/>
    <n v="26"/>
    <s v="Female"/>
    <s v="Yearly"/>
    <d v="2025-02-04T00:00:00"/>
    <d v="2026-01-10T00:00:00"/>
    <n v="58"/>
    <n v="9"/>
    <n v="0"/>
    <x v="19"/>
  </r>
  <r>
    <s v="CUST1972"/>
    <s v="Robert Watson"/>
    <n v="55"/>
    <s v="Other"/>
    <s v="Quarterly"/>
    <d v="2023-09-04T00:00:00"/>
    <d v="2026-01-21T00:00:00"/>
    <n v="46"/>
    <n v="8"/>
    <n v="1"/>
    <x v="7"/>
  </r>
  <r>
    <s v="CUST1973"/>
    <s v="Allen Riley Jr."/>
    <n v="27"/>
    <s v="Female"/>
    <s v="Quarterly"/>
    <d v="2024-09-02T00:00:00"/>
    <d v="2026-04-09T00:00:00"/>
    <n v="64"/>
    <n v="1"/>
    <n v="0"/>
    <x v="10"/>
  </r>
  <r>
    <s v="CUST1974"/>
    <s v="Cheryl Harris"/>
    <n v="59"/>
    <s v="Other"/>
    <s v="Monthly"/>
    <d v="2026-01-30T00:00:00"/>
    <d v="2026-04-19T00:00:00"/>
    <n v="74"/>
    <n v="7"/>
    <n v="0"/>
    <x v="29"/>
  </r>
  <r>
    <s v="CUST1975"/>
    <s v="Jason Crawford"/>
    <n v="46"/>
    <s v="Female"/>
    <s v="Monthly"/>
    <d v="2025-08-02T00:00:00"/>
    <d v="2026-01-08T00:00:00"/>
    <n v="35"/>
    <n v="6"/>
    <n v="1"/>
    <x v="20"/>
  </r>
  <r>
    <s v="CUST1976"/>
    <s v="Jason Griffith"/>
    <n v="32"/>
    <s v="Other"/>
    <s v="Monthly"/>
    <d v="2024-01-31T00:00:00"/>
    <d v="2026-01-28T00:00:00"/>
    <n v="67"/>
    <n v="4"/>
    <n v="1"/>
    <x v="9"/>
  </r>
  <r>
    <s v="CUST1977"/>
    <s v="Anthony Grant"/>
    <n v="49"/>
    <s v="Male"/>
    <s v="Yearly"/>
    <d v="2025-06-17T00:00:00"/>
    <d v="2026-03-16T00:00:00"/>
    <n v="71"/>
    <n v="1"/>
    <n v="0"/>
    <x v="27"/>
  </r>
  <r>
    <s v="CUST1978"/>
    <s v="William Garcia"/>
    <n v="44"/>
    <s v="Male"/>
    <s v="Monthly"/>
    <d v="2026-01-12T00:00:00"/>
    <d v="2026-03-01T00:00:00"/>
    <n v="42"/>
    <n v="5"/>
    <n v="0"/>
    <x v="29"/>
  </r>
  <r>
    <s v="CUST1979"/>
    <s v="Mark Lopez"/>
    <n v="58"/>
    <s v="Female"/>
    <s v="Monthly"/>
    <d v="2023-10-19T00:00:00"/>
    <d v="2026-04-02T00:00:00"/>
    <n v="61"/>
    <n v="3"/>
    <n v="0"/>
    <x v="8"/>
  </r>
  <r>
    <s v="CUST1980"/>
    <s v="Christopher Day"/>
    <n v="37"/>
    <s v="Female"/>
    <s v="Monthly"/>
    <d v="2026-03-09T00:00:00"/>
    <d v="2026-04-25T00:00:00"/>
    <n v="27"/>
    <n v="9"/>
    <n v="0"/>
    <x v="22"/>
  </r>
  <r>
    <s v="CUST1981"/>
    <s v="Andrew Butler"/>
    <n v="31"/>
    <s v="Other"/>
    <s v="Yearly"/>
    <d v="2024-01-21T00:00:00"/>
    <d v="2026-04-28T00:00:00"/>
    <n v="80"/>
    <n v="10"/>
    <n v="0"/>
    <x v="9"/>
  </r>
  <r>
    <s v="CUST1982"/>
    <s v="Kurt Barnett"/>
    <n v="40"/>
    <s v="Male"/>
    <s v="Monthly"/>
    <d v="2025-11-23T00:00:00"/>
    <d v="2026-02-11T00:00:00"/>
    <n v="21"/>
    <n v="2"/>
    <n v="0"/>
    <x v="4"/>
  </r>
  <r>
    <s v="CUST1983"/>
    <s v="Denise Brooks"/>
    <n v="46"/>
    <s v="Male"/>
    <s v="Quarterly"/>
    <d v="2023-09-22T00:00:00"/>
    <d v="2026-01-15T00:00:00"/>
    <n v="47"/>
    <n v="5"/>
    <n v="1"/>
    <x v="7"/>
  </r>
  <r>
    <s v="CUST1984"/>
    <s v="Ricardo Sullivan"/>
    <n v="45"/>
    <s v="Male"/>
    <s v="Monthly"/>
    <d v="2024-05-21T00:00:00"/>
    <d v="2026-05-08T00:00:00"/>
    <n v="51"/>
    <n v="2"/>
    <n v="1"/>
    <x v="6"/>
  </r>
  <r>
    <s v="CUST1985"/>
    <s v="Matthew Barton"/>
    <n v="59"/>
    <s v="Female"/>
    <s v="Yearly"/>
    <d v="2025-07-11T00:00:00"/>
    <d v="2026-05-08T00:00:00"/>
    <n v="30"/>
    <n v="8"/>
    <n v="1"/>
    <x v="12"/>
  </r>
  <r>
    <s v="CUST1986"/>
    <s v="Nicholas Roberts"/>
    <n v="19"/>
    <s v="Other"/>
    <s v="Monthly"/>
    <d v="2025-02-13T00:00:00"/>
    <d v="2026-01-13T00:00:00"/>
    <n v="36"/>
    <n v="5"/>
    <n v="1"/>
    <x v="19"/>
  </r>
  <r>
    <s v="CUST1987"/>
    <s v="Jessica Webb"/>
    <n v="20"/>
    <s v="Other"/>
    <s v="Quarterly"/>
    <d v="2024-10-08T00:00:00"/>
    <d v="2026-04-19T00:00:00"/>
    <n v="33"/>
    <n v="8"/>
    <n v="0"/>
    <x v="26"/>
  </r>
  <r>
    <s v="CUST1988"/>
    <s v="Drew Spencer"/>
    <n v="33"/>
    <s v="Male"/>
    <s v="Monthly"/>
    <d v="2024-04-12T00:00:00"/>
    <d v="2026-04-08T00:00:00"/>
    <n v="14"/>
    <n v="7"/>
    <n v="0"/>
    <x v="0"/>
  </r>
  <r>
    <s v="CUST1989"/>
    <s v="Jerome Kelly"/>
    <n v="38"/>
    <s v="Other"/>
    <s v="Monthly"/>
    <d v="2023-09-23T00:00:00"/>
    <d v="2026-03-04T00:00:00"/>
    <n v="61"/>
    <n v="7"/>
    <n v="1"/>
    <x v="7"/>
  </r>
  <r>
    <s v="CUST1990"/>
    <s v="Daniel Andrews"/>
    <n v="59"/>
    <s v="Other"/>
    <s v="Monthly"/>
    <d v="2026-02-02T00:00:00"/>
    <d v="2026-01-14T00:00:00"/>
    <n v="37"/>
    <n v="7"/>
    <n v="0"/>
    <x v="16"/>
  </r>
  <r>
    <s v="CUST1991"/>
    <s v="Darrell Perkins"/>
    <n v="25"/>
    <s v="Female"/>
    <s v="Quarterly"/>
    <d v="2023-08-12T00:00:00"/>
    <d v="2026-01-30T00:00:00"/>
    <n v="20"/>
    <n v="10"/>
    <n v="0"/>
    <x v="32"/>
  </r>
  <r>
    <s v="CUST1992"/>
    <s v="Yolanda Olson"/>
    <n v="39"/>
    <s v="Male"/>
    <s v="Monthly"/>
    <d v="2025-01-31T00:00:00"/>
    <d v="2026-02-03T00:00:00"/>
    <n v="32"/>
    <n v="8"/>
    <n v="0"/>
    <x v="23"/>
  </r>
  <r>
    <s v="CUST1993"/>
    <s v="Jonathan Jordan"/>
    <n v="55"/>
    <s v="Female"/>
    <s v="Monthly"/>
    <d v="2023-10-22T00:00:00"/>
    <d v="2026-03-13T00:00:00"/>
    <n v="70"/>
    <n v="4"/>
    <n v="0"/>
    <x v="8"/>
  </r>
  <r>
    <s v="CUST1994"/>
    <s v="Peter Gonzalez"/>
    <n v="42"/>
    <s v="Other"/>
    <s v="Monthly"/>
    <d v="2025-05-27T00:00:00"/>
    <d v="2026-04-22T00:00:00"/>
    <n v="50"/>
    <n v="2"/>
    <n v="0"/>
    <x v="2"/>
  </r>
  <r>
    <s v="CUST1995"/>
    <s v="Samantha Delgado"/>
    <n v="31"/>
    <s v="Other"/>
    <s v="Monthly"/>
    <d v="2024-07-31T00:00:00"/>
    <d v="2026-01-09T00:00:00"/>
    <n v="5"/>
    <n v="5"/>
    <n v="0"/>
    <x v="15"/>
  </r>
  <r>
    <s v="CUST1996"/>
    <s v="Mrs. Tracy Robinson"/>
    <n v="45"/>
    <s v="Female"/>
    <s v="Quarterly"/>
    <d v="2024-10-02T00:00:00"/>
    <d v="2026-03-11T00:00:00"/>
    <n v="42"/>
    <n v="2"/>
    <n v="0"/>
    <x v="26"/>
  </r>
  <r>
    <s v="CUST1997"/>
    <s v="Mark Fields"/>
    <n v="24"/>
    <s v="Female"/>
    <s v="Quarterly"/>
    <d v="2024-11-08T00:00:00"/>
    <d v="2026-05-03T00:00:00"/>
    <n v="53"/>
    <n v="7"/>
    <n v="1"/>
    <x v="24"/>
  </r>
  <r>
    <s v="CUST1998"/>
    <s v="Terri Gibson"/>
    <n v="51"/>
    <s v="Other"/>
    <s v="Monthly"/>
    <d v="2025-01-02T00:00:00"/>
    <d v="2026-01-17T00:00:00"/>
    <n v="47"/>
    <n v="9"/>
    <n v="1"/>
    <x v="23"/>
  </r>
  <r>
    <s v="CUST1999"/>
    <s v="Joseph Garcia II"/>
    <n v="58"/>
    <s v="Other"/>
    <s v="Monthly"/>
    <d v="2026-03-18T00:00:00"/>
    <d v="2026-02-18T00:00:00"/>
    <n v="39"/>
    <n v="4"/>
    <n v="1"/>
    <x v="22"/>
  </r>
  <r>
    <s v="CUST2000"/>
    <s v="Gail Kane"/>
    <n v="31"/>
    <s v="Other"/>
    <s v="Quarterly"/>
    <d v="2023-11-21T00:00:00"/>
    <d v="2026-04-11T00:00:00"/>
    <n v="10"/>
    <n v="2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7CF9D-5B95-FB45-93C1-D2CBFF25AE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37" firstHeaderRow="1" firstDataRow="1" firstDataCol="1"/>
  <pivotFields count="11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  <pivotField axis="axisRow" showAll="0" sortType="ascending">
      <items count="34">
        <item x="0"/>
        <item x="17"/>
        <item x="31"/>
        <item x="32"/>
        <item x="21"/>
        <item x="20"/>
        <item x="5"/>
        <item x="14"/>
        <item x="28"/>
        <item x="3"/>
        <item x="19"/>
        <item x="16"/>
        <item x="9"/>
        <item x="23"/>
        <item x="29"/>
        <item x="15"/>
        <item x="12"/>
        <item x="11"/>
        <item x="27"/>
        <item x="30"/>
        <item x="18"/>
        <item x="22"/>
        <item x="6"/>
        <item x="2"/>
        <item x="1"/>
        <item x="24"/>
        <item x="4"/>
        <item x="8"/>
        <item x="26"/>
        <item x="25"/>
        <item x="7"/>
        <item x="10"/>
        <item x="13"/>
        <item t="default"/>
      </items>
    </pivotField>
  </pivotFields>
  <rowFields count="1">
    <field x="1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IsChurned" fld="9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98B0B3-C760-FE48-94A7-1EC3BF4FFF64}" autoFormatId="16" applyNumberFormats="0" applyBorderFormats="0" applyFontFormats="0" applyPatternFormats="0" applyAlignmentFormats="0" applyWidthHeightFormats="0">
  <queryTableRefresh nextId="4">
    <queryTableFields count="3">
      <queryTableField id="1" name="SubscriptionType" tableColumnId="1"/>
      <queryTableField id="2" name="IsChurned" tableColumnId="2"/>
      <queryTableField id="3" name="TotalCustome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82758D-35ED-224A-8207-A5E842D26FFC}" autoFormatId="16" applyNumberFormats="0" applyBorderFormats="0" applyFontFormats="0" applyPatternFormats="0" applyAlignmentFormats="0" applyWidthHeightFormats="0">
  <queryTableRefresh nextId="5">
    <queryTableFields count="4">
      <queryTableField id="1" name="SubscriptionType" tableColumnId="1"/>
      <queryTableField id="2" name="TotalCustomers" tableColumnId="2"/>
      <queryTableField id="3" name="ChurnedCustomers" tableColumnId="3"/>
      <queryTableField id="4" name="ChurnR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B14C1-9719-E649-AD2B-6EA643B70C13}" name="ChurnedVsActive" displayName="ChurnedVsActive" ref="A1:C7" tableType="queryTable" totalsRowShown="0">
  <autoFilter ref="A1:C7" xr:uid="{F91B14C1-9719-E649-AD2B-6EA643B70C13}"/>
  <tableColumns count="3">
    <tableColumn id="1" xr3:uid="{4B934CE4-CA89-7C46-9D99-CAF4556E2F99}" uniqueName="1" name="SubscriptionType" queryTableFieldId="1" dataDxfId="1"/>
    <tableColumn id="2" xr3:uid="{0E115FFE-FE12-964B-9CBD-4E5DD904D886}" uniqueName="2" name="IsChurned" queryTableFieldId="2"/>
    <tableColumn id="3" xr3:uid="{C5B1A14A-33C4-5B46-AF9C-CD6313A5BAAF}" uniqueName="3" name="TotalCustomer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E0A4BF-6E48-7646-826D-E1F58A41BF4A}" name="ChurnRateByType" displayName="ChurnRateByType" ref="A1:D4" tableType="queryTable" totalsRowShown="0">
  <autoFilter ref="A1:D4" xr:uid="{AAE0A4BF-6E48-7646-826D-E1F58A41BF4A}"/>
  <tableColumns count="4">
    <tableColumn id="1" xr3:uid="{996F7AFB-1CD2-C240-BDB3-DAE7E5D2CF4A}" uniqueName="1" name="SubscriptionType" queryTableFieldId="1" dataDxfId="0"/>
    <tableColumn id="2" xr3:uid="{8BCB2737-B47F-3848-9A2F-6E3B0222DB3F}" uniqueName="2" name="TotalCustomers" queryTableFieldId="2"/>
    <tableColumn id="3" xr3:uid="{007C0E24-CB96-4045-8CDC-1F39C2551D22}" uniqueName="3" name="ChurnedCustomers" queryTableFieldId="3"/>
    <tableColumn id="4" xr3:uid="{65044173-544E-F94C-9DBB-90E87BDEBAB8}" uniqueName="4" name="ChurnR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575D-ED6E-2947-A269-998C33A835DD}">
  <dimension ref="A1:T29"/>
  <sheetViews>
    <sheetView showGridLines="0" zoomScale="75" zoomScaleNormal="100" workbookViewId="0">
      <selection activeCell="E22" activeCellId="1" sqref="P38 E22"/>
    </sheetView>
  </sheetViews>
  <sheetFormatPr baseColWidth="10" defaultRowHeight="16" x14ac:dyDescent="0.2"/>
  <cols>
    <col min="1" max="1" width="14.33203125" bestFit="1" customWidth="1"/>
    <col min="5" max="5" width="12" bestFit="1" customWidth="1"/>
    <col min="6" max="6" width="14.83203125" bestFit="1" customWidth="1"/>
    <col min="7" max="7" width="17.6640625" bestFit="1" customWidth="1"/>
    <col min="8" max="8" width="10" bestFit="1" customWidth="1"/>
    <col min="9" max="9" width="16.83203125" customWidth="1"/>
    <col min="10" max="10" width="12.5" bestFit="1" customWidth="1"/>
    <col min="11" max="12" width="18.5" bestFit="1" customWidth="1"/>
    <col min="13" max="13" width="19" bestFit="1" customWidth="1"/>
  </cols>
  <sheetData>
    <row r="1" spans="1:20" ht="16" customHeight="1" x14ac:dyDescent="0.2">
      <c r="A1" s="10" t="s">
        <v>4041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9"/>
    </row>
    <row r="2" spans="1:20" ht="16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9"/>
    </row>
    <row r="3" spans="1:20" ht="16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9"/>
    </row>
    <row r="4" spans="1:20" ht="16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9"/>
    </row>
    <row r="5" spans="1:20" ht="16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9"/>
    </row>
    <row r="8" spans="1:20" x14ac:dyDescent="0.2">
      <c r="G8" s="6" t="s">
        <v>4035</v>
      </c>
      <c r="H8" s="7"/>
      <c r="I8" s="6" t="s">
        <v>4036</v>
      </c>
      <c r="K8" s="6" t="s">
        <v>4037</v>
      </c>
      <c r="M8" s="6" t="s">
        <v>4038</v>
      </c>
    </row>
    <row r="9" spans="1:20" x14ac:dyDescent="0.2">
      <c r="G9" s="8">
        <f>COUNTA(CustomerSubscriptions!A:A)-1</f>
        <v>2000</v>
      </c>
      <c r="H9" s="5"/>
      <c r="I9" s="8">
        <f>AVERAGE(CustomerSubscriptions!J:J)*100</f>
        <v>39.5</v>
      </c>
      <c r="K9" s="8">
        <f>AVERAGE(CustomerSubscriptions!I:I)</f>
        <v>5.5679999999999996</v>
      </c>
      <c r="M9" s="8">
        <f ca="1">AVERAGE(CustomerSubscriptions!L:L)</f>
        <v>67.322500000000005</v>
      </c>
    </row>
    <row r="18" spans="12:14" x14ac:dyDescent="0.2">
      <c r="L18" s="7"/>
    </row>
    <row r="19" spans="12:14" x14ac:dyDescent="0.2">
      <c r="L19" s="5"/>
    </row>
    <row r="28" spans="12:14" x14ac:dyDescent="0.2">
      <c r="N28" s="7"/>
    </row>
    <row r="29" spans="12:14" x14ac:dyDescent="0.2">
      <c r="N29" s="5"/>
    </row>
  </sheetData>
  <mergeCells count="1">
    <mergeCell ref="A1:S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DB68-BF8C-B44B-B3D7-71E48B98FD5E}">
  <dimension ref="A1:M2001"/>
  <sheetViews>
    <sheetView workbookViewId="0">
      <selection activeCell="N7" sqref="N7"/>
    </sheetView>
  </sheetViews>
  <sheetFormatPr baseColWidth="10" defaultRowHeight="16" x14ac:dyDescent="0.2"/>
  <cols>
    <col min="5" max="5" width="15" bestFit="1" customWidth="1"/>
    <col min="6" max="6" width="15.33203125" bestFit="1" customWidth="1"/>
    <col min="7" max="7" width="12.6640625" bestFit="1" customWidth="1"/>
    <col min="8" max="8" width="12.1640625" bestFit="1" customWidth="1"/>
    <col min="9" max="9" width="13.6640625" bestFit="1" customWidth="1"/>
    <col min="12" max="12" width="17.33203125" bestFit="1" customWidth="1"/>
    <col min="15" max="15" width="1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3998</v>
      </c>
      <c r="L1" t="s">
        <v>4039</v>
      </c>
      <c r="M1" t="s">
        <v>4040</v>
      </c>
    </row>
    <row r="2" spans="1:13" x14ac:dyDescent="0.2">
      <c r="A2" t="s">
        <v>10</v>
      </c>
      <c r="B2" t="s">
        <v>11</v>
      </c>
      <c r="C2">
        <v>21</v>
      </c>
      <c r="D2" t="s">
        <v>12</v>
      </c>
      <c r="E2" t="s">
        <v>13</v>
      </c>
      <c r="F2" s="1">
        <v>45400</v>
      </c>
      <c r="G2" s="1">
        <v>46122</v>
      </c>
      <c r="H2">
        <v>41</v>
      </c>
      <c r="I2">
        <v>8</v>
      </c>
      <c r="J2">
        <v>0</v>
      </c>
      <c r="K2" t="str">
        <f>TEXT(F2,"MMM-YYYY")</f>
        <v>Apr-2024</v>
      </c>
      <c r="L2" s="1">
        <f ca="1">TODAY()-G2</f>
        <v>36</v>
      </c>
      <c r="M2" t="str">
        <f>IF(C2&lt;=25,"18-25",IF(C2&lt;=35,"26-35",IF(C2&lt;=45,"36-45","46+")))</f>
        <v>18-25</v>
      </c>
    </row>
    <row r="3" spans="1:13" x14ac:dyDescent="0.2">
      <c r="A3" t="s">
        <v>14</v>
      </c>
      <c r="B3" t="s">
        <v>15</v>
      </c>
      <c r="C3">
        <v>44</v>
      </c>
      <c r="D3" t="s">
        <v>16</v>
      </c>
      <c r="E3" t="s">
        <v>17</v>
      </c>
      <c r="F3" s="1">
        <v>45258</v>
      </c>
      <c r="G3" s="1">
        <v>46141</v>
      </c>
      <c r="H3">
        <v>50</v>
      </c>
      <c r="I3">
        <v>2</v>
      </c>
      <c r="J3">
        <v>1</v>
      </c>
      <c r="K3" t="str">
        <f t="shared" ref="K3:K66" si="0">TEXT(F3,"MMM-YYYY")</f>
        <v>Nov-2023</v>
      </c>
      <c r="L3" s="1">
        <f t="shared" ref="L3:L66" ca="1" si="1">TODAY()-G3</f>
        <v>17</v>
      </c>
      <c r="M3" t="str">
        <f t="shared" ref="M3:M66" si="2">IF(C3&lt;=25,"18-25",IF(C3&lt;=35,"26-35",IF(C3&lt;=45,"36-45","46+")))</f>
        <v>36-45</v>
      </c>
    </row>
    <row r="4" spans="1:13" x14ac:dyDescent="0.2">
      <c r="A4" t="s">
        <v>18</v>
      </c>
      <c r="B4" t="s">
        <v>19</v>
      </c>
      <c r="C4">
        <v>51</v>
      </c>
      <c r="D4" t="s">
        <v>20</v>
      </c>
      <c r="E4" t="s">
        <v>21</v>
      </c>
      <c r="F4" s="1">
        <v>45797</v>
      </c>
      <c r="G4" s="1">
        <v>46140</v>
      </c>
      <c r="H4">
        <v>55</v>
      </c>
      <c r="I4">
        <v>7</v>
      </c>
      <c r="J4">
        <v>0</v>
      </c>
      <c r="K4" t="str">
        <f t="shared" si="0"/>
        <v>May-2025</v>
      </c>
      <c r="L4" s="1">
        <f t="shared" ca="1" si="1"/>
        <v>18</v>
      </c>
      <c r="M4" t="str">
        <f t="shared" si="2"/>
        <v>46+</v>
      </c>
    </row>
    <row r="5" spans="1:13" x14ac:dyDescent="0.2">
      <c r="A5" t="s">
        <v>22</v>
      </c>
      <c r="B5" t="s">
        <v>23</v>
      </c>
      <c r="C5">
        <v>41</v>
      </c>
      <c r="D5" t="s">
        <v>12</v>
      </c>
      <c r="E5" t="s">
        <v>21</v>
      </c>
      <c r="F5" s="1">
        <v>45339</v>
      </c>
      <c r="G5" s="1">
        <v>46136</v>
      </c>
      <c r="H5">
        <v>10</v>
      </c>
      <c r="I5">
        <v>7</v>
      </c>
      <c r="J5">
        <v>0</v>
      </c>
      <c r="K5" t="str">
        <f t="shared" si="0"/>
        <v>Feb-2024</v>
      </c>
      <c r="L5" s="1">
        <f t="shared" ca="1" si="1"/>
        <v>22</v>
      </c>
      <c r="M5" t="str">
        <f t="shared" si="2"/>
        <v>36-45</v>
      </c>
    </row>
    <row r="6" spans="1:13" x14ac:dyDescent="0.2">
      <c r="A6" t="s">
        <v>24</v>
      </c>
      <c r="B6" t="s">
        <v>25</v>
      </c>
      <c r="C6">
        <v>35</v>
      </c>
      <c r="D6" t="s">
        <v>16</v>
      </c>
      <c r="E6" t="s">
        <v>21</v>
      </c>
      <c r="F6" s="1">
        <v>45981</v>
      </c>
      <c r="G6" s="1">
        <v>46048</v>
      </c>
      <c r="H6">
        <v>63</v>
      </c>
      <c r="I6">
        <v>10</v>
      </c>
      <c r="J6">
        <v>0</v>
      </c>
      <c r="K6" t="str">
        <f t="shared" si="0"/>
        <v>Nov-2025</v>
      </c>
      <c r="L6" s="1">
        <f t="shared" ca="1" si="1"/>
        <v>110</v>
      </c>
      <c r="M6" t="str">
        <f t="shared" si="2"/>
        <v>26-35</v>
      </c>
    </row>
    <row r="7" spans="1:13" x14ac:dyDescent="0.2">
      <c r="A7" t="s">
        <v>26</v>
      </c>
      <c r="B7" t="s">
        <v>27</v>
      </c>
      <c r="C7">
        <v>36</v>
      </c>
      <c r="D7" t="s">
        <v>20</v>
      </c>
      <c r="E7" t="s">
        <v>17</v>
      </c>
      <c r="F7" s="1">
        <v>45291</v>
      </c>
      <c r="G7" s="1">
        <v>46137</v>
      </c>
      <c r="H7">
        <v>22</v>
      </c>
      <c r="I7">
        <v>9</v>
      </c>
      <c r="J7">
        <v>1</v>
      </c>
      <c r="K7" t="str">
        <f t="shared" si="0"/>
        <v>Dec-2023</v>
      </c>
      <c r="L7" s="1">
        <f t="shared" ca="1" si="1"/>
        <v>21</v>
      </c>
      <c r="M7" t="str">
        <f t="shared" si="2"/>
        <v>36-45</v>
      </c>
    </row>
    <row r="8" spans="1:13" x14ac:dyDescent="0.2">
      <c r="A8" t="s">
        <v>28</v>
      </c>
      <c r="B8" t="s">
        <v>29</v>
      </c>
      <c r="C8">
        <v>26</v>
      </c>
      <c r="D8" t="s">
        <v>20</v>
      </c>
      <c r="E8" t="s">
        <v>21</v>
      </c>
      <c r="F8" s="1">
        <v>45430</v>
      </c>
      <c r="G8" s="1">
        <v>46093</v>
      </c>
      <c r="H8">
        <v>18</v>
      </c>
      <c r="I8">
        <v>8</v>
      </c>
      <c r="J8">
        <v>0</v>
      </c>
      <c r="K8" t="str">
        <f t="shared" si="0"/>
        <v>May-2024</v>
      </c>
      <c r="L8" s="1">
        <f t="shared" ca="1" si="1"/>
        <v>65</v>
      </c>
      <c r="M8" t="str">
        <f t="shared" si="2"/>
        <v>26-35</v>
      </c>
    </row>
    <row r="9" spans="1:13" x14ac:dyDescent="0.2">
      <c r="A9" t="s">
        <v>30</v>
      </c>
      <c r="B9" t="s">
        <v>31</v>
      </c>
      <c r="C9">
        <v>21</v>
      </c>
      <c r="D9" t="s">
        <v>16</v>
      </c>
      <c r="E9" t="s">
        <v>17</v>
      </c>
      <c r="F9" s="1">
        <v>45174</v>
      </c>
      <c r="G9" s="1">
        <v>46115</v>
      </c>
      <c r="H9">
        <v>15</v>
      </c>
      <c r="I9">
        <v>10</v>
      </c>
      <c r="J9">
        <v>0</v>
      </c>
      <c r="K9" t="str">
        <f t="shared" si="0"/>
        <v>Sep-2023</v>
      </c>
      <c r="L9" s="1">
        <f t="shared" ca="1" si="1"/>
        <v>43</v>
      </c>
      <c r="M9" t="str">
        <f t="shared" si="2"/>
        <v>18-25</v>
      </c>
    </row>
    <row r="10" spans="1:13" x14ac:dyDescent="0.2">
      <c r="A10" t="s">
        <v>32</v>
      </c>
      <c r="B10" t="s">
        <v>33</v>
      </c>
      <c r="C10">
        <v>20</v>
      </c>
      <c r="D10" t="s">
        <v>12</v>
      </c>
      <c r="E10" t="s">
        <v>21</v>
      </c>
      <c r="F10" s="1">
        <v>45982</v>
      </c>
      <c r="G10" s="1">
        <v>46146</v>
      </c>
      <c r="H10">
        <v>38</v>
      </c>
      <c r="I10">
        <v>10</v>
      </c>
      <c r="J10">
        <v>0</v>
      </c>
      <c r="K10" t="str">
        <f t="shared" si="0"/>
        <v>Nov-2025</v>
      </c>
      <c r="L10" s="1">
        <f t="shared" ca="1" si="1"/>
        <v>12</v>
      </c>
      <c r="M10" t="str">
        <f t="shared" si="2"/>
        <v>18-25</v>
      </c>
    </row>
    <row r="11" spans="1:13" x14ac:dyDescent="0.2">
      <c r="A11" t="s">
        <v>34</v>
      </c>
      <c r="B11" t="s">
        <v>35</v>
      </c>
      <c r="C11">
        <v>37</v>
      </c>
      <c r="D11" t="s">
        <v>20</v>
      </c>
      <c r="E11" t="s">
        <v>13</v>
      </c>
      <c r="F11" s="1">
        <v>45394</v>
      </c>
      <c r="G11" s="1">
        <v>46150</v>
      </c>
      <c r="H11">
        <v>31</v>
      </c>
      <c r="I11">
        <v>6</v>
      </c>
      <c r="J11">
        <v>0</v>
      </c>
      <c r="K11" t="str">
        <f t="shared" si="0"/>
        <v>Apr-2024</v>
      </c>
      <c r="L11" s="1">
        <f t="shared" ca="1" si="1"/>
        <v>8</v>
      </c>
      <c r="M11" t="str">
        <f t="shared" si="2"/>
        <v>36-45</v>
      </c>
    </row>
    <row r="12" spans="1:13" x14ac:dyDescent="0.2">
      <c r="A12" t="s">
        <v>36</v>
      </c>
      <c r="B12" t="s">
        <v>37</v>
      </c>
      <c r="C12">
        <v>48</v>
      </c>
      <c r="D12" t="s">
        <v>16</v>
      </c>
      <c r="E12" t="s">
        <v>21</v>
      </c>
      <c r="F12" s="1">
        <v>45985</v>
      </c>
      <c r="G12" s="1">
        <v>46106</v>
      </c>
      <c r="H12">
        <v>62</v>
      </c>
      <c r="I12">
        <v>8</v>
      </c>
      <c r="J12">
        <v>0</v>
      </c>
      <c r="K12" t="str">
        <f t="shared" si="0"/>
        <v>Nov-2025</v>
      </c>
      <c r="L12" s="1">
        <f t="shared" ca="1" si="1"/>
        <v>52</v>
      </c>
      <c r="M12" t="str">
        <f t="shared" si="2"/>
        <v>46+</v>
      </c>
    </row>
    <row r="13" spans="1:13" x14ac:dyDescent="0.2">
      <c r="A13" t="s">
        <v>38</v>
      </c>
      <c r="B13" t="s">
        <v>39</v>
      </c>
      <c r="C13">
        <v>22</v>
      </c>
      <c r="D13" t="s">
        <v>12</v>
      </c>
      <c r="E13" t="s">
        <v>13</v>
      </c>
      <c r="F13" s="1">
        <v>45966</v>
      </c>
      <c r="G13" s="1">
        <v>46068</v>
      </c>
      <c r="H13">
        <v>0</v>
      </c>
      <c r="I13">
        <v>5</v>
      </c>
      <c r="J13">
        <v>0</v>
      </c>
      <c r="K13" t="str">
        <f t="shared" si="0"/>
        <v>Nov-2025</v>
      </c>
      <c r="L13" s="1">
        <f t="shared" ca="1" si="1"/>
        <v>90</v>
      </c>
      <c r="M13" t="str">
        <f t="shared" si="2"/>
        <v>18-25</v>
      </c>
    </row>
    <row r="14" spans="1:13" x14ac:dyDescent="0.2">
      <c r="A14" t="s">
        <v>40</v>
      </c>
      <c r="B14" t="s">
        <v>41</v>
      </c>
      <c r="C14">
        <v>44</v>
      </c>
      <c r="D14" t="s">
        <v>12</v>
      </c>
      <c r="E14" t="s">
        <v>21</v>
      </c>
      <c r="F14" s="1">
        <v>45344</v>
      </c>
      <c r="G14" s="1">
        <v>46078</v>
      </c>
      <c r="H14">
        <v>42</v>
      </c>
      <c r="I14">
        <v>1</v>
      </c>
      <c r="J14">
        <v>1</v>
      </c>
      <c r="K14" t="str">
        <f t="shared" si="0"/>
        <v>Feb-2024</v>
      </c>
      <c r="L14" s="1">
        <f t="shared" ca="1" si="1"/>
        <v>80</v>
      </c>
      <c r="M14" t="str">
        <f t="shared" si="2"/>
        <v>36-45</v>
      </c>
    </row>
    <row r="15" spans="1:13" x14ac:dyDescent="0.2">
      <c r="A15" t="s">
        <v>42</v>
      </c>
      <c r="B15" t="s">
        <v>43</v>
      </c>
      <c r="C15">
        <v>23</v>
      </c>
      <c r="D15" t="s">
        <v>12</v>
      </c>
      <c r="E15" t="s">
        <v>17</v>
      </c>
      <c r="F15" s="1">
        <v>45225</v>
      </c>
      <c r="G15" s="1">
        <v>46135</v>
      </c>
      <c r="H15">
        <v>49</v>
      </c>
      <c r="I15">
        <v>10</v>
      </c>
      <c r="J15">
        <v>1</v>
      </c>
      <c r="K15" t="str">
        <f t="shared" si="0"/>
        <v>Oct-2023</v>
      </c>
      <c r="L15" s="1">
        <f t="shared" ca="1" si="1"/>
        <v>23</v>
      </c>
      <c r="M15" t="str">
        <f t="shared" si="2"/>
        <v>18-25</v>
      </c>
    </row>
    <row r="16" spans="1:13" x14ac:dyDescent="0.2">
      <c r="A16" t="s">
        <v>44</v>
      </c>
      <c r="B16" t="s">
        <v>45</v>
      </c>
      <c r="C16">
        <v>56</v>
      </c>
      <c r="D16" t="s">
        <v>20</v>
      </c>
      <c r="E16" t="s">
        <v>21</v>
      </c>
      <c r="F16" s="1">
        <v>45216</v>
      </c>
      <c r="G16" s="1">
        <v>46055</v>
      </c>
      <c r="H16">
        <v>73</v>
      </c>
      <c r="I16">
        <v>6</v>
      </c>
      <c r="J16">
        <v>1</v>
      </c>
      <c r="K16" t="str">
        <f t="shared" si="0"/>
        <v>Oct-2023</v>
      </c>
      <c r="L16" s="1">
        <f t="shared" ca="1" si="1"/>
        <v>103</v>
      </c>
      <c r="M16" t="str">
        <f t="shared" si="2"/>
        <v>46+</v>
      </c>
    </row>
    <row r="17" spans="1:13" x14ac:dyDescent="0.2">
      <c r="A17" t="s">
        <v>46</v>
      </c>
      <c r="B17" t="s">
        <v>47</v>
      </c>
      <c r="C17">
        <v>48</v>
      </c>
      <c r="D17" t="s">
        <v>20</v>
      </c>
      <c r="E17" t="s">
        <v>21</v>
      </c>
      <c r="F17" s="1">
        <v>45255</v>
      </c>
      <c r="G17" s="1">
        <v>46104</v>
      </c>
      <c r="H17">
        <v>39</v>
      </c>
      <c r="I17">
        <v>7</v>
      </c>
      <c r="J17">
        <v>0</v>
      </c>
      <c r="K17" t="str">
        <f t="shared" si="0"/>
        <v>Nov-2023</v>
      </c>
      <c r="L17" s="1">
        <f t="shared" ca="1" si="1"/>
        <v>54</v>
      </c>
      <c r="M17" t="str">
        <f t="shared" si="2"/>
        <v>46+</v>
      </c>
    </row>
    <row r="18" spans="1:13" x14ac:dyDescent="0.2">
      <c r="A18" t="s">
        <v>48</v>
      </c>
      <c r="B18" t="s">
        <v>49</v>
      </c>
      <c r="C18">
        <v>47</v>
      </c>
      <c r="D18" t="s">
        <v>16</v>
      </c>
      <c r="E18" t="s">
        <v>17</v>
      </c>
      <c r="F18" s="1">
        <v>45978</v>
      </c>
      <c r="G18" s="1">
        <v>46043</v>
      </c>
      <c r="H18">
        <v>3</v>
      </c>
      <c r="I18">
        <v>3</v>
      </c>
      <c r="J18">
        <v>1</v>
      </c>
      <c r="K18" t="str">
        <f t="shared" si="0"/>
        <v>Nov-2025</v>
      </c>
      <c r="L18" s="1">
        <f t="shared" ca="1" si="1"/>
        <v>115</v>
      </c>
      <c r="M18" t="str">
        <f t="shared" si="2"/>
        <v>46+</v>
      </c>
    </row>
    <row r="19" spans="1:13" x14ac:dyDescent="0.2">
      <c r="A19" t="s">
        <v>50</v>
      </c>
      <c r="B19" t="s">
        <v>51</v>
      </c>
      <c r="C19">
        <v>48</v>
      </c>
      <c r="D19" t="s">
        <v>16</v>
      </c>
      <c r="E19" t="s">
        <v>21</v>
      </c>
      <c r="F19" s="1">
        <v>45286</v>
      </c>
      <c r="G19" s="1">
        <v>46140</v>
      </c>
      <c r="H19">
        <v>52</v>
      </c>
      <c r="I19">
        <v>10</v>
      </c>
      <c r="J19">
        <v>0</v>
      </c>
      <c r="K19" t="str">
        <f t="shared" si="0"/>
        <v>Dec-2023</v>
      </c>
      <c r="L19" s="1">
        <f t="shared" ca="1" si="1"/>
        <v>18</v>
      </c>
      <c r="M19" t="str">
        <f t="shared" si="2"/>
        <v>46+</v>
      </c>
    </row>
    <row r="20" spans="1:13" x14ac:dyDescent="0.2">
      <c r="A20" t="s">
        <v>52</v>
      </c>
      <c r="B20" t="s">
        <v>53</v>
      </c>
      <c r="C20">
        <v>49</v>
      </c>
      <c r="D20" t="s">
        <v>12</v>
      </c>
      <c r="E20" t="s">
        <v>17</v>
      </c>
      <c r="F20" s="1">
        <v>45296</v>
      </c>
      <c r="G20" s="1">
        <v>46129</v>
      </c>
      <c r="H20">
        <v>31</v>
      </c>
      <c r="I20">
        <v>3</v>
      </c>
      <c r="J20">
        <v>0</v>
      </c>
      <c r="K20" t="str">
        <f t="shared" si="0"/>
        <v>Jan-2024</v>
      </c>
      <c r="L20" s="1">
        <f t="shared" ca="1" si="1"/>
        <v>29</v>
      </c>
      <c r="M20" t="str">
        <f t="shared" si="2"/>
        <v>46+</v>
      </c>
    </row>
    <row r="21" spans="1:13" x14ac:dyDescent="0.2">
      <c r="A21" t="s">
        <v>54</v>
      </c>
      <c r="B21" t="s">
        <v>55</v>
      </c>
      <c r="C21">
        <v>31</v>
      </c>
      <c r="D21" t="s">
        <v>20</v>
      </c>
      <c r="E21" t="s">
        <v>21</v>
      </c>
      <c r="F21" s="1">
        <v>45556</v>
      </c>
      <c r="G21" s="1">
        <v>46100</v>
      </c>
      <c r="H21">
        <v>12</v>
      </c>
      <c r="I21">
        <v>10</v>
      </c>
      <c r="J21">
        <v>0</v>
      </c>
      <c r="K21" t="str">
        <f t="shared" si="0"/>
        <v>Sep-2024</v>
      </c>
      <c r="L21" s="1">
        <f t="shared" ca="1" si="1"/>
        <v>58</v>
      </c>
      <c r="M21" t="str">
        <f t="shared" si="2"/>
        <v>26-35</v>
      </c>
    </row>
    <row r="22" spans="1:13" x14ac:dyDescent="0.2">
      <c r="A22" t="s">
        <v>56</v>
      </c>
      <c r="B22" t="s">
        <v>57</v>
      </c>
      <c r="C22">
        <v>40</v>
      </c>
      <c r="D22" t="s">
        <v>16</v>
      </c>
      <c r="E22" t="s">
        <v>13</v>
      </c>
      <c r="F22" s="1">
        <v>45457</v>
      </c>
      <c r="G22" s="1">
        <v>46080</v>
      </c>
      <c r="H22">
        <v>63</v>
      </c>
      <c r="I22">
        <v>10</v>
      </c>
      <c r="J22">
        <v>0</v>
      </c>
      <c r="K22" t="str">
        <f t="shared" si="0"/>
        <v>Jun-2024</v>
      </c>
      <c r="L22" s="1">
        <f t="shared" ca="1" si="1"/>
        <v>78</v>
      </c>
      <c r="M22" t="str">
        <f t="shared" si="2"/>
        <v>36-45</v>
      </c>
    </row>
    <row r="23" spans="1:13" x14ac:dyDescent="0.2">
      <c r="A23" t="s">
        <v>58</v>
      </c>
      <c r="B23" t="s">
        <v>59</v>
      </c>
      <c r="C23">
        <v>23</v>
      </c>
      <c r="D23" t="s">
        <v>16</v>
      </c>
      <c r="E23" t="s">
        <v>17</v>
      </c>
      <c r="F23" s="1">
        <v>45438</v>
      </c>
      <c r="G23" s="1">
        <v>46146</v>
      </c>
      <c r="H23">
        <v>9</v>
      </c>
      <c r="I23">
        <v>2</v>
      </c>
      <c r="J23">
        <v>0</v>
      </c>
      <c r="K23" t="str">
        <f t="shared" si="0"/>
        <v>May-2024</v>
      </c>
      <c r="L23" s="1">
        <f t="shared" ca="1" si="1"/>
        <v>12</v>
      </c>
      <c r="M23" t="str">
        <f t="shared" si="2"/>
        <v>18-25</v>
      </c>
    </row>
    <row r="24" spans="1:13" x14ac:dyDescent="0.2">
      <c r="A24" t="s">
        <v>60</v>
      </c>
      <c r="B24" t="s">
        <v>61</v>
      </c>
      <c r="C24">
        <v>57</v>
      </c>
      <c r="D24" t="s">
        <v>12</v>
      </c>
      <c r="E24" t="s">
        <v>21</v>
      </c>
      <c r="F24" s="1">
        <v>45856</v>
      </c>
      <c r="G24" s="1">
        <v>46066</v>
      </c>
      <c r="H24">
        <v>77</v>
      </c>
      <c r="I24">
        <v>7</v>
      </c>
      <c r="J24">
        <v>0</v>
      </c>
      <c r="K24" t="str">
        <f t="shared" si="0"/>
        <v>Jul-2025</v>
      </c>
      <c r="L24" s="1">
        <f t="shared" ca="1" si="1"/>
        <v>92</v>
      </c>
      <c r="M24" t="str">
        <f t="shared" si="2"/>
        <v>46+</v>
      </c>
    </row>
    <row r="25" spans="1:13" x14ac:dyDescent="0.2">
      <c r="A25" t="s">
        <v>62</v>
      </c>
      <c r="B25" t="s">
        <v>63</v>
      </c>
      <c r="C25">
        <v>35</v>
      </c>
      <c r="D25" t="s">
        <v>20</v>
      </c>
      <c r="E25" t="s">
        <v>21</v>
      </c>
      <c r="F25" s="1">
        <v>45863</v>
      </c>
      <c r="G25" s="1">
        <v>46057</v>
      </c>
      <c r="H25">
        <v>47</v>
      </c>
      <c r="I25">
        <v>6</v>
      </c>
      <c r="J25">
        <v>0</v>
      </c>
      <c r="K25" t="str">
        <f t="shared" si="0"/>
        <v>Jul-2025</v>
      </c>
      <c r="L25" s="1">
        <f t="shared" ca="1" si="1"/>
        <v>101</v>
      </c>
      <c r="M25" t="str">
        <f t="shared" si="2"/>
        <v>26-35</v>
      </c>
    </row>
    <row r="26" spans="1:13" x14ac:dyDescent="0.2">
      <c r="A26" t="s">
        <v>64</v>
      </c>
      <c r="B26" t="s">
        <v>65</v>
      </c>
      <c r="C26">
        <v>20</v>
      </c>
      <c r="D26" t="s">
        <v>20</v>
      </c>
      <c r="E26" t="s">
        <v>17</v>
      </c>
      <c r="F26" s="1">
        <v>45307</v>
      </c>
      <c r="G26" s="1">
        <v>46112</v>
      </c>
      <c r="H26">
        <v>47</v>
      </c>
      <c r="I26">
        <v>3</v>
      </c>
      <c r="J26">
        <v>0</v>
      </c>
      <c r="K26" t="str">
        <f t="shared" si="0"/>
        <v>Jan-2024</v>
      </c>
      <c r="L26" s="1">
        <f t="shared" ca="1" si="1"/>
        <v>46</v>
      </c>
      <c r="M26" t="str">
        <f t="shared" si="2"/>
        <v>18-25</v>
      </c>
    </row>
    <row r="27" spans="1:13" x14ac:dyDescent="0.2">
      <c r="A27" t="s">
        <v>66</v>
      </c>
      <c r="B27" t="s">
        <v>67</v>
      </c>
      <c r="C27">
        <v>49</v>
      </c>
      <c r="D27" t="s">
        <v>20</v>
      </c>
      <c r="E27" t="s">
        <v>13</v>
      </c>
      <c r="F27" s="1">
        <v>45903</v>
      </c>
      <c r="G27" s="1">
        <v>46087</v>
      </c>
      <c r="H27">
        <v>10</v>
      </c>
      <c r="I27">
        <v>6</v>
      </c>
      <c r="J27">
        <v>0</v>
      </c>
      <c r="K27" t="str">
        <f t="shared" si="0"/>
        <v>Sep-2025</v>
      </c>
      <c r="L27" s="1">
        <f t="shared" ca="1" si="1"/>
        <v>71</v>
      </c>
      <c r="M27" t="str">
        <f t="shared" si="2"/>
        <v>46+</v>
      </c>
    </row>
    <row r="28" spans="1:13" x14ac:dyDescent="0.2">
      <c r="A28" t="s">
        <v>68</v>
      </c>
      <c r="B28" t="s">
        <v>69</v>
      </c>
      <c r="C28">
        <v>28</v>
      </c>
      <c r="D28" t="s">
        <v>16</v>
      </c>
      <c r="E28" t="s">
        <v>13</v>
      </c>
      <c r="F28" s="1">
        <v>45843</v>
      </c>
      <c r="G28" s="1">
        <v>46102</v>
      </c>
      <c r="H28">
        <v>71</v>
      </c>
      <c r="I28">
        <v>8</v>
      </c>
      <c r="J28">
        <v>0</v>
      </c>
      <c r="K28" t="str">
        <f t="shared" si="0"/>
        <v>Jul-2025</v>
      </c>
      <c r="L28" s="1">
        <f t="shared" ca="1" si="1"/>
        <v>56</v>
      </c>
      <c r="M28" t="str">
        <f t="shared" si="2"/>
        <v>26-35</v>
      </c>
    </row>
    <row r="29" spans="1:13" x14ac:dyDescent="0.2">
      <c r="A29" t="s">
        <v>70</v>
      </c>
      <c r="B29" t="s">
        <v>71</v>
      </c>
      <c r="C29">
        <v>32</v>
      </c>
      <c r="D29" t="s">
        <v>12</v>
      </c>
      <c r="E29" t="s">
        <v>17</v>
      </c>
      <c r="F29" s="1">
        <v>45627</v>
      </c>
      <c r="G29" s="1">
        <v>46116</v>
      </c>
      <c r="H29">
        <v>26</v>
      </c>
      <c r="I29">
        <v>7</v>
      </c>
      <c r="J29">
        <v>0</v>
      </c>
      <c r="K29" t="str">
        <f t="shared" si="0"/>
        <v>Dec-2024</v>
      </c>
      <c r="L29" s="1">
        <f t="shared" ca="1" si="1"/>
        <v>42</v>
      </c>
      <c r="M29" t="str">
        <f t="shared" si="2"/>
        <v>26-35</v>
      </c>
    </row>
    <row r="30" spans="1:13" x14ac:dyDescent="0.2">
      <c r="A30" t="s">
        <v>72</v>
      </c>
      <c r="B30" t="s">
        <v>73</v>
      </c>
      <c r="C30">
        <v>20</v>
      </c>
      <c r="D30" t="s">
        <v>20</v>
      </c>
      <c r="E30" t="s">
        <v>13</v>
      </c>
      <c r="F30" s="1">
        <v>45276</v>
      </c>
      <c r="G30" s="1">
        <v>46124</v>
      </c>
      <c r="H30">
        <v>42</v>
      </c>
      <c r="I30">
        <v>1</v>
      </c>
      <c r="J30">
        <v>0</v>
      </c>
      <c r="K30" t="str">
        <f t="shared" si="0"/>
        <v>Dec-2023</v>
      </c>
      <c r="L30" s="1">
        <f t="shared" ca="1" si="1"/>
        <v>34</v>
      </c>
      <c r="M30" t="str">
        <f t="shared" si="2"/>
        <v>18-25</v>
      </c>
    </row>
    <row r="31" spans="1:13" x14ac:dyDescent="0.2">
      <c r="A31" t="s">
        <v>74</v>
      </c>
      <c r="B31" t="s">
        <v>75</v>
      </c>
      <c r="C31">
        <v>28</v>
      </c>
      <c r="D31" t="s">
        <v>12</v>
      </c>
      <c r="E31" t="s">
        <v>21</v>
      </c>
      <c r="F31" s="1">
        <v>45498</v>
      </c>
      <c r="G31" s="1">
        <v>46096</v>
      </c>
      <c r="H31">
        <v>26</v>
      </c>
      <c r="I31">
        <v>7</v>
      </c>
      <c r="J31">
        <v>0</v>
      </c>
      <c r="K31" t="str">
        <f t="shared" si="0"/>
        <v>Jul-2024</v>
      </c>
      <c r="L31" s="1">
        <f t="shared" ca="1" si="1"/>
        <v>62</v>
      </c>
      <c r="M31" t="str">
        <f t="shared" si="2"/>
        <v>26-35</v>
      </c>
    </row>
    <row r="32" spans="1:13" x14ac:dyDescent="0.2">
      <c r="A32" t="s">
        <v>76</v>
      </c>
      <c r="B32" t="s">
        <v>77</v>
      </c>
      <c r="C32">
        <v>39</v>
      </c>
      <c r="D32" t="s">
        <v>20</v>
      </c>
      <c r="E32" t="s">
        <v>21</v>
      </c>
      <c r="F32" s="1">
        <v>45300</v>
      </c>
      <c r="G32" s="1">
        <v>46064</v>
      </c>
      <c r="H32">
        <v>62</v>
      </c>
      <c r="I32">
        <v>5</v>
      </c>
      <c r="J32">
        <v>0</v>
      </c>
      <c r="K32" t="str">
        <f t="shared" si="0"/>
        <v>Jan-2024</v>
      </c>
      <c r="L32" s="1">
        <f t="shared" ca="1" si="1"/>
        <v>94</v>
      </c>
      <c r="M32" t="str">
        <f t="shared" si="2"/>
        <v>36-45</v>
      </c>
    </row>
    <row r="33" spans="1:13" x14ac:dyDescent="0.2">
      <c r="A33" t="s">
        <v>78</v>
      </c>
      <c r="B33" t="s">
        <v>79</v>
      </c>
      <c r="C33">
        <v>20</v>
      </c>
      <c r="D33" t="s">
        <v>12</v>
      </c>
      <c r="E33" t="s">
        <v>21</v>
      </c>
      <c r="F33" s="1">
        <v>46057</v>
      </c>
      <c r="G33" s="1">
        <v>46045</v>
      </c>
      <c r="H33">
        <v>37</v>
      </c>
      <c r="I33">
        <v>7</v>
      </c>
      <c r="J33">
        <v>0</v>
      </c>
      <c r="K33" t="str">
        <f t="shared" si="0"/>
        <v>Feb-2026</v>
      </c>
      <c r="L33" s="1">
        <f t="shared" ca="1" si="1"/>
        <v>113</v>
      </c>
      <c r="M33" t="str">
        <f t="shared" si="2"/>
        <v>18-25</v>
      </c>
    </row>
    <row r="34" spans="1:13" x14ac:dyDescent="0.2">
      <c r="A34" t="s">
        <v>80</v>
      </c>
      <c r="B34" t="s">
        <v>81</v>
      </c>
      <c r="C34">
        <v>42</v>
      </c>
      <c r="D34" t="s">
        <v>20</v>
      </c>
      <c r="E34" t="s">
        <v>21</v>
      </c>
      <c r="F34" s="1">
        <v>45759</v>
      </c>
      <c r="G34" s="1">
        <v>46146</v>
      </c>
      <c r="H34">
        <v>27</v>
      </c>
      <c r="I34">
        <v>4</v>
      </c>
      <c r="J34">
        <v>1</v>
      </c>
      <c r="K34" t="str">
        <f t="shared" si="0"/>
        <v>Apr-2025</v>
      </c>
      <c r="L34" s="1">
        <f t="shared" ca="1" si="1"/>
        <v>12</v>
      </c>
      <c r="M34" t="str">
        <f t="shared" si="2"/>
        <v>36-45</v>
      </c>
    </row>
    <row r="35" spans="1:13" x14ac:dyDescent="0.2">
      <c r="A35" t="s">
        <v>82</v>
      </c>
      <c r="B35" t="s">
        <v>83</v>
      </c>
      <c r="C35">
        <v>48</v>
      </c>
      <c r="D35" t="s">
        <v>12</v>
      </c>
      <c r="E35" t="s">
        <v>21</v>
      </c>
      <c r="F35" s="1">
        <v>45461</v>
      </c>
      <c r="G35" s="1">
        <v>46081</v>
      </c>
      <c r="H35">
        <v>68</v>
      </c>
      <c r="I35">
        <v>8</v>
      </c>
      <c r="J35">
        <v>0</v>
      </c>
      <c r="K35" t="str">
        <f t="shared" si="0"/>
        <v>Jun-2024</v>
      </c>
      <c r="L35" s="1">
        <f t="shared" ca="1" si="1"/>
        <v>77</v>
      </c>
      <c r="M35" t="str">
        <f t="shared" si="2"/>
        <v>46+</v>
      </c>
    </row>
    <row r="36" spans="1:13" x14ac:dyDescent="0.2">
      <c r="A36" t="s">
        <v>84</v>
      </c>
      <c r="B36" t="s">
        <v>85</v>
      </c>
      <c r="C36">
        <v>27</v>
      </c>
      <c r="D36" t="s">
        <v>20</v>
      </c>
      <c r="E36" t="s">
        <v>17</v>
      </c>
      <c r="F36" s="1">
        <v>45726</v>
      </c>
      <c r="G36" s="1">
        <v>46085</v>
      </c>
      <c r="H36">
        <v>26</v>
      </c>
      <c r="I36">
        <v>5</v>
      </c>
      <c r="J36">
        <v>0</v>
      </c>
      <c r="K36" t="str">
        <f t="shared" si="0"/>
        <v>Mar-2025</v>
      </c>
      <c r="L36" s="1">
        <f t="shared" ca="1" si="1"/>
        <v>73</v>
      </c>
      <c r="M36" t="str">
        <f t="shared" si="2"/>
        <v>26-35</v>
      </c>
    </row>
    <row r="37" spans="1:13" x14ac:dyDescent="0.2">
      <c r="A37" t="s">
        <v>86</v>
      </c>
      <c r="B37" t="s">
        <v>87</v>
      </c>
      <c r="C37">
        <v>30</v>
      </c>
      <c r="D37" t="s">
        <v>20</v>
      </c>
      <c r="E37" t="s">
        <v>17</v>
      </c>
      <c r="F37" s="1">
        <v>45438</v>
      </c>
      <c r="G37" s="1">
        <v>46091</v>
      </c>
      <c r="H37">
        <v>38</v>
      </c>
      <c r="I37">
        <v>3</v>
      </c>
      <c r="J37">
        <v>1</v>
      </c>
      <c r="K37" t="str">
        <f t="shared" si="0"/>
        <v>May-2024</v>
      </c>
      <c r="L37" s="1">
        <f t="shared" ca="1" si="1"/>
        <v>67</v>
      </c>
      <c r="M37" t="str">
        <f t="shared" si="2"/>
        <v>26-35</v>
      </c>
    </row>
    <row r="38" spans="1:13" x14ac:dyDescent="0.2">
      <c r="A38" t="s">
        <v>88</v>
      </c>
      <c r="B38" t="s">
        <v>89</v>
      </c>
      <c r="C38">
        <v>26</v>
      </c>
      <c r="D38" t="s">
        <v>20</v>
      </c>
      <c r="E38" t="s">
        <v>17</v>
      </c>
      <c r="F38" s="1">
        <v>45464</v>
      </c>
      <c r="G38" s="1">
        <v>46073</v>
      </c>
      <c r="H38">
        <v>6</v>
      </c>
      <c r="I38">
        <v>4</v>
      </c>
      <c r="J38">
        <v>0</v>
      </c>
      <c r="K38" t="str">
        <f t="shared" si="0"/>
        <v>Jun-2024</v>
      </c>
      <c r="L38" s="1">
        <f t="shared" ca="1" si="1"/>
        <v>85</v>
      </c>
      <c r="M38" t="str">
        <f t="shared" si="2"/>
        <v>26-35</v>
      </c>
    </row>
    <row r="39" spans="1:13" x14ac:dyDescent="0.2">
      <c r="A39" t="s">
        <v>90</v>
      </c>
      <c r="B39" t="s">
        <v>91</v>
      </c>
      <c r="C39">
        <v>22</v>
      </c>
      <c r="D39" t="s">
        <v>16</v>
      </c>
      <c r="E39" t="s">
        <v>13</v>
      </c>
      <c r="F39" s="1">
        <v>45433</v>
      </c>
      <c r="G39" s="1">
        <v>46146</v>
      </c>
      <c r="H39">
        <v>43</v>
      </c>
      <c r="I39">
        <v>6</v>
      </c>
      <c r="J39">
        <v>1</v>
      </c>
      <c r="K39" t="str">
        <f t="shared" si="0"/>
        <v>May-2024</v>
      </c>
      <c r="L39" s="1">
        <f t="shared" ca="1" si="1"/>
        <v>12</v>
      </c>
      <c r="M39" t="str">
        <f t="shared" si="2"/>
        <v>18-25</v>
      </c>
    </row>
    <row r="40" spans="1:13" x14ac:dyDescent="0.2">
      <c r="A40" t="s">
        <v>92</v>
      </c>
      <c r="B40" t="s">
        <v>93</v>
      </c>
      <c r="C40">
        <v>27</v>
      </c>
      <c r="D40" t="s">
        <v>16</v>
      </c>
      <c r="E40" t="s">
        <v>17</v>
      </c>
      <c r="F40" s="1">
        <v>45348</v>
      </c>
      <c r="G40" s="1">
        <v>46148</v>
      </c>
      <c r="H40">
        <v>79</v>
      </c>
      <c r="I40">
        <v>3</v>
      </c>
      <c r="J40">
        <v>1</v>
      </c>
      <c r="K40" t="str">
        <f t="shared" si="0"/>
        <v>Feb-2024</v>
      </c>
      <c r="L40" s="1">
        <f t="shared" ca="1" si="1"/>
        <v>10</v>
      </c>
      <c r="M40" t="str">
        <f t="shared" si="2"/>
        <v>26-35</v>
      </c>
    </row>
    <row r="41" spans="1:13" x14ac:dyDescent="0.2">
      <c r="A41" t="s">
        <v>94</v>
      </c>
      <c r="B41" t="s">
        <v>95</v>
      </c>
      <c r="C41">
        <v>20</v>
      </c>
      <c r="D41" t="s">
        <v>20</v>
      </c>
      <c r="E41" t="s">
        <v>13</v>
      </c>
      <c r="F41" s="1">
        <v>45485</v>
      </c>
      <c r="G41" s="1">
        <v>46135</v>
      </c>
      <c r="H41">
        <v>31</v>
      </c>
      <c r="I41">
        <v>6</v>
      </c>
      <c r="J41">
        <v>0</v>
      </c>
      <c r="K41" t="str">
        <f t="shared" si="0"/>
        <v>Jul-2024</v>
      </c>
      <c r="L41" s="1">
        <f t="shared" ca="1" si="1"/>
        <v>23</v>
      </c>
      <c r="M41" t="str">
        <f t="shared" si="2"/>
        <v>18-25</v>
      </c>
    </row>
    <row r="42" spans="1:13" x14ac:dyDescent="0.2">
      <c r="A42" t="s">
        <v>96</v>
      </c>
      <c r="B42" t="s">
        <v>97</v>
      </c>
      <c r="C42">
        <v>20</v>
      </c>
      <c r="D42" t="s">
        <v>12</v>
      </c>
      <c r="E42" t="s">
        <v>17</v>
      </c>
      <c r="F42" s="1">
        <v>45692</v>
      </c>
      <c r="G42" s="1">
        <v>46072</v>
      </c>
      <c r="H42">
        <v>71</v>
      </c>
      <c r="I42">
        <v>7</v>
      </c>
      <c r="J42">
        <v>1</v>
      </c>
      <c r="K42" t="str">
        <f t="shared" si="0"/>
        <v>Feb-2025</v>
      </c>
      <c r="L42" s="1">
        <f t="shared" ca="1" si="1"/>
        <v>86</v>
      </c>
      <c r="M42" t="str">
        <f t="shared" si="2"/>
        <v>18-25</v>
      </c>
    </row>
    <row r="43" spans="1:13" x14ac:dyDescent="0.2">
      <c r="A43" t="s">
        <v>98</v>
      </c>
      <c r="B43" t="s">
        <v>99</v>
      </c>
      <c r="C43">
        <v>43</v>
      </c>
      <c r="D43" t="s">
        <v>16</v>
      </c>
      <c r="E43" t="s">
        <v>17</v>
      </c>
      <c r="F43" s="1">
        <v>46055</v>
      </c>
      <c r="G43" s="1">
        <v>46129</v>
      </c>
      <c r="H43">
        <v>71</v>
      </c>
      <c r="I43">
        <v>7</v>
      </c>
      <c r="J43">
        <v>1</v>
      </c>
      <c r="K43" t="str">
        <f t="shared" si="0"/>
        <v>Feb-2026</v>
      </c>
      <c r="L43" s="1">
        <f t="shared" ca="1" si="1"/>
        <v>29</v>
      </c>
      <c r="M43" t="str">
        <f t="shared" si="2"/>
        <v>36-45</v>
      </c>
    </row>
    <row r="44" spans="1:13" x14ac:dyDescent="0.2">
      <c r="A44" t="s">
        <v>100</v>
      </c>
      <c r="B44" t="s">
        <v>101</v>
      </c>
      <c r="C44">
        <v>43</v>
      </c>
      <c r="D44" t="s">
        <v>12</v>
      </c>
      <c r="E44" t="s">
        <v>21</v>
      </c>
      <c r="F44" s="1">
        <v>46079</v>
      </c>
      <c r="G44" s="1">
        <v>46047</v>
      </c>
      <c r="H44">
        <v>15</v>
      </c>
      <c r="I44">
        <v>10</v>
      </c>
      <c r="J44">
        <v>1</v>
      </c>
      <c r="K44" t="str">
        <f t="shared" si="0"/>
        <v>Feb-2026</v>
      </c>
      <c r="L44" s="1">
        <f t="shared" ca="1" si="1"/>
        <v>111</v>
      </c>
      <c r="M44" t="str">
        <f t="shared" si="2"/>
        <v>36-45</v>
      </c>
    </row>
    <row r="45" spans="1:13" x14ac:dyDescent="0.2">
      <c r="A45" t="s">
        <v>102</v>
      </c>
      <c r="B45" t="s">
        <v>103</v>
      </c>
      <c r="C45">
        <v>27</v>
      </c>
      <c r="D45" t="s">
        <v>20</v>
      </c>
      <c r="E45" t="s">
        <v>17</v>
      </c>
      <c r="F45" s="1">
        <v>45198</v>
      </c>
      <c r="G45" s="1">
        <v>46142</v>
      </c>
      <c r="H45">
        <v>33</v>
      </c>
      <c r="I45">
        <v>1</v>
      </c>
      <c r="J45">
        <v>1</v>
      </c>
      <c r="K45" t="str">
        <f t="shared" si="0"/>
        <v>Sep-2023</v>
      </c>
      <c r="L45" s="1">
        <f t="shared" ca="1" si="1"/>
        <v>16</v>
      </c>
      <c r="M45" t="str">
        <f t="shared" si="2"/>
        <v>26-35</v>
      </c>
    </row>
    <row r="46" spans="1:13" x14ac:dyDescent="0.2">
      <c r="A46" t="s">
        <v>104</v>
      </c>
      <c r="B46" t="s">
        <v>105</v>
      </c>
      <c r="C46">
        <v>20</v>
      </c>
      <c r="D46" t="s">
        <v>12</v>
      </c>
      <c r="E46" t="s">
        <v>13</v>
      </c>
      <c r="F46" s="1">
        <v>45428</v>
      </c>
      <c r="G46" s="1">
        <v>46060</v>
      </c>
      <c r="H46">
        <v>45</v>
      </c>
      <c r="I46">
        <v>6</v>
      </c>
      <c r="J46">
        <v>1</v>
      </c>
      <c r="K46" t="str">
        <f t="shared" si="0"/>
        <v>May-2024</v>
      </c>
      <c r="L46" s="1">
        <f t="shared" ca="1" si="1"/>
        <v>98</v>
      </c>
      <c r="M46" t="str">
        <f t="shared" si="2"/>
        <v>18-25</v>
      </c>
    </row>
    <row r="47" spans="1:13" x14ac:dyDescent="0.2">
      <c r="A47" t="s">
        <v>106</v>
      </c>
      <c r="B47" t="s">
        <v>107</v>
      </c>
      <c r="C47">
        <v>60</v>
      </c>
      <c r="D47" t="s">
        <v>16</v>
      </c>
      <c r="E47" t="s">
        <v>13</v>
      </c>
      <c r="F47" s="1">
        <v>45882</v>
      </c>
      <c r="G47" s="1">
        <v>46094</v>
      </c>
      <c r="H47">
        <v>5</v>
      </c>
      <c r="I47">
        <v>3</v>
      </c>
      <c r="J47">
        <v>0</v>
      </c>
      <c r="K47" t="str">
        <f t="shared" si="0"/>
        <v>Aug-2025</v>
      </c>
      <c r="L47" s="1">
        <f t="shared" ca="1" si="1"/>
        <v>64</v>
      </c>
      <c r="M47" t="str">
        <f t="shared" si="2"/>
        <v>46+</v>
      </c>
    </row>
    <row r="48" spans="1:13" x14ac:dyDescent="0.2">
      <c r="A48" t="s">
        <v>108</v>
      </c>
      <c r="B48" t="s">
        <v>109</v>
      </c>
      <c r="C48">
        <v>51</v>
      </c>
      <c r="D48" t="s">
        <v>16</v>
      </c>
      <c r="E48" t="s">
        <v>21</v>
      </c>
      <c r="F48" s="1">
        <v>45534</v>
      </c>
      <c r="G48" s="1">
        <v>46131</v>
      </c>
      <c r="H48">
        <v>66</v>
      </c>
      <c r="I48">
        <v>2</v>
      </c>
      <c r="J48">
        <v>1</v>
      </c>
      <c r="K48" t="str">
        <f t="shared" si="0"/>
        <v>Aug-2024</v>
      </c>
      <c r="L48" s="1">
        <f t="shared" ca="1" si="1"/>
        <v>27</v>
      </c>
      <c r="M48" t="str">
        <f t="shared" si="2"/>
        <v>46+</v>
      </c>
    </row>
    <row r="49" spans="1:13" x14ac:dyDescent="0.2">
      <c r="A49" t="s">
        <v>110</v>
      </c>
      <c r="B49" t="s">
        <v>111</v>
      </c>
      <c r="C49">
        <v>34</v>
      </c>
      <c r="D49" t="s">
        <v>20</v>
      </c>
      <c r="E49" t="s">
        <v>13</v>
      </c>
      <c r="F49" s="1">
        <v>45393</v>
      </c>
      <c r="G49" s="1">
        <v>46119</v>
      </c>
      <c r="H49">
        <v>1</v>
      </c>
      <c r="I49">
        <v>5</v>
      </c>
      <c r="J49">
        <v>1</v>
      </c>
      <c r="K49" t="str">
        <f t="shared" si="0"/>
        <v>Apr-2024</v>
      </c>
      <c r="L49" s="1">
        <f t="shared" ca="1" si="1"/>
        <v>39</v>
      </c>
      <c r="M49" t="str">
        <f t="shared" si="2"/>
        <v>26-35</v>
      </c>
    </row>
    <row r="50" spans="1:13" x14ac:dyDescent="0.2">
      <c r="A50" t="s">
        <v>112</v>
      </c>
      <c r="B50" t="s">
        <v>113</v>
      </c>
      <c r="C50">
        <v>26</v>
      </c>
      <c r="D50" t="s">
        <v>12</v>
      </c>
      <c r="E50" t="s">
        <v>21</v>
      </c>
      <c r="F50" s="1">
        <v>45173</v>
      </c>
      <c r="G50" s="1">
        <v>46101</v>
      </c>
      <c r="H50">
        <v>47</v>
      </c>
      <c r="I50">
        <v>3</v>
      </c>
      <c r="J50">
        <v>0</v>
      </c>
      <c r="K50" t="str">
        <f t="shared" si="0"/>
        <v>Sep-2023</v>
      </c>
      <c r="L50" s="1">
        <f t="shared" ca="1" si="1"/>
        <v>57</v>
      </c>
      <c r="M50" t="str">
        <f t="shared" si="2"/>
        <v>26-35</v>
      </c>
    </row>
    <row r="51" spans="1:13" x14ac:dyDescent="0.2">
      <c r="A51" t="s">
        <v>114</v>
      </c>
      <c r="B51" t="s">
        <v>115</v>
      </c>
      <c r="C51">
        <v>27</v>
      </c>
      <c r="D51" t="s">
        <v>16</v>
      </c>
      <c r="E51" t="s">
        <v>17</v>
      </c>
      <c r="F51" s="1">
        <v>45213</v>
      </c>
      <c r="G51" s="1">
        <v>46063</v>
      </c>
      <c r="H51">
        <v>18</v>
      </c>
      <c r="I51">
        <v>5</v>
      </c>
      <c r="J51">
        <v>0</v>
      </c>
      <c r="K51" t="str">
        <f t="shared" si="0"/>
        <v>Oct-2023</v>
      </c>
      <c r="L51" s="1">
        <f t="shared" ca="1" si="1"/>
        <v>95</v>
      </c>
      <c r="M51" t="str">
        <f t="shared" si="2"/>
        <v>26-35</v>
      </c>
    </row>
    <row r="52" spans="1:13" x14ac:dyDescent="0.2">
      <c r="A52" t="s">
        <v>116</v>
      </c>
      <c r="B52" t="s">
        <v>117</v>
      </c>
      <c r="C52">
        <v>21</v>
      </c>
      <c r="D52" t="s">
        <v>20</v>
      </c>
      <c r="E52" t="s">
        <v>13</v>
      </c>
      <c r="F52" s="1">
        <v>45920</v>
      </c>
      <c r="G52" s="1">
        <v>46140</v>
      </c>
      <c r="H52">
        <v>68</v>
      </c>
      <c r="I52">
        <v>4</v>
      </c>
      <c r="J52">
        <v>1</v>
      </c>
      <c r="K52" t="str">
        <f t="shared" si="0"/>
        <v>Sep-2025</v>
      </c>
      <c r="L52" s="1">
        <f t="shared" ca="1" si="1"/>
        <v>18</v>
      </c>
      <c r="M52" t="str">
        <f t="shared" si="2"/>
        <v>18-25</v>
      </c>
    </row>
    <row r="53" spans="1:13" x14ac:dyDescent="0.2">
      <c r="A53" t="s">
        <v>118</v>
      </c>
      <c r="B53" t="s">
        <v>119</v>
      </c>
      <c r="C53">
        <v>50</v>
      </c>
      <c r="D53" t="s">
        <v>20</v>
      </c>
      <c r="E53" t="s">
        <v>17</v>
      </c>
      <c r="F53" s="1">
        <v>45332</v>
      </c>
      <c r="G53" s="1">
        <v>46125</v>
      </c>
      <c r="H53">
        <v>0</v>
      </c>
      <c r="I53">
        <v>8</v>
      </c>
      <c r="J53">
        <v>1</v>
      </c>
      <c r="K53" t="str">
        <f t="shared" si="0"/>
        <v>Feb-2024</v>
      </c>
      <c r="L53" s="1">
        <f t="shared" ca="1" si="1"/>
        <v>33</v>
      </c>
      <c r="M53" t="str">
        <f t="shared" si="2"/>
        <v>46+</v>
      </c>
    </row>
    <row r="54" spans="1:13" x14ac:dyDescent="0.2">
      <c r="A54" t="s">
        <v>120</v>
      </c>
      <c r="B54" t="s">
        <v>121</v>
      </c>
      <c r="C54">
        <v>24</v>
      </c>
      <c r="D54" t="s">
        <v>16</v>
      </c>
      <c r="E54" t="s">
        <v>13</v>
      </c>
      <c r="F54" s="1">
        <v>45493</v>
      </c>
      <c r="G54" s="1">
        <v>46090</v>
      </c>
      <c r="H54">
        <v>16</v>
      </c>
      <c r="I54">
        <v>6</v>
      </c>
      <c r="J54">
        <v>0</v>
      </c>
      <c r="K54" t="str">
        <f t="shared" si="0"/>
        <v>Jul-2024</v>
      </c>
      <c r="L54" s="1">
        <f t="shared" ca="1" si="1"/>
        <v>68</v>
      </c>
      <c r="M54" t="str">
        <f t="shared" si="2"/>
        <v>18-25</v>
      </c>
    </row>
    <row r="55" spans="1:13" x14ac:dyDescent="0.2">
      <c r="A55" t="s">
        <v>122</v>
      </c>
      <c r="B55" t="s">
        <v>123</v>
      </c>
      <c r="C55">
        <v>47</v>
      </c>
      <c r="D55" t="s">
        <v>12</v>
      </c>
      <c r="E55" t="s">
        <v>17</v>
      </c>
      <c r="F55" s="1">
        <v>46083</v>
      </c>
      <c r="G55" s="1">
        <v>46060</v>
      </c>
      <c r="H55">
        <v>30</v>
      </c>
      <c r="I55">
        <v>5</v>
      </c>
      <c r="J55">
        <v>0</v>
      </c>
      <c r="K55" t="str">
        <f t="shared" si="0"/>
        <v>Mar-2026</v>
      </c>
      <c r="L55" s="1">
        <f t="shared" ca="1" si="1"/>
        <v>98</v>
      </c>
      <c r="M55" t="str">
        <f t="shared" si="2"/>
        <v>46+</v>
      </c>
    </row>
    <row r="56" spans="1:13" x14ac:dyDescent="0.2">
      <c r="A56" t="s">
        <v>124</v>
      </c>
      <c r="B56" t="s">
        <v>125</v>
      </c>
      <c r="C56">
        <v>41</v>
      </c>
      <c r="D56" t="s">
        <v>20</v>
      </c>
      <c r="E56" t="s">
        <v>21</v>
      </c>
      <c r="F56" s="1">
        <v>45662</v>
      </c>
      <c r="G56" s="1">
        <v>46107</v>
      </c>
      <c r="H56">
        <v>44</v>
      </c>
      <c r="I56">
        <v>5</v>
      </c>
      <c r="J56">
        <v>0</v>
      </c>
      <c r="K56" t="str">
        <f t="shared" si="0"/>
        <v>Jan-2025</v>
      </c>
      <c r="L56" s="1">
        <f t="shared" ca="1" si="1"/>
        <v>51</v>
      </c>
      <c r="M56" t="str">
        <f t="shared" si="2"/>
        <v>36-45</v>
      </c>
    </row>
    <row r="57" spans="1:13" x14ac:dyDescent="0.2">
      <c r="A57" t="s">
        <v>126</v>
      </c>
      <c r="B57" t="s">
        <v>127</v>
      </c>
      <c r="C57">
        <v>23</v>
      </c>
      <c r="D57" t="s">
        <v>16</v>
      </c>
      <c r="E57" t="s">
        <v>21</v>
      </c>
      <c r="F57" s="1">
        <v>45292</v>
      </c>
      <c r="G57" s="1">
        <v>46148</v>
      </c>
      <c r="H57">
        <v>6</v>
      </c>
      <c r="I57">
        <v>5</v>
      </c>
      <c r="J57">
        <v>0</v>
      </c>
      <c r="K57" t="str">
        <f t="shared" si="0"/>
        <v>Jan-2024</v>
      </c>
      <c r="L57" s="1">
        <f t="shared" ca="1" si="1"/>
        <v>10</v>
      </c>
      <c r="M57" t="str">
        <f t="shared" si="2"/>
        <v>18-25</v>
      </c>
    </row>
    <row r="58" spans="1:13" x14ac:dyDescent="0.2">
      <c r="A58" t="s">
        <v>128</v>
      </c>
      <c r="B58" t="s">
        <v>129</v>
      </c>
      <c r="C58">
        <v>42</v>
      </c>
      <c r="D58" t="s">
        <v>16</v>
      </c>
      <c r="E58" t="s">
        <v>21</v>
      </c>
      <c r="F58" s="1">
        <v>45914</v>
      </c>
      <c r="G58" s="1">
        <v>46062</v>
      </c>
      <c r="H58">
        <v>18</v>
      </c>
      <c r="I58">
        <v>6</v>
      </c>
      <c r="J58">
        <v>0</v>
      </c>
      <c r="K58" t="str">
        <f t="shared" si="0"/>
        <v>Sep-2025</v>
      </c>
      <c r="L58" s="1">
        <f t="shared" ca="1" si="1"/>
        <v>96</v>
      </c>
      <c r="M58" t="str">
        <f t="shared" si="2"/>
        <v>36-45</v>
      </c>
    </row>
    <row r="59" spans="1:13" x14ac:dyDescent="0.2">
      <c r="A59" t="s">
        <v>130</v>
      </c>
      <c r="B59" t="s">
        <v>131</v>
      </c>
      <c r="C59">
        <v>45</v>
      </c>
      <c r="D59" t="s">
        <v>12</v>
      </c>
      <c r="E59" t="s">
        <v>17</v>
      </c>
      <c r="F59" s="1">
        <v>45641</v>
      </c>
      <c r="G59" s="1">
        <v>46120</v>
      </c>
      <c r="H59">
        <v>24</v>
      </c>
      <c r="I59">
        <v>10</v>
      </c>
      <c r="J59">
        <v>0</v>
      </c>
      <c r="K59" t="str">
        <f t="shared" si="0"/>
        <v>Dec-2024</v>
      </c>
      <c r="L59" s="1">
        <f t="shared" ca="1" si="1"/>
        <v>38</v>
      </c>
      <c r="M59" t="str">
        <f t="shared" si="2"/>
        <v>36-45</v>
      </c>
    </row>
    <row r="60" spans="1:13" x14ac:dyDescent="0.2">
      <c r="A60" t="s">
        <v>132</v>
      </c>
      <c r="B60" t="s">
        <v>133</v>
      </c>
      <c r="C60">
        <v>40</v>
      </c>
      <c r="D60" t="s">
        <v>12</v>
      </c>
      <c r="E60" t="s">
        <v>21</v>
      </c>
      <c r="F60" s="1">
        <v>45324</v>
      </c>
      <c r="G60" s="1">
        <v>46056</v>
      </c>
      <c r="H60">
        <v>22</v>
      </c>
      <c r="I60">
        <v>2</v>
      </c>
      <c r="J60">
        <v>1</v>
      </c>
      <c r="K60" t="str">
        <f t="shared" si="0"/>
        <v>Feb-2024</v>
      </c>
      <c r="L60" s="1">
        <f t="shared" ca="1" si="1"/>
        <v>102</v>
      </c>
      <c r="M60" t="str">
        <f t="shared" si="2"/>
        <v>36-45</v>
      </c>
    </row>
    <row r="61" spans="1:13" x14ac:dyDescent="0.2">
      <c r="A61" t="s">
        <v>134</v>
      </c>
      <c r="B61" t="s">
        <v>135</v>
      </c>
      <c r="C61">
        <v>43</v>
      </c>
      <c r="D61" t="s">
        <v>20</v>
      </c>
      <c r="E61" t="s">
        <v>13</v>
      </c>
      <c r="F61" s="1">
        <v>45877</v>
      </c>
      <c r="G61" s="1">
        <v>46082</v>
      </c>
      <c r="H61">
        <v>71</v>
      </c>
      <c r="I61">
        <v>3</v>
      </c>
      <c r="J61">
        <v>1</v>
      </c>
      <c r="K61" t="str">
        <f t="shared" si="0"/>
        <v>Aug-2025</v>
      </c>
      <c r="L61" s="1">
        <f t="shared" ca="1" si="1"/>
        <v>76</v>
      </c>
      <c r="M61" t="str">
        <f t="shared" si="2"/>
        <v>36-45</v>
      </c>
    </row>
    <row r="62" spans="1:13" x14ac:dyDescent="0.2">
      <c r="A62" t="s">
        <v>136</v>
      </c>
      <c r="B62" t="s">
        <v>137</v>
      </c>
      <c r="C62">
        <v>42</v>
      </c>
      <c r="D62" t="s">
        <v>20</v>
      </c>
      <c r="E62" t="s">
        <v>13</v>
      </c>
      <c r="F62" s="1">
        <v>45737</v>
      </c>
      <c r="G62" s="1">
        <v>46032</v>
      </c>
      <c r="H62">
        <v>25</v>
      </c>
      <c r="I62">
        <v>6</v>
      </c>
      <c r="J62">
        <v>0</v>
      </c>
      <c r="K62" t="str">
        <f t="shared" si="0"/>
        <v>Mar-2025</v>
      </c>
      <c r="L62" s="1">
        <f t="shared" ca="1" si="1"/>
        <v>126</v>
      </c>
      <c r="M62" t="str">
        <f t="shared" si="2"/>
        <v>36-45</v>
      </c>
    </row>
    <row r="63" spans="1:13" x14ac:dyDescent="0.2">
      <c r="A63" t="s">
        <v>138</v>
      </c>
      <c r="B63" t="s">
        <v>139</v>
      </c>
      <c r="C63">
        <v>47</v>
      </c>
      <c r="D63" t="s">
        <v>12</v>
      </c>
      <c r="E63" t="s">
        <v>21</v>
      </c>
      <c r="F63" s="1">
        <v>45520</v>
      </c>
      <c r="G63" s="1">
        <v>46150</v>
      </c>
      <c r="H63">
        <v>66</v>
      </c>
      <c r="I63">
        <v>10</v>
      </c>
      <c r="J63">
        <v>0</v>
      </c>
      <c r="K63" t="str">
        <f t="shared" si="0"/>
        <v>Aug-2024</v>
      </c>
      <c r="L63" s="1">
        <f t="shared" ca="1" si="1"/>
        <v>8</v>
      </c>
      <c r="M63" t="str">
        <f t="shared" si="2"/>
        <v>46+</v>
      </c>
    </row>
    <row r="64" spans="1:13" x14ac:dyDescent="0.2">
      <c r="A64" t="s">
        <v>140</v>
      </c>
      <c r="B64" t="s">
        <v>141</v>
      </c>
      <c r="C64">
        <v>58</v>
      </c>
      <c r="D64" t="s">
        <v>16</v>
      </c>
      <c r="E64" t="s">
        <v>13</v>
      </c>
      <c r="F64" s="1">
        <v>45910</v>
      </c>
      <c r="G64" s="1">
        <v>46056</v>
      </c>
      <c r="H64">
        <v>57</v>
      </c>
      <c r="I64">
        <v>2</v>
      </c>
      <c r="J64">
        <v>1</v>
      </c>
      <c r="K64" t="str">
        <f t="shared" si="0"/>
        <v>Sep-2025</v>
      </c>
      <c r="L64" s="1">
        <f t="shared" ca="1" si="1"/>
        <v>102</v>
      </c>
      <c r="M64" t="str">
        <f t="shared" si="2"/>
        <v>46+</v>
      </c>
    </row>
    <row r="65" spans="1:13" x14ac:dyDescent="0.2">
      <c r="A65" t="s">
        <v>142</v>
      </c>
      <c r="B65" t="s">
        <v>143</v>
      </c>
      <c r="C65">
        <v>43</v>
      </c>
      <c r="D65" t="s">
        <v>16</v>
      </c>
      <c r="E65" t="s">
        <v>21</v>
      </c>
      <c r="F65" s="1">
        <v>45700</v>
      </c>
      <c r="G65" s="1">
        <v>46055</v>
      </c>
      <c r="H65">
        <v>77</v>
      </c>
      <c r="I65">
        <v>7</v>
      </c>
      <c r="J65">
        <v>1</v>
      </c>
      <c r="K65" t="str">
        <f t="shared" si="0"/>
        <v>Feb-2025</v>
      </c>
      <c r="L65" s="1">
        <f t="shared" ca="1" si="1"/>
        <v>103</v>
      </c>
      <c r="M65" t="str">
        <f t="shared" si="2"/>
        <v>36-45</v>
      </c>
    </row>
    <row r="66" spans="1:13" x14ac:dyDescent="0.2">
      <c r="A66" t="s">
        <v>144</v>
      </c>
      <c r="B66" t="s">
        <v>145</v>
      </c>
      <c r="C66">
        <v>43</v>
      </c>
      <c r="D66" t="s">
        <v>12</v>
      </c>
      <c r="E66" t="s">
        <v>17</v>
      </c>
      <c r="F66" s="1">
        <v>45622</v>
      </c>
      <c r="G66" s="1">
        <v>46082</v>
      </c>
      <c r="H66">
        <v>50</v>
      </c>
      <c r="I66">
        <v>6</v>
      </c>
      <c r="J66">
        <v>0</v>
      </c>
      <c r="K66" t="str">
        <f t="shared" si="0"/>
        <v>Nov-2024</v>
      </c>
      <c r="L66" s="1">
        <f t="shared" ca="1" si="1"/>
        <v>76</v>
      </c>
      <c r="M66" t="str">
        <f t="shared" si="2"/>
        <v>36-45</v>
      </c>
    </row>
    <row r="67" spans="1:13" x14ac:dyDescent="0.2">
      <c r="A67" t="s">
        <v>146</v>
      </c>
      <c r="B67" t="s">
        <v>147</v>
      </c>
      <c r="C67">
        <v>21</v>
      </c>
      <c r="D67" t="s">
        <v>12</v>
      </c>
      <c r="E67" t="s">
        <v>17</v>
      </c>
      <c r="F67" s="1">
        <v>45921</v>
      </c>
      <c r="G67" s="1">
        <v>46080</v>
      </c>
      <c r="H67">
        <v>38</v>
      </c>
      <c r="I67">
        <v>10</v>
      </c>
      <c r="J67">
        <v>1</v>
      </c>
      <c r="K67" t="str">
        <f t="shared" ref="K67:K130" si="3">TEXT(F67,"MMM-YYYY")</f>
        <v>Sep-2025</v>
      </c>
      <c r="L67" s="1">
        <f t="shared" ref="L67:L130" ca="1" si="4">TODAY()-G67</f>
        <v>78</v>
      </c>
      <c r="M67" t="str">
        <f t="shared" ref="M67:M130" si="5">IF(C67&lt;=25,"18-25",IF(C67&lt;=35,"26-35",IF(C67&lt;=45,"36-45","46+")))</f>
        <v>18-25</v>
      </c>
    </row>
    <row r="68" spans="1:13" x14ac:dyDescent="0.2">
      <c r="A68" t="s">
        <v>148</v>
      </c>
      <c r="B68" t="s">
        <v>149</v>
      </c>
      <c r="C68">
        <v>56</v>
      </c>
      <c r="D68" t="s">
        <v>16</v>
      </c>
      <c r="E68" t="s">
        <v>17</v>
      </c>
      <c r="F68" s="1">
        <v>45840</v>
      </c>
      <c r="G68" s="1">
        <v>46124</v>
      </c>
      <c r="H68">
        <v>79</v>
      </c>
      <c r="I68">
        <v>4</v>
      </c>
      <c r="J68">
        <v>0</v>
      </c>
      <c r="K68" t="str">
        <f t="shared" si="3"/>
        <v>Jul-2025</v>
      </c>
      <c r="L68" s="1">
        <f t="shared" ca="1" si="4"/>
        <v>34</v>
      </c>
      <c r="M68" t="str">
        <f t="shared" si="5"/>
        <v>46+</v>
      </c>
    </row>
    <row r="69" spans="1:13" x14ac:dyDescent="0.2">
      <c r="A69" t="s">
        <v>150</v>
      </c>
      <c r="B69" t="s">
        <v>151</v>
      </c>
      <c r="C69">
        <v>35</v>
      </c>
      <c r="D69" t="s">
        <v>16</v>
      </c>
      <c r="E69" t="s">
        <v>17</v>
      </c>
      <c r="F69" s="1">
        <v>45935</v>
      </c>
      <c r="G69" s="1">
        <v>46083</v>
      </c>
      <c r="H69">
        <v>80</v>
      </c>
      <c r="I69">
        <v>9</v>
      </c>
      <c r="J69">
        <v>0</v>
      </c>
      <c r="K69" t="str">
        <f t="shared" si="3"/>
        <v>Oct-2025</v>
      </c>
      <c r="L69" s="1">
        <f t="shared" ca="1" si="4"/>
        <v>75</v>
      </c>
      <c r="M69" t="str">
        <f t="shared" si="5"/>
        <v>26-35</v>
      </c>
    </row>
    <row r="70" spans="1:13" x14ac:dyDescent="0.2">
      <c r="A70" t="s">
        <v>152</v>
      </c>
      <c r="B70" t="s">
        <v>153</v>
      </c>
      <c r="C70">
        <v>20</v>
      </c>
      <c r="D70" t="s">
        <v>20</v>
      </c>
      <c r="E70" t="s">
        <v>21</v>
      </c>
      <c r="F70" s="1">
        <v>45579</v>
      </c>
      <c r="G70" s="1">
        <v>46102</v>
      </c>
      <c r="H70">
        <v>58</v>
      </c>
      <c r="I70">
        <v>8</v>
      </c>
      <c r="J70">
        <v>0</v>
      </c>
      <c r="K70" t="str">
        <f t="shared" si="3"/>
        <v>Oct-2024</v>
      </c>
      <c r="L70" s="1">
        <f t="shared" ca="1" si="4"/>
        <v>56</v>
      </c>
      <c r="M70" t="str">
        <f t="shared" si="5"/>
        <v>18-25</v>
      </c>
    </row>
    <row r="71" spans="1:13" x14ac:dyDescent="0.2">
      <c r="A71" t="s">
        <v>154</v>
      </c>
      <c r="B71" t="s">
        <v>155</v>
      </c>
      <c r="C71">
        <v>57</v>
      </c>
      <c r="D71" t="s">
        <v>20</v>
      </c>
      <c r="E71" t="s">
        <v>17</v>
      </c>
      <c r="F71" s="1">
        <v>45909</v>
      </c>
      <c r="G71" s="1">
        <v>46031</v>
      </c>
      <c r="H71">
        <v>2</v>
      </c>
      <c r="I71">
        <v>9</v>
      </c>
      <c r="J71">
        <v>1</v>
      </c>
      <c r="K71" t="str">
        <f t="shared" si="3"/>
        <v>Sep-2025</v>
      </c>
      <c r="L71" s="1">
        <f t="shared" ca="1" si="4"/>
        <v>127</v>
      </c>
      <c r="M71" t="str">
        <f t="shared" si="5"/>
        <v>46+</v>
      </c>
    </row>
    <row r="72" spans="1:13" x14ac:dyDescent="0.2">
      <c r="A72" t="s">
        <v>156</v>
      </c>
      <c r="B72" t="s">
        <v>157</v>
      </c>
      <c r="C72">
        <v>57</v>
      </c>
      <c r="D72" t="s">
        <v>12</v>
      </c>
      <c r="E72" t="s">
        <v>21</v>
      </c>
      <c r="F72" s="1">
        <v>45897</v>
      </c>
      <c r="G72" s="1">
        <v>46069</v>
      </c>
      <c r="H72">
        <v>73</v>
      </c>
      <c r="I72">
        <v>6</v>
      </c>
      <c r="J72">
        <v>1</v>
      </c>
      <c r="K72" t="str">
        <f t="shared" si="3"/>
        <v>Aug-2025</v>
      </c>
      <c r="L72" s="1">
        <f t="shared" ca="1" si="4"/>
        <v>89</v>
      </c>
      <c r="M72" t="str">
        <f t="shared" si="5"/>
        <v>46+</v>
      </c>
    </row>
    <row r="73" spans="1:13" x14ac:dyDescent="0.2">
      <c r="A73" t="s">
        <v>158</v>
      </c>
      <c r="B73" t="s">
        <v>159</v>
      </c>
      <c r="C73">
        <v>51</v>
      </c>
      <c r="D73" t="s">
        <v>20</v>
      </c>
      <c r="E73" t="s">
        <v>17</v>
      </c>
      <c r="F73" s="1">
        <v>45555</v>
      </c>
      <c r="G73" s="1">
        <v>46096</v>
      </c>
      <c r="H73">
        <v>6</v>
      </c>
      <c r="I73">
        <v>9</v>
      </c>
      <c r="J73">
        <v>0</v>
      </c>
      <c r="K73" t="str">
        <f t="shared" si="3"/>
        <v>Sep-2024</v>
      </c>
      <c r="L73" s="1">
        <f t="shared" ca="1" si="4"/>
        <v>62</v>
      </c>
      <c r="M73" t="str">
        <f t="shared" si="5"/>
        <v>46+</v>
      </c>
    </row>
    <row r="74" spans="1:13" x14ac:dyDescent="0.2">
      <c r="A74" t="s">
        <v>160</v>
      </c>
      <c r="B74" t="s">
        <v>161</v>
      </c>
      <c r="C74">
        <v>35</v>
      </c>
      <c r="D74" t="s">
        <v>20</v>
      </c>
      <c r="E74" t="s">
        <v>13</v>
      </c>
      <c r="F74" s="1">
        <v>45970</v>
      </c>
      <c r="G74" s="1">
        <v>46038</v>
      </c>
      <c r="H74">
        <v>27</v>
      </c>
      <c r="I74">
        <v>6</v>
      </c>
      <c r="J74">
        <v>0</v>
      </c>
      <c r="K74" t="str">
        <f t="shared" si="3"/>
        <v>Nov-2025</v>
      </c>
      <c r="L74" s="1">
        <f t="shared" ca="1" si="4"/>
        <v>120</v>
      </c>
      <c r="M74" t="str">
        <f t="shared" si="5"/>
        <v>26-35</v>
      </c>
    </row>
    <row r="75" spans="1:13" x14ac:dyDescent="0.2">
      <c r="A75" t="s">
        <v>162</v>
      </c>
      <c r="B75" t="s">
        <v>163</v>
      </c>
      <c r="C75">
        <v>41</v>
      </c>
      <c r="D75" t="s">
        <v>12</v>
      </c>
      <c r="E75" t="s">
        <v>21</v>
      </c>
      <c r="F75" s="1">
        <v>45278</v>
      </c>
      <c r="G75" s="1">
        <v>46143</v>
      </c>
      <c r="H75">
        <v>36</v>
      </c>
      <c r="I75">
        <v>9</v>
      </c>
      <c r="J75">
        <v>0</v>
      </c>
      <c r="K75" t="str">
        <f t="shared" si="3"/>
        <v>Dec-2023</v>
      </c>
      <c r="L75" s="1">
        <f t="shared" ca="1" si="4"/>
        <v>15</v>
      </c>
      <c r="M75" t="str">
        <f t="shared" si="5"/>
        <v>36-45</v>
      </c>
    </row>
    <row r="76" spans="1:13" x14ac:dyDescent="0.2">
      <c r="A76" t="s">
        <v>164</v>
      </c>
      <c r="B76" t="s">
        <v>165</v>
      </c>
      <c r="C76">
        <v>21</v>
      </c>
      <c r="D76" t="s">
        <v>20</v>
      </c>
      <c r="E76" t="s">
        <v>17</v>
      </c>
      <c r="F76" s="1">
        <v>45769</v>
      </c>
      <c r="G76" s="1">
        <v>46032</v>
      </c>
      <c r="H76">
        <v>76</v>
      </c>
      <c r="I76">
        <v>6</v>
      </c>
      <c r="J76">
        <v>0</v>
      </c>
      <c r="K76" t="str">
        <f t="shared" si="3"/>
        <v>Apr-2025</v>
      </c>
      <c r="L76" s="1">
        <f t="shared" ca="1" si="4"/>
        <v>126</v>
      </c>
      <c r="M76" t="str">
        <f t="shared" si="5"/>
        <v>18-25</v>
      </c>
    </row>
    <row r="77" spans="1:13" x14ac:dyDescent="0.2">
      <c r="A77" t="s">
        <v>166</v>
      </c>
      <c r="B77" t="s">
        <v>167</v>
      </c>
      <c r="C77">
        <v>24</v>
      </c>
      <c r="D77" t="s">
        <v>12</v>
      </c>
      <c r="E77" t="s">
        <v>21</v>
      </c>
      <c r="F77" s="1">
        <v>45923</v>
      </c>
      <c r="G77" s="1">
        <v>46126</v>
      </c>
      <c r="H77">
        <v>34</v>
      </c>
      <c r="I77">
        <v>8</v>
      </c>
      <c r="J77">
        <v>0</v>
      </c>
      <c r="K77" t="str">
        <f t="shared" si="3"/>
        <v>Sep-2025</v>
      </c>
      <c r="L77" s="1">
        <f t="shared" ca="1" si="4"/>
        <v>32</v>
      </c>
      <c r="M77" t="str">
        <f t="shared" si="5"/>
        <v>18-25</v>
      </c>
    </row>
    <row r="78" spans="1:13" x14ac:dyDescent="0.2">
      <c r="A78" t="s">
        <v>168</v>
      </c>
      <c r="B78" t="s">
        <v>169</v>
      </c>
      <c r="C78">
        <v>47</v>
      </c>
      <c r="D78" t="s">
        <v>16</v>
      </c>
      <c r="E78" t="s">
        <v>21</v>
      </c>
      <c r="F78" s="1">
        <v>45664</v>
      </c>
      <c r="G78" s="1">
        <v>46126</v>
      </c>
      <c r="H78">
        <v>20</v>
      </c>
      <c r="I78">
        <v>6</v>
      </c>
      <c r="J78">
        <v>0</v>
      </c>
      <c r="K78" t="str">
        <f t="shared" si="3"/>
        <v>Jan-2025</v>
      </c>
      <c r="L78" s="1">
        <f t="shared" ca="1" si="4"/>
        <v>32</v>
      </c>
      <c r="M78" t="str">
        <f t="shared" si="5"/>
        <v>46+</v>
      </c>
    </row>
    <row r="79" spans="1:13" x14ac:dyDescent="0.2">
      <c r="A79" t="s">
        <v>170</v>
      </c>
      <c r="B79" t="s">
        <v>171</v>
      </c>
      <c r="C79">
        <v>41</v>
      </c>
      <c r="D79" t="s">
        <v>20</v>
      </c>
      <c r="E79" t="s">
        <v>17</v>
      </c>
      <c r="F79" s="1">
        <v>45817</v>
      </c>
      <c r="G79" s="1">
        <v>46124</v>
      </c>
      <c r="H79">
        <v>43</v>
      </c>
      <c r="I79">
        <v>8</v>
      </c>
      <c r="J79">
        <v>0</v>
      </c>
      <c r="K79" t="str">
        <f t="shared" si="3"/>
        <v>Jun-2025</v>
      </c>
      <c r="L79" s="1">
        <f t="shared" ca="1" si="4"/>
        <v>34</v>
      </c>
      <c r="M79" t="str">
        <f t="shared" si="5"/>
        <v>36-45</v>
      </c>
    </row>
    <row r="80" spans="1:13" x14ac:dyDescent="0.2">
      <c r="A80" t="s">
        <v>172</v>
      </c>
      <c r="B80" t="s">
        <v>173</v>
      </c>
      <c r="C80">
        <v>32</v>
      </c>
      <c r="D80" t="s">
        <v>20</v>
      </c>
      <c r="E80" t="s">
        <v>17</v>
      </c>
      <c r="F80" s="1">
        <v>45745</v>
      </c>
      <c r="G80" s="1">
        <v>46056</v>
      </c>
      <c r="H80">
        <v>7</v>
      </c>
      <c r="I80">
        <v>6</v>
      </c>
      <c r="J80">
        <v>1</v>
      </c>
      <c r="K80" t="str">
        <f t="shared" si="3"/>
        <v>Mar-2025</v>
      </c>
      <c r="L80" s="1">
        <f t="shared" ca="1" si="4"/>
        <v>102</v>
      </c>
      <c r="M80" t="str">
        <f t="shared" si="5"/>
        <v>26-35</v>
      </c>
    </row>
    <row r="81" spans="1:13" x14ac:dyDescent="0.2">
      <c r="A81" t="s">
        <v>174</v>
      </c>
      <c r="B81" t="s">
        <v>175</v>
      </c>
      <c r="C81">
        <v>51</v>
      </c>
      <c r="D81" t="s">
        <v>12</v>
      </c>
      <c r="E81" t="s">
        <v>21</v>
      </c>
      <c r="F81" s="1">
        <v>45530</v>
      </c>
      <c r="G81" s="1">
        <v>46072</v>
      </c>
      <c r="H81">
        <v>55</v>
      </c>
      <c r="I81">
        <v>5</v>
      </c>
      <c r="J81">
        <v>0</v>
      </c>
      <c r="K81" t="str">
        <f t="shared" si="3"/>
        <v>Aug-2024</v>
      </c>
      <c r="L81" s="1">
        <f t="shared" ca="1" si="4"/>
        <v>86</v>
      </c>
      <c r="M81" t="str">
        <f t="shared" si="5"/>
        <v>46+</v>
      </c>
    </row>
    <row r="82" spans="1:13" x14ac:dyDescent="0.2">
      <c r="A82" t="s">
        <v>176</v>
      </c>
      <c r="B82" t="s">
        <v>177</v>
      </c>
      <c r="C82">
        <v>22</v>
      </c>
      <c r="D82" t="s">
        <v>12</v>
      </c>
      <c r="E82" t="s">
        <v>21</v>
      </c>
      <c r="F82" s="1">
        <v>45647</v>
      </c>
      <c r="G82" s="1">
        <v>46066</v>
      </c>
      <c r="H82">
        <v>72</v>
      </c>
      <c r="I82">
        <v>6</v>
      </c>
      <c r="J82">
        <v>1</v>
      </c>
      <c r="K82" t="str">
        <f t="shared" si="3"/>
        <v>Dec-2024</v>
      </c>
      <c r="L82" s="1">
        <f t="shared" ca="1" si="4"/>
        <v>92</v>
      </c>
      <c r="M82" t="str">
        <f t="shared" si="5"/>
        <v>18-25</v>
      </c>
    </row>
    <row r="83" spans="1:13" x14ac:dyDescent="0.2">
      <c r="A83" t="s">
        <v>178</v>
      </c>
      <c r="B83" t="s">
        <v>179</v>
      </c>
      <c r="C83">
        <v>59</v>
      </c>
      <c r="D83" t="s">
        <v>12</v>
      </c>
      <c r="E83" t="s">
        <v>21</v>
      </c>
      <c r="F83" s="1">
        <v>45878</v>
      </c>
      <c r="G83" s="1">
        <v>46048</v>
      </c>
      <c r="H83">
        <v>35</v>
      </c>
      <c r="I83">
        <v>3</v>
      </c>
      <c r="J83">
        <v>1</v>
      </c>
      <c r="K83" t="str">
        <f t="shared" si="3"/>
        <v>Aug-2025</v>
      </c>
      <c r="L83" s="1">
        <f t="shared" ca="1" si="4"/>
        <v>110</v>
      </c>
      <c r="M83" t="str">
        <f t="shared" si="5"/>
        <v>46+</v>
      </c>
    </row>
    <row r="84" spans="1:13" x14ac:dyDescent="0.2">
      <c r="A84" t="s">
        <v>180</v>
      </c>
      <c r="B84" t="s">
        <v>181</v>
      </c>
      <c r="C84">
        <v>43</v>
      </c>
      <c r="D84" t="s">
        <v>16</v>
      </c>
      <c r="E84" t="s">
        <v>21</v>
      </c>
      <c r="F84" s="1">
        <v>46021</v>
      </c>
      <c r="G84" s="1">
        <v>46090</v>
      </c>
      <c r="H84">
        <v>65</v>
      </c>
      <c r="I84">
        <v>4</v>
      </c>
      <c r="J84">
        <v>0</v>
      </c>
      <c r="K84" t="str">
        <f t="shared" si="3"/>
        <v>Dec-2025</v>
      </c>
      <c r="L84" s="1">
        <f t="shared" ca="1" si="4"/>
        <v>68</v>
      </c>
      <c r="M84" t="str">
        <f t="shared" si="5"/>
        <v>36-45</v>
      </c>
    </row>
    <row r="85" spans="1:13" x14ac:dyDescent="0.2">
      <c r="A85" t="s">
        <v>182</v>
      </c>
      <c r="B85" t="s">
        <v>183</v>
      </c>
      <c r="C85">
        <v>51</v>
      </c>
      <c r="D85" t="s">
        <v>20</v>
      </c>
      <c r="E85" t="s">
        <v>21</v>
      </c>
      <c r="F85" s="1">
        <v>45338</v>
      </c>
      <c r="G85" s="1">
        <v>46090</v>
      </c>
      <c r="H85">
        <v>70</v>
      </c>
      <c r="I85">
        <v>4</v>
      </c>
      <c r="J85">
        <v>1</v>
      </c>
      <c r="K85" t="str">
        <f t="shared" si="3"/>
        <v>Feb-2024</v>
      </c>
      <c r="L85" s="1">
        <f t="shared" ca="1" si="4"/>
        <v>68</v>
      </c>
      <c r="M85" t="str">
        <f t="shared" si="5"/>
        <v>46+</v>
      </c>
    </row>
    <row r="86" spans="1:13" x14ac:dyDescent="0.2">
      <c r="A86" t="s">
        <v>184</v>
      </c>
      <c r="B86" t="s">
        <v>185</v>
      </c>
      <c r="C86">
        <v>40</v>
      </c>
      <c r="D86" t="s">
        <v>20</v>
      </c>
      <c r="E86" t="s">
        <v>13</v>
      </c>
      <c r="F86" s="1">
        <v>45886</v>
      </c>
      <c r="G86" s="1">
        <v>46044</v>
      </c>
      <c r="H86">
        <v>43</v>
      </c>
      <c r="I86">
        <v>8</v>
      </c>
      <c r="J86">
        <v>0</v>
      </c>
      <c r="K86" t="str">
        <f t="shared" si="3"/>
        <v>Aug-2025</v>
      </c>
      <c r="L86" s="1">
        <f t="shared" ca="1" si="4"/>
        <v>114</v>
      </c>
      <c r="M86" t="str">
        <f t="shared" si="5"/>
        <v>36-45</v>
      </c>
    </row>
    <row r="87" spans="1:13" x14ac:dyDescent="0.2">
      <c r="A87" t="s">
        <v>186</v>
      </c>
      <c r="B87" t="s">
        <v>187</v>
      </c>
      <c r="C87">
        <v>37</v>
      </c>
      <c r="D87" t="s">
        <v>20</v>
      </c>
      <c r="E87" t="s">
        <v>21</v>
      </c>
      <c r="F87" s="1">
        <v>45727</v>
      </c>
      <c r="G87" s="1">
        <v>46123</v>
      </c>
      <c r="H87">
        <v>6</v>
      </c>
      <c r="I87">
        <v>4</v>
      </c>
      <c r="J87">
        <v>1</v>
      </c>
      <c r="K87" t="str">
        <f t="shared" si="3"/>
        <v>Mar-2025</v>
      </c>
      <c r="L87" s="1">
        <f t="shared" ca="1" si="4"/>
        <v>35</v>
      </c>
      <c r="M87" t="str">
        <f t="shared" si="5"/>
        <v>36-45</v>
      </c>
    </row>
    <row r="88" spans="1:13" x14ac:dyDescent="0.2">
      <c r="A88" t="s">
        <v>188</v>
      </c>
      <c r="B88" t="s">
        <v>189</v>
      </c>
      <c r="C88">
        <v>36</v>
      </c>
      <c r="D88" t="s">
        <v>12</v>
      </c>
      <c r="E88" t="s">
        <v>13</v>
      </c>
      <c r="F88" s="1">
        <v>45757</v>
      </c>
      <c r="G88" s="1">
        <v>46076</v>
      </c>
      <c r="H88">
        <v>11</v>
      </c>
      <c r="I88">
        <v>4</v>
      </c>
      <c r="J88">
        <v>1</v>
      </c>
      <c r="K88" t="str">
        <f t="shared" si="3"/>
        <v>Apr-2025</v>
      </c>
      <c r="L88" s="1">
        <f t="shared" ca="1" si="4"/>
        <v>82</v>
      </c>
      <c r="M88" t="str">
        <f t="shared" si="5"/>
        <v>36-45</v>
      </c>
    </row>
    <row r="89" spans="1:13" x14ac:dyDescent="0.2">
      <c r="A89" t="s">
        <v>190</v>
      </c>
      <c r="B89" t="s">
        <v>191</v>
      </c>
      <c r="C89">
        <v>29</v>
      </c>
      <c r="D89" t="s">
        <v>12</v>
      </c>
      <c r="E89" t="s">
        <v>21</v>
      </c>
      <c r="F89" s="1">
        <v>46062</v>
      </c>
      <c r="G89" s="1">
        <v>46107</v>
      </c>
      <c r="H89">
        <v>54</v>
      </c>
      <c r="I89">
        <v>8</v>
      </c>
      <c r="J89">
        <v>0</v>
      </c>
      <c r="K89" t="str">
        <f t="shared" si="3"/>
        <v>Feb-2026</v>
      </c>
      <c r="L89" s="1">
        <f t="shared" ca="1" si="4"/>
        <v>51</v>
      </c>
      <c r="M89" t="str">
        <f t="shared" si="5"/>
        <v>26-35</v>
      </c>
    </row>
    <row r="90" spans="1:13" x14ac:dyDescent="0.2">
      <c r="A90" t="s">
        <v>192</v>
      </c>
      <c r="B90" t="s">
        <v>193</v>
      </c>
      <c r="C90">
        <v>30</v>
      </c>
      <c r="D90" t="s">
        <v>16</v>
      </c>
      <c r="E90" t="s">
        <v>17</v>
      </c>
      <c r="F90" s="1">
        <v>45725</v>
      </c>
      <c r="G90" s="1">
        <v>46149</v>
      </c>
      <c r="H90">
        <v>9</v>
      </c>
      <c r="I90">
        <v>7</v>
      </c>
      <c r="J90">
        <v>1</v>
      </c>
      <c r="K90" t="str">
        <f t="shared" si="3"/>
        <v>Mar-2025</v>
      </c>
      <c r="L90" s="1">
        <f t="shared" ca="1" si="4"/>
        <v>9</v>
      </c>
      <c r="M90" t="str">
        <f t="shared" si="5"/>
        <v>26-35</v>
      </c>
    </row>
    <row r="91" spans="1:13" x14ac:dyDescent="0.2">
      <c r="A91" t="s">
        <v>194</v>
      </c>
      <c r="B91" t="s">
        <v>195</v>
      </c>
      <c r="C91">
        <v>58</v>
      </c>
      <c r="D91" t="s">
        <v>16</v>
      </c>
      <c r="E91" t="s">
        <v>21</v>
      </c>
      <c r="F91" s="1">
        <v>45254</v>
      </c>
      <c r="G91" s="1">
        <v>46146</v>
      </c>
      <c r="H91">
        <v>60</v>
      </c>
      <c r="I91">
        <v>3</v>
      </c>
      <c r="J91">
        <v>0</v>
      </c>
      <c r="K91" t="str">
        <f t="shared" si="3"/>
        <v>Nov-2023</v>
      </c>
      <c r="L91" s="1">
        <f t="shared" ca="1" si="4"/>
        <v>12</v>
      </c>
      <c r="M91" t="str">
        <f t="shared" si="5"/>
        <v>46+</v>
      </c>
    </row>
    <row r="92" spans="1:13" x14ac:dyDescent="0.2">
      <c r="A92" t="s">
        <v>196</v>
      </c>
      <c r="B92" t="s">
        <v>197</v>
      </c>
      <c r="C92">
        <v>41</v>
      </c>
      <c r="D92" t="s">
        <v>20</v>
      </c>
      <c r="E92" t="s">
        <v>21</v>
      </c>
      <c r="F92" s="1">
        <v>45687</v>
      </c>
      <c r="G92" s="1">
        <v>46107</v>
      </c>
      <c r="H92">
        <v>47</v>
      </c>
      <c r="I92">
        <v>8</v>
      </c>
      <c r="J92">
        <v>0</v>
      </c>
      <c r="K92" t="str">
        <f t="shared" si="3"/>
        <v>Jan-2025</v>
      </c>
      <c r="L92" s="1">
        <f t="shared" ca="1" si="4"/>
        <v>51</v>
      </c>
      <c r="M92" t="str">
        <f t="shared" si="5"/>
        <v>36-45</v>
      </c>
    </row>
    <row r="93" spans="1:13" x14ac:dyDescent="0.2">
      <c r="A93" t="s">
        <v>198</v>
      </c>
      <c r="B93" t="s">
        <v>199</v>
      </c>
      <c r="C93">
        <v>20</v>
      </c>
      <c r="D93" t="s">
        <v>20</v>
      </c>
      <c r="E93" t="s">
        <v>17</v>
      </c>
      <c r="F93" s="1">
        <v>46088</v>
      </c>
      <c r="G93" s="1">
        <v>46032</v>
      </c>
      <c r="H93">
        <v>28</v>
      </c>
      <c r="I93">
        <v>4</v>
      </c>
      <c r="J93">
        <v>1</v>
      </c>
      <c r="K93" t="str">
        <f t="shared" si="3"/>
        <v>Mar-2026</v>
      </c>
      <c r="L93" s="1">
        <f t="shared" ca="1" si="4"/>
        <v>126</v>
      </c>
      <c r="M93" t="str">
        <f t="shared" si="5"/>
        <v>18-25</v>
      </c>
    </row>
    <row r="94" spans="1:13" x14ac:dyDescent="0.2">
      <c r="A94" t="s">
        <v>200</v>
      </c>
      <c r="B94" t="s">
        <v>201</v>
      </c>
      <c r="C94">
        <v>53</v>
      </c>
      <c r="D94" t="s">
        <v>12</v>
      </c>
      <c r="E94" t="s">
        <v>21</v>
      </c>
      <c r="F94" s="1">
        <v>45206</v>
      </c>
      <c r="G94" s="1">
        <v>46045</v>
      </c>
      <c r="H94">
        <v>35</v>
      </c>
      <c r="I94">
        <v>5</v>
      </c>
      <c r="J94">
        <v>0</v>
      </c>
      <c r="K94" t="str">
        <f t="shared" si="3"/>
        <v>Oct-2023</v>
      </c>
      <c r="L94" s="1">
        <f t="shared" ca="1" si="4"/>
        <v>113</v>
      </c>
      <c r="M94" t="str">
        <f t="shared" si="5"/>
        <v>46+</v>
      </c>
    </row>
    <row r="95" spans="1:13" x14ac:dyDescent="0.2">
      <c r="A95" t="s">
        <v>202</v>
      </c>
      <c r="B95" t="s">
        <v>203</v>
      </c>
      <c r="C95">
        <v>47</v>
      </c>
      <c r="D95" t="s">
        <v>12</v>
      </c>
      <c r="E95" t="s">
        <v>17</v>
      </c>
      <c r="F95" s="1">
        <v>45175</v>
      </c>
      <c r="G95" s="1">
        <v>46073</v>
      </c>
      <c r="H95">
        <v>26</v>
      </c>
      <c r="I95">
        <v>6</v>
      </c>
      <c r="J95">
        <v>0</v>
      </c>
      <c r="K95" t="str">
        <f t="shared" si="3"/>
        <v>Sep-2023</v>
      </c>
      <c r="L95" s="1">
        <f t="shared" ca="1" si="4"/>
        <v>85</v>
      </c>
      <c r="M95" t="str">
        <f t="shared" si="5"/>
        <v>46+</v>
      </c>
    </row>
    <row r="96" spans="1:13" x14ac:dyDescent="0.2">
      <c r="A96" t="s">
        <v>204</v>
      </c>
      <c r="B96" t="s">
        <v>205</v>
      </c>
      <c r="C96">
        <v>32</v>
      </c>
      <c r="D96" t="s">
        <v>12</v>
      </c>
      <c r="E96" t="s">
        <v>21</v>
      </c>
      <c r="F96" s="1">
        <v>46042</v>
      </c>
      <c r="G96" s="1">
        <v>46052</v>
      </c>
      <c r="H96">
        <v>55</v>
      </c>
      <c r="I96">
        <v>1</v>
      </c>
      <c r="J96">
        <v>1</v>
      </c>
      <c r="K96" t="str">
        <f t="shared" si="3"/>
        <v>Jan-2026</v>
      </c>
      <c r="L96" s="1">
        <f t="shared" ca="1" si="4"/>
        <v>106</v>
      </c>
      <c r="M96" t="str">
        <f t="shared" si="5"/>
        <v>26-35</v>
      </c>
    </row>
    <row r="97" spans="1:13" x14ac:dyDescent="0.2">
      <c r="A97" t="s">
        <v>206</v>
      </c>
      <c r="B97" t="s">
        <v>207</v>
      </c>
      <c r="C97">
        <v>30</v>
      </c>
      <c r="D97" t="s">
        <v>20</v>
      </c>
      <c r="E97" t="s">
        <v>17</v>
      </c>
      <c r="F97" s="1">
        <v>46111</v>
      </c>
      <c r="G97" s="1">
        <v>46067</v>
      </c>
      <c r="H97">
        <v>27</v>
      </c>
      <c r="I97">
        <v>6</v>
      </c>
      <c r="J97">
        <v>0</v>
      </c>
      <c r="K97" t="str">
        <f t="shared" si="3"/>
        <v>Mar-2026</v>
      </c>
      <c r="L97" s="1">
        <f t="shared" ca="1" si="4"/>
        <v>91</v>
      </c>
      <c r="M97" t="str">
        <f t="shared" si="5"/>
        <v>26-35</v>
      </c>
    </row>
    <row r="98" spans="1:13" x14ac:dyDescent="0.2">
      <c r="A98" t="s">
        <v>208</v>
      </c>
      <c r="B98" t="s">
        <v>209</v>
      </c>
      <c r="C98">
        <v>31</v>
      </c>
      <c r="D98" t="s">
        <v>12</v>
      </c>
      <c r="E98" t="s">
        <v>21</v>
      </c>
      <c r="F98" s="1">
        <v>45507</v>
      </c>
      <c r="G98" s="1">
        <v>46123</v>
      </c>
      <c r="H98">
        <v>18</v>
      </c>
      <c r="I98">
        <v>4</v>
      </c>
      <c r="J98">
        <v>0</v>
      </c>
      <c r="K98" t="str">
        <f t="shared" si="3"/>
        <v>Aug-2024</v>
      </c>
      <c r="L98" s="1">
        <f t="shared" ca="1" si="4"/>
        <v>35</v>
      </c>
      <c r="M98" t="str">
        <f t="shared" si="5"/>
        <v>26-35</v>
      </c>
    </row>
    <row r="99" spans="1:13" x14ac:dyDescent="0.2">
      <c r="A99" t="s">
        <v>210</v>
      </c>
      <c r="B99" t="s">
        <v>211</v>
      </c>
      <c r="C99">
        <v>44</v>
      </c>
      <c r="D99" t="s">
        <v>12</v>
      </c>
      <c r="E99" t="s">
        <v>21</v>
      </c>
      <c r="F99" s="1">
        <v>45497</v>
      </c>
      <c r="G99" s="1">
        <v>46039</v>
      </c>
      <c r="H99">
        <v>53</v>
      </c>
      <c r="I99">
        <v>5</v>
      </c>
      <c r="J99">
        <v>1</v>
      </c>
      <c r="K99" t="str">
        <f t="shared" si="3"/>
        <v>Jul-2024</v>
      </c>
      <c r="L99" s="1">
        <f t="shared" ca="1" si="4"/>
        <v>119</v>
      </c>
      <c r="M99" t="str">
        <f t="shared" si="5"/>
        <v>36-45</v>
      </c>
    </row>
    <row r="100" spans="1:13" x14ac:dyDescent="0.2">
      <c r="A100" t="s">
        <v>212</v>
      </c>
      <c r="B100" t="s">
        <v>213</v>
      </c>
      <c r="C100">
        <v>38</v>
      </c>
      <c r="D100" t="s">
        <v>16</v>
      </c>
      <c r="E100" t="s">
        <v>21</v>
      </c>
      <c r="F100" s="1">
        <v>45509</v>
      </c>
      <c r="G100" s="1">
        <v>46046</v>
      </c>
      <c r="H100">
        <v>72</v>
      </c>
      <c r="I100">
        <v>9</v>
      </c>
      <c r="J100">
        <v>0</v>
      </c>
      <c r="K100" t="str">
        <f t="shared" si="3"/>
        <v>Aug-2024</v>
      </c>
      <c r="L100" s="1">
        <f t="shared" ca="1" si="4"/>
        <v>112</v>
      </c>
      <c r="M100" t="str">
        <f t="shared" si="5"/>
        <v>36-45</v>
      </c>
    </row>
    <row r="101" spans="1:13" x14ac:dyDescent="0.2">
      <c r="A101" t="s">
        <v>214</v>
      </c>
      <c r="B101" t="s">
        <v>215</v>
      </c>
      <c r="C101">
        <v>30</v>
      </c>
      <c r="D101" t="s">
        <v>12</v>
      </c>
      <c r="E101" t="s">
        <v>21</v>
      </c>
      <c r="F101" s="1">
        <v>45230</v>
      </c>
      <c r="G101" s="1">
        <v>46078</v>
      </c>
      <c r="H101">
        <v>46</v>
      </c>
      <c r="I101">
        <v>1</v>
      </c>
      <c r="J101">
        <v>1</v>
      </c>
      <c r="K101" t="str">
        <f t="shared" si="3"/>
        <v>Oct-2023</v>
      </c>
      <c r="L101" s="1">
        <f t="shared" ca="1" si="4"/>
        <v>80</v>
      </c>
      <c r="M101" t="str">
        <f t="shared" si="5"/>
        <v>26-35</v>
      </c>
    </row>
    <row r="102" spans="1:13" x14ac:dyDescent="0.2">
      <c r="A102" t="s">
        <v>216</v>
      </c>
      <c r="B102" t="s">
        <v>217</v>
      </c>
      <c r="C102">
        <v>23</v>
      </c>
      <c r="D102" t="s">
        <v>12</v>
      </c>
      <c r="E102" t="s">
        <v>17</v>
      </c>
      <c r="F102" s="1">
        <v>45634</v>
      </c>
      <c r="G102" s="1">
        <v>46034</v>
      </c>
      <c r="H102">
        <v>30</v>
      </c>
      <c r="I102">
        <v>9</v>
      </c>
      <c r="J102">
        <v>0</v>
      </c>
      <c r="K102" t="str">
        <f t="shared" si="3"/>
        <v>Dec-2024</v>
      </c>
      <c r="L102" s="1">
        <f t="shared" ca="1" si="4"/>
        <v>124</v>
      </c>
      <c r="M102" t="str">
        <f t="shared" si="5"/>
        <v>18-25</v>
      </c>
    </row>
    <row r="103" spans="1:13" x14ac:dyDescent="0.2">
      <c r="A103" t="s">
        <v>218</v>
      </c>
      <c r="B103" t="s">
        <v>219</v>
      </c>
      <c r="C103">
        <v>27</v>
      </c>
      <c r="D103" t="s">
        <v>20</v>
      </c>
      <c r="E103" t="s">
        <v>21</v>
      </c>
      <c r="F103" s="1">
        <v>45408</v>
      </c>
      <c r="G103" s="1">
        <v>46094</v>
      </c>
      <c r="H103">
        <v>43</v>
      </c>
      <c r="I103">
        <v>8</v>
      </c>
      <c r="J103">
        <v>0</v>
      </c>
      <c r="K103" t="str">
        <f t="shared" si="3"/>
        <v>Apr-2024</v>
      </c>
      <c r="L103" s="1">
        <f t="shared" ca="1" si="4"/>
        <v>64</v>
      </c>
      <c r="M103" t="str">
        <f t="shared" si="5"/>
        <v>26-35</v>
      </c>
    </row>
    <row r="104" spans="1:13" x14ac:dyDescent="0.2">
      <c r="A104" t="s">
        <v>220</v>
      </c>
      <c r="B104" t="s">
        <v>221</v>
      </c>
      <c r="C104">
        <v>58</v>
      </c>
      <c r="D104" t="s">
        <v>16</v>
      </c>
      <c r="E104" t="s">
        <v>17</v>
      </c>
      <c r="F104" s="1">
        <v>45940</v>
      </c>
      <c r="G104" s="1">
        <v>46138</v>
      </c>
      <c r="H104">
        <v>50</v>
      </c>
      <c r="I104">
        <v>6</v>
      </c>
      <c r="J104">
        <v>0</v>
      </c>
      <c r="K104" t="str">
        <f t="shared" si="3"/>
        <v>Oct-2025</v>
      </c>
      <c r="L104" s="1">
        <f t="shared" ca="1" si="4"/>
        <v>20</v>
      </c>
      <c r="M104" t="str">
        <f t="shared" si="5"/>
        <v>46+</v>
      </c>
    </row>
    <row r="105" spans="1:13" x14ac:dyDescent="0.2">
      <c r="A105" t="s">
        <v>222</v>
      </c>
      <c r="B105" t="s">
        <v>223</v>
      </c>
      <c r="C105">
        <v>35</v>
      </c>
      <c r="D105" t="s">
        <v>16</v>
      </c>
      <c r="E105" t="s">
        <v>13</v>
      </c>
      <c r="F105" s="1">
        <v>45651</v>
      </c>
      <c r="G105" s="1">
        <v>46075</v>
      </c>
      <c r="H105">
        <v>15</v>
      </c>
      <c r="I105">
        <v>3</v>
      </c>
      <c r="J105">
        <v>0</v>
      </c>
      <c r="K105" t="str">
        <f t="shared" si="3"/>
        <v>Dec-2024</v>
      </c>
      <c r="L105" s="1">
        <f t="shared" ca="1" si="4"/>
        <v>83</v>
      </c>
      <c r="M105" t="str">
        <f t="shared" si="5"/>
        <v>26-35</v>
      </c>
    </row>
    <row r="106" spans="1:13" x14ac:dyDescent="0.2">
      <c r="A106" t="s">
        <v>224</v>
      </c>
      <c r="B106" t="s">
        <v>225</v>
      </c>
      <c r="C106">
        <v>42</v>
      </c>
      <c r="D106" t="s">
        <v>16</v>
      </c>
      <c r="E106" t="s">
        <v>17</v>
      </c>
      <c r="F106" s="1">
        <v>45298</v>
      </c>
      <c r="G106" s="1">
        <v>46106</v>
      </c>
      <c r="H106">
        <v>24</v>
      </c>
      <c r="I106">
        <v>2</v>
      </c>
      <c r="J106">
        <v>0</v>
      </c>
      <c r="K106" t="str">
        <f t="shared" si="3"/>
        <v>Jan-2024</v>
      </c>
      <c r="L106" s="1">
        <f t="shared" ca="1" si="4"/>
        <v>52</v>
      </c>
      <c r="M106" t="str">
        <f t="shared" si="5"/>
        <v>36-45</v>
      </c>
    </row>
    <row r="107" spans="1:13" x14ac:dyDescent="0.2">
      <c r="A107" t="s">
        <v>226</v>
      </c>
      <c r="B107" t="s">
        <v>227</v>
      </c>
      <c r="C107">
        <v>51</v>
      </c>
      <c r="D107" t="s">
        <v>20</v>
      </c>
      <c r="E107" t="s">
        <v>17</v>
      </c>
      <c r="F107" s="1">
        <v>45615</v>
      </c>
      <c r="G107" s="1">
        <v>46037</v>
      </c>
      <c r="H107">
        <v>52</v>
      </c>
      <c r="I107">
        <v>9</v>
      </c>
      <c r="J107">
        <v>0</v>
      </c>
      <c r="K107" t="str">
        <f t="shared" si="3"/>
        <v>Nov-2024</v>
      </c>
      <c r="L107" s="1">
        <f t="shared" ca="1" si="4"/>
        <v>121</v>
      </c>
      <c r="M107" t="str">
        <f t="shared" si="5"/>
        <v>46+</v>
      </c>
    </row>
    <row r="108" spans="1:13" x14ac:dyDescent="0.2">
      <c r="A108" t="s">
        <v>228</v>
      </c>
      <c r="B108" t="s">
        <v>229</v>
      </c>
      <c r="C108">
        <v>21</v>
      </c>
      <c r="D108" t="s">
        <v>20</v>
      </c>
      <c r="E108" t="s">
        <v>21</v>
      </c>
      <c r="F108" s="1">
        <v>46085</v>
      </c>
      <c r="G108" s="1">
        <v>46089</v>
      </c>
      <c r="H108">
        <v>77</v>
      </c>
      <c r="I108">
        <v>10</v>
      </c>
      <c r="J108">
        <v>0</v>
      </c>
      <c r="K108" t="str">
        <f t="shared" si="3"/>
        <v>Mar-2026</v>
      </c>
      <c r="L108" s="1">
        <f t="shared" ca="1" si="4"/>
        <v>69</v>
      </c>
      <c r="M108" t="str">
        <f t="shared" si="5"/>
        <v>18-25</v>
      </c>
    </row>
    <row r="109" spans="1:13" x14ac:dyDescent="0.2">
      <c r="A109" t="s">
        <v>230</v>
      </c>
      <c r="B109" t="s">
        <v>231</v>
      </c>
      <c r="C109">
        <v>58</v>
      </c>
      <c r="D109" t="s">
        <v>20</v>
      </c>
      <c r="E109" t="s">
        <v>13</v>
      </c>
      <c r="F109" s="1">
        <v>45573</v>
      </c>
      <c r="G109" s="1">
        <v>46066</v>
      </c>
      <c r="H109">
        <v>45</v>
      </c>
      <c r="I109">
        <v>5</v>
      </c>
      <c r="J109">
        <v>0</v>
      </c>
      <c r="K109" t="str">
        <f t="shared" si="3"/>
        <v>Oct-2024</v>
      </c>
      <c r="L109" s="1">
        <f t="shared" ca="1" si="4"/>
        <v>92</v>
      </c>
      <c r="M109" t="str">
        <f t="shared" si="5"/>
        <v>46+</v>
      </c>
    </row>
    <row r="110" spans="1:13" x14ac:dyDescent="0.2">
      <c r="A110" t="s">
        <v>232</v>
      </c>
      <c r="B110" t="s">
        <v>233</v>
      </c>
      <c r="C110">
        <v>42</v>
      </c>
      <c r="D110" t="s">
        <v>20</v>
      </c>
      <c r="E110" t="s">
        <v>17</v>
      </c>
      <c r="F110" s="1">
        <v>45690</v>
      </c>
      <c r="G110" s="1">
        <v>46051</v>
      </c>
      <c r="H110">
        <v>75</v>
      </c>
      <c r="I110">
        <v>8</v>
      </c>
      <c r="J110">
        <v>0</v>
      </c>
      <c r="K110" t="str">
        <f t="shared" si="3"/>
        <v>Feb-2025</v>
      </c>
      <c r="L110" s="1">
        <f t="shared" ca="1" si="4"/>
        <v>107</v>
      </c>
      <c r="M110" t="str">
        <f t="shared" si="5"/>
        <v>36-45</v>
      </c>
    </row>
    <row r="111" spans="1:13" x14ac:dyDescent="0.2">
      <c r="A111" t="s">
        <v>234</v>
      </c>
      <c r="B111" t="s">
        <v>235</v>
      </c>
      <c r="C111">
        <v>46</v>
      </c>
      <c r="D111" t="s">
        <v>16</v>
      </c>
      <c r="E111" t="s">
        <v>21</v>
      </c>
      <c r="F111" s="1">
        <v>46018</v>
      </c>
      <c r="G111" s="1">
        <v>46083</v>
      </c>
      <c r="H111">
        <v>6</v>
      </c>
      <c r="I111">
        <v>2</v>
      </c>
      <c r="J111">
        <v>1</v>
      </c>
      <c r="K111" t="str">
        <f t="shared" si="3"/>
        <v>Dec-2025</v>
      </c>
      <c r="L111" s="1">
        <f t="shared" ca="1" si="4"/>
        <v>75</v>
      </c>
      <c r="M111" t="str">
        <f t="shared" si="5"/>
        <v>46+</v>
      </c>
    </row>
    <row r="112" spans="1:13" x14ac:dyDescent="0.2">
      <c r="A112" t="s">
        <v>236</v>
      </c>
      <c r="B112" t="s">
        <v>237</v>
      </c>
      <c r="C112">
        <v>34</v>
      </c>
      <c r="D112" t="s">
        <v>12</v>
      </c>
      <c r="E112" t="s">
        <v>21</v>
      </c>
      <c r="F112" s="1">
        <v>45420</v>
      </c>
      <c r="G112" s="1">
        <v>46076</v>
      </c>
      <c r="H112">
        <v>0</v>
      </c>
      <c r="I112">
        <v>6</v>
      </c>
      <c r="J112">
        <v>0</v>
      </c>
      <c r="K112" t="str">
        <f t="shared" si="3"/>
        <v>May-2024</v>
      </c>
      <c r="L112" s="1">
        <f t="shared" ca="1" si="4"/>
        <v>82</v>
      </c>
      <c r="M112" t="str">
        <f t="shared" si="5"/>
        <v>26-35</v>
      </c>
    </row>
    <row r="113" spans="1:13" x14ac:dyDescent="0.2">
      <c r="A113" t="s">
        <v>238</v>
      </c>
      <c r="B113" t="s">
        <v>239</v>
      </c>
      <c r="C113">
        <v>36</v>
      </c>
      <c r="D113" t="s">
        <v>16</v>
      </c>
      <c r="E113" t="s">
        <v>17</v>
      </c>
      <c r="F113" s="1">
        <v>46042</v>
      </c>
      <c r="G113" s="1">
        <v>46039</v>
      </c>
      <c r="H113">
        <v>67</v>
      </c>
      <c r="I113">
        <v>4</v>
      </c>
      <c r="J113">
        <v>1</v>
      </c>
      <c r="K113" t="str">
        <f t="shared" si="3"/>
        <v>Jan-2026</v>
      </c>
      <c r="L113" s="1">
        <f t="shared" ca="1" si="4"/>
        <v>119</v>
      </c>
      <c r="M113" t="str">
        <f t="shared" si="5"/>
        <v>36-45</v>
      </c>
    </row>
    <row r="114" spans="1:13" x14ac:dyDescent="0.2">
      <c r="A114" t="s">
        <v>240</v>
      </c>
      <c r="B114" t="s">
        <v>241</v>
      </c>
      <c r="C114">
        <v>52</v>
      </c>
      <c r="D114" t="s">
        <v>16</v>
      </c>
      <c r="E114" t="s">
        <v>17</v>
      </c>
      <c r="F114" s="1">
        <v>45897</v>
      </c>
      <c r="G114" s="1">
        <v>46138</v>
      </c>
      <c r="H114">
        <v>26</v>
      </c>
      <c r="I114">
        <v>5</v>
      </c>
      <c r="J114">
        <v>0</v>
      </c>
      <c r="K114" t="str">
        <f t="shared" si="3"/>
        <v>Aug-2025</v>
      </c>
      <c r="L114" s="1">
        <f t="shared" ca="1" si="4"/>
        <v>20</v>
      </c>
      <c r="M114" t="str">
        <f t="shared" si="5"/>
        <v>46+</v>
      </c>
    </row>
    <row r="115" spans="1:13" x14ac:dyDescent="0.2">
      <c r="A115" t="s">
        <v>242</v>
      </c>
      <c r="B115" t="s">
        <v>243</v>
      </c>
      <c r="C115">
        <v>24</v>
      </c>
      <c r="D115" t="s">
        <v>20</v>
      </c>
      <c r="E115" t="s">
        <v>21</v>
      </c>
      <c r="F115" s="1">
        <v>45642</v>
      </c>
      <c r="G115" s="1">
        <v>46097</v>
      </c>
      <c r="H115">
        <v>3</v>
      </c>
      <c r="I115">
        <v>9</v>
      </c>
      <c r="J115">
        <v>1</v>
      </c>
      <c r="K115" t="str">
        <f t="shared" si="3"/>
        <v>Dec-2024</v>
      </c>
      <c r="L115" s="1">
        <f t="shared" ca="1" si="4"/>
        <v>61</v>
      </c>
      <c r="M115" t="str">
        <f t="shared" si="5"/>
        <v>18-25</v>
      </c>
    </row>
    <row r="116" spans="1:13" x14ac:dyDescent="0.2">
      <c r="A116" t="s">
        <v>244</v>
      </c>
      <c r="B116" t="s">
        <v>245</v>
      </c>
      <c r="C116">
        <v>50</v>
      </c>
      <c r="D116" t="s">
        <v>12</v>
      </c>
      <c r="E116" t="s">
        <v>13</v>
      </c>
      <c r="F116" s="1">
        <v>45884</v>
      </c>
      <c r="G116" s="1">
        <v>46094</v>
      </c>
      <c r="H116">
        <v>10</v>
      </c>
      <c r="I116">
        <v>9</v>
      </c>
      <c r="J116">
        <v>0</v>
      </c>
      <c r="K116" t="str">
        <f t="shared" si="3"/>
        <v>Aug-2025</v>
      </c>
      <c r="L116" s="1">
        <f t="shared" ca="1" si="4"/>
        <v>64</v>
      </c>
      <c r="M116" t="str">
        <f t="shared" si="5"/>
        <v>46+</v>
      </c>
    </row>
    <row r="117" spans="1:13" x14ac:dyDescent="0.2">
      <c r="A117" t="s">
        <v>246</v>
      </c>
      <c r="B117" t="s">
        <v>247</v>
      </c>
      <c r="C117">
        <v>31</v>
      </c>
      <c r="D117" t="s">
        <v>16</v>
      </c>
      <c r="E117" t="s">
        <v>13</v>
      </c>
      <c r="F117" s="1">
        <v>45707</v>
      </c>
      <c r="G117" s="1">
        <v>46123</v>
      </c>
      <c r="H117">
        <v>65</v>
      </c>
      <c r="I117">
        <v>3</v>
      </c>
      <c r="J117">
        <v>1</v>
      </c>
      <c r="K117" t="str">
        <f t="shared" si="3"/>
        <v>Feb-2025</v>
      </c>
      <c r="L117" s="1">
        <f t="shared" ca="1" si="4"/>
        <v>35</v>
      </c>
      <c r="M117" t="str">
        <f t="shared" si="5"/>
        <v>26-35</v>
      </c>
    </row>
    <row r="118" spans="1:13" x14ac:dyDescent="0.2">
      <c r="A118" t="s">
        <v>248</v>
      </c>
      <c r="B118" t="s">
        <v>249</v>
      </c>
      <c r="C118">
        <v>35</v>
      </c>
      <c r="D118" t="s">
        <v>16</v>
      </c>
      <c r="E118" t="s">
        <v>21</v>
      </c>
      <c r="F118" s="1">
        <v>45253</v>
      </c>
      <c r="G118" s="1">
        <v>46096</v>
      </c>
      <c r="H118">
        <v>78</v>
      </c>
      <c r="I118">
        <v>1</v>
      </c>
      <c r="J118">
        <v>1</v>
      </c>
      <c r="K118" t="str">
        <f t="shared" si="3"/>
        <v>Nov-2023</v>
      </c>
      <c r="L118" s="1">
        <f t="shared" ca="1" si="4"/>
        <v>62</v>
      </c>
      <c r="M118" t="str">
        <f t="shared" si="5"/>
        <v>26-35</v>
      </c>
    </row>
    <row r="119" spans="1:13" x14ac:dyDescent="0.2">
      <c r="A119" t="s">
        <v>250</v>
      </c>
      <c r="B119" t="s">
        <v>251</v>
      </c>
      <c r="C119">
        <v>27</v>
      </c>
      <c r="D119" t="s">
        <v>20</v>
      </c>
      <c r="E119" t="s">
        <v>17</v>
      </c>
      <c r="F119" s="1">
        <v>45532</v>
      </c>
      <c r="G119" s="1">
        <v>46118</v>
      </c>
      <c r="H119">
        <v>31</v>
      </c>
      <c r="I119">
        <v>10</v>
      </c>
      <c r="J119">
        <v>0</v>
      </c>
      <c r="K119" t="str">
        <f t="shared" si="3"/>
        <v>Aug-2024</v>
      </c>
      <c r="L119" s="1">
        <f t="shared" ca="1" si="4"/>
        <v>40</v>
      </c>
      <c r="M119" t="str">
        <f t="shared" si="5"/>
        <v>26-35</v>
      </c>
    </row>
    <row r="120" spans="1:13" x14ac:dyDescent="0.2">
      <c r="A120" t="s">
        <v>252</v>
      </c>
      <c r="B120" t="s">
        <v>253</v>
      </c>
      <c r="C120">
        <v>41</v>
      </c>
      <c r="D120" t="s">
        <v>16</v>
      </c>
      <c r="E120" t="s">
        <v>17</v>
      </c>
      <c r="F120" s="1">
        <v>45974</v>
      </c>
      <c r="G120" s="1">
        <v>46091</v>
      </c>
      <c r="H120">
        <v>25</v>
      </c>
      <c r="I120">
        <v>8</v>
      </c>
      <c r="J120">
        <v>0</v>
      </c>
      <c r="K120" t="str">
        <f t="shared" si="3"/>
        <v>Nov-2025</v>
      </c>
      <c r="L120" s="1">
        <f t="shared" ca="1" si="4"/>
        <v>67</v>
      </c>
      <c r="M120" t="str">
        <f t="shared" si="5"/>
        <v>36-45</v>
      </c>
    </row>
    <row r="121" spans="1:13" x14ac:dyDescent="0.2">
      <c r="A121" t="s">
        <v>254</v>
      </c>
      <c r="B121" t="s">
        <v>255</v>
      </c>
      <c r="C121">
        <v>23</v>
      </c>
      <c r="D121" t="s">
        <v>12</v>
      </c>
      <c r="E121" t="s">
        <v>21</v>
      </c>
      <c r="F121" s="1">
        <v>46011</v>
      </c>
      <c r="G121" s="1">
        <v>46038</v>
      </c>
      <c r="H121">
        <v>57</v>
      </c>
      <c r="I121">
        <v>2</v>
      </c>
      <c r="J121">
        <v>1</v>
      </c>
      <c r="K121" t="str">
        <f t="shared" si="3"/>
        <v>Dec-2025</v>
      </c>
      <c r="L121" s="1">
        <f t="shared" ca="1" si="4"/>
        <v>120</v>
      </c>
      <c r="M121" t="str">
        <f t="shared" si="5"/>
        <v>18-25</v>
      </c>
    </row>
    <row r="122" spans="1:13" x14ac:dyDescent="0.2">
      <c r="A122" t="s">
        <v>256</v>
      </c>
      <c r="B122" t="s">
        <v>257</v>
      </c>
      <c r="C122">
        <v>30</v>
      </c>
      <c r="D122" t="s">
        <v>16</v>
      </c>
      <c r="E122" t="s">
        <v>17</v>
      </c>
      <c r="F122" s="1">
        <v>45241</v>
      </c>
      <c r="G122" s="1">
        <v>46092</v>
      </c>
      <c r="H122">
        <v>49</v>
      </c>
      <c r="I122">
        <v>2</v>
      </c>
      <c r="J122">
        <v>0</v>
      </c>
      <c r="K122" t="str">
        <f t="shared" si="3"/>
        <v>Nov-2023</v>
      </c>
      <c r="L122" s="1">
        <f t="shared" ca="1" si="4"/>
        <v>66</v>
      </c>
      <c r="M122" t="str">
        <f t="shared" si="5"/>
        <v>26-35</v>
      </c>
    </row>
    <row r="123" spans="1:13" x14ac:dyDescent="0.2">
      <c r="A123" t="s">
        <v>258</v>
      </c>
      <c r="B123" t="s">
        <v>259</v>
      </c>
      <c r="C123">
        <v>31</v>
      </c>
      <c r="D123" t="s">
        <v>12</v>
      </c>
      <c r="E123" t="s">
        <v>21</v>
      </c>
      <c r="F123" s="1">
        <v>45484</v>
      </c>
      <c r="G123" s="1">
        <v>46098</v>
      </c>
      <c r="H123">
        <v>74</v>
      </c>
      <c r="I123">
        <v>5</v>
      </c>
      <c r="J123">
        <v>0</v>
      </c>
      <c r="K123" t="str">
        <f t="shared" si="3"/>
        <v>Jul-2024</v>
      </c>
      <c r="L123" s="1">
        <f t="shared" ca="1" si="4"/>
        <v>60</v>
      </c>
      <c r="M123" t="str">
        <f t="shared" si="5"/>
        <v>26-35</v>
      </c>
    </row>
    <row r="124" spans="1:13" x14ac:dyDescent="0.2">
      <c r="A124" t="s">
        <v>260</v>
      </c>
      <c r="B124" t="s">
        <v>261</v>
      </c>
      <c r="C124">
        <v>52</v>
      </c>
      <c r="D124" t="s">
        <v>20</v>
      </c>
      <c r="E124" t="s">
        <v>21</v>
      </c>
      <c r="F124" s="1">
        <v>45961</v>
      </c>
      <c r="G124" s="1">
        <v>46089</v>
      </c>
      <c r="H124">
        <v>16</v>
      </c>
      <c r="I124">
        <v>9</v>
      </c>
      <c r="J124">
        <v>1</v>
      </c>
      <c r="K124" t="str">
        <f t="shared" si="3"/>
        <v>Oct-2025</v>
      </c>
      <c r="L124" s="1">
        <f t="shared" ca="1" si="4"/>
        <v>69</v>
      </c>
      <c r="M124" t="str">
        <f t="shared" si="5"/>
        <v>46+</v>
      </c>
    </row>
    <row r="125" spans="1:13" x14ac:dyDescent="0.2">
      <c r="A125" t="s">
        <v>262</v>
      </c>
      <c r="B125" t="s">
        <v>263</v>
      </c>
      <c r="C125">
        <v>27</v>
      </c>
      <c r="D125" t="s">
        <v>20</v>
      </c>
      <c r="E125" t="s">
        <v>21</v>
      </c>
      <c r="F125" s="1">
        <v>45501</v>
      </c>
      <c r="G125" s="1">
        <v>46117</v>
      </c>
      <c r="H125">
        <v>6</v>
      </c>
      <c r="I125">
        <v>9</v>
      </c>
      <c r="J125">
        <v>0</v>
      </c>
      <c r="K125" t="str">
        <f t="shared" si="3"/>
        <v>Jul-2024</v>
      </c>
      <c r="L125" s="1">
        <f t="shared" ca="1" si="4"/>
        <v>41</v>
      </c>
      <c r="M125" t="str">
        <f t="shared" si="5"/>
        <v>26-35</v>
      </c>
    </row>
    <row r="126" spans="1:13" x14ac:dyDescent="0.2">
      <c r="A126" t="s">
        <v>264</v>
      </c>
      <c r="B126" t="s">
        <v>265</v>
      </c>
      <c r="C126">
        <v>20</v>
      </c>
      <c r="D126" t="s">
        <v>12</v>
      </c>
      <c r="E126" t="s">
        <v>21</v>
      </c>
      <c r="F126" s="1">
        <v>45899</v>
      </c>
      <c r="G126" s="1">
        <v>46086</v>
      </c>
      <c r="H126">
        <v>37</v>
      </c>
      <c r="I126">
        <v>1</v>
      </c>
      <c r="J126">
        <v>1</v>
      </c>
      <c r="K126" t="str">
        <f t="shared" si="3"/>
        <v>Aug-2025</v>
      </c>
      <c r="L126" s="1">
        <f t="shared" ca="1" si="4"/>
        <v>72</v>
      </c>
      <c r="M126" t="str">
        <f t="shared" si="5"/>
        <v>18-25</v>
      </c>
    </row>
    <row r="127" spans="1:13" x14ac:dyDescent="0.2">
      <c r="A127" t="s">
        <v>266</v>
      </c>
      <c r="B127" t="s">
        <v>267</v>
      </c>
      <c r="C127">
        <v>53</v>
      </c>
      <c r="D127" t="s">
        <v>20</v>
      </c>
      <c r="E127" t="s">
        <v>13</v>
      </c>
      <c r="F127" s="1">
        <v>45408</v>
      </c>
      <c r="G127" s="1">
        <v>46117</v>
      </c>
      <c r="H127">
        <v>39</v>
      </c>
      <c r="I127">
        <v>6</v>
      </c>
      <c r="J127">
        <v>0</v>
      </c>
      <c r="K127" t="str">
        <f t="shared" si="3"/>
        <v>Apr-2024</v>
      </c>
      <c r="L127" s="1">
        <f t="shared" ca="1" si="4"/>
        <v>41</v>
      </c>
      <c r="M127" t="str">
        <f t="shared" si="5"/>
        <v>46+</v>
      </c>
    </row>
    <row r="128" spans="1:13" x14ac:dyDescent="0.2">
      <c r="A128" t="s">
        <v>268</v>
      </c>
      <c r="B128" t="s">
        <v>269</v>
      </c>
      <c r="C128">
        <v>51</v>
      </c>
      <c r="D128" t="s">
        <v>16</v>
      </c>
      <c r="E128" t="s">
        <v>21</v>
      </c>
      <c r="F128" s="1">
        <v>45254</v>
      </c>
      <c r="G128" s="1">
        <v>46041</v>
      </c>
      <c r="H128">
        <v>52</v>
      </c>
      <c r="I128">
        <v>7</v>
      </c>
      <c r="J128">
        <v>0</v>
      </c>
      <c r="K128" t="str">
        <f t="shared" si="3"/>
        <v>Nov-2023</v>
      </c>
      <c r="L128" s="1">
        <f t="shared" ca="1" si="4"/>
        <v>117</v>
      </c>
      <c r="M128" t="str">
        <f t="shared" si="5"/>
        <v>46+</v>
      </c>
    </row>
    <row r="129" spans="1:13" x14ac:dyDescent="0.2">
      <c r="A129" t="s">
        <v>270</v>
      </c>
      <c r="B129" t="s">
        <v>271</v>
      </c>
      <c r="C129">
        <v>58</v>
      </c>
      <c r="D129" t="s">
        <v>16</v>
      </c>
      <c r="E129" t="s">
        <v>21</v>
      </c>
      <c r="F129" s="1">
        <v>45859</v>
      </c>
      <c r="G129" s="1">
        <v>46099</v>
      </c>
      <c r="H129">
        <v>72</v>
      </c>
      <c r="I129">
        <v>6</v>
      </c>
      <c r="J129">
        <v>0</v>
      </c>
      <c r="K129" t="str">
        <f t="shared" si="3"/>
        <v>Jul-2025</v>
      </c>
      <c r="L129" s="1">
        <f t="shared" ca="1" si="4"/>
        <v>59</v>
      </c>
      <c r="M129" t="str">
        <f t="shared" si="5"/>
        <v>46+</v>
      </c>
    </row>
    <row r="130" spans="1:13" x14ac:dyDescent="0.2">
      <c r="A130" t="s">
        <v>272</v>
      </c>
      <c r="B130" t="s">
        <v>273</v>
      </c>
      <c r="C130">
        <v>47</v>
      </c>
      <c r="D130" t="s">
        <v>12</v>
      </c>
      <c r="E130" t="s">
        <v>17</v>
      </c>
      <c r="F130" s="1">
        <v>45634</v>
      </c>
      <c r="G130" s="1">
        <v>46138</v>
      </c>
      <c r="H130">
        <v>11</v>
      </c>
      <c r="I130">
        <v>2</v>
      </c>
      <c r="J130">
        <v>1</v>
      </c>
      <c r="K130" t="str">
        <f t="shared" si="3"/>
        <v>Dec-2024</v>
      </c>
      <c r="L130" s="1">
        <f t="shared" ca="1" si="4"/>
        <v>20</v>
      </c>
      <c r="M130" t="str">
        <f t="shared" si="5"/>
        <v>46+</v>
      </c>
    </row>
    <row r="131" spans="1:13" x14ac:dyDescent="0.2">
      <c r="A131" t="s">
        <v>274</v>
      </c>
      <c r="B131" t="s">
        <v>275</v>
      </c>
      <c r="C131">
        <v>33</v>
      </c>
      <c r="D131" t="s">
        <v>20</v>
      </c>
      <c r="E131" t="s">
        <v>21</v>
      </c>
      <c r="F131" s="1">
        <v>45503</v>
      </c>
      <c r="G131" s="1">
        <v>46139</v>
      </c>
      <c r="H131">
        <v>2</v>
      </c>
      <c r="I131">
        <v>7</v>
      </c>
      <c r="J131">
        <v>0</v>
      </c>
      <c r="K131" t="str">
        <f t="shared" ref="K131:K194" si="6">TEXT(F131,"MMM-YYYY")</f>
        <v>Jul-2024</v>
      </c>
      <c r="L131" s="1">
        <f t="shared" ref="L131:L194" ca="1" si="7">TODAY()-G131</f>
        <v>19</v>
      </c>
      <c r="M131" t="str">
        <f t="shared" ref="M131:M194" si="8">IF(C131&lt;=25,"18-25",IF(C131&lt;=35,"26-35",IF(C131&lt;=45,"36-45","46+")))</f>
        <v>26-35</v>
      </c>
    </row>
    <row r="132" spans="1:13" x14ac:dyDescent="0.2">
      <c r="A132" t="s">
        <v>276</v>
      </c>
      <c r="B132" t="s">
        <v>277</v>
      </c>
      <c r="C132">
        <v>40</v>
      </c>
      <c r="D132" t="s">
        <v>16</v>
      </c>
      <c r="E132" t="s">
        <v>13</v>
      </c>
      <c r="F132" s="1">
        <v>45272</v>
      </c>
      <c r="G132" s="1">
        <v>46036</v>
      </c>
      <c r="H132">
        <v>48</v>
      </c>
      <c r="I132">
        <v>3</v>
      </c>
      <c r="J132">
        <v>0</v>
      </c>
      <c r="K132" t="str">
        <f t="shared" si="6"/>
        <v>Dec-2023</v>
      </c>
      <c r="L132" s="1">
        <f t="shared" ca="1" si="7"/>
        <v>122</v>
      </c>
      <c r="M132" t="str">
        <f t="shared" si="8"/>
        <v>36-45</v>
      </c>
    </row>
    <row r="133" spans="1:13" x14ac:dyDescent="0.2">
      <c r="A133" t="s">
        <v>278</v>
      </c>
      <c r="B133" t="s">
        <v>279</v>
      </c>
      <c r="C133">
        <v>33</v>
      </c>
      <c r="D133" t="s">
        <v>12</v>
      </c>
      <c r="E133" t="s">
        <v>21</v>
      </c>
      <c r="F133" s="1">
        <v>46008</v>
      </c>
      <c r="G133" s="1">
        <v>46121</v>
      </c>
      <c r="H133">
        <v>10</v>
      </c>
      <c r="I133">
        <v>2</v>
      </c>
      <c r="J133">
        <v>0</v>
      </c>
      <c r="K133" t="str">
        <f t="shared" si="6"/>
        <v>Dec-2025</v>
      </c>
      <c r="L133" s="1">
        <f t="shared" ca="1" si="7"/>
        <v>37</v>
      </c>
      <c r="M133" t="str">
        <f t="shared" si="8"/>
        <v>26-35</v>
      </c>
    </row>
    <row r="134" spans="1:13" x14ac:dyDescent="0.2">
      <c r="A134" t="s">
        <v>280</v>
      </c>
      <c r="B134" t="s">
        <v>281</v>
      </c>
      <c r="C134">
        <v>56</v>
      </c>
      <c r="D134" t="s">
        <v>12</v>
      </c>
      <c r="E134" t="s">
        <v>21</v>
      </c>
      <c r="F134" s="1">
        <v>45633</v>
      </c>
      <c r="G134" s="1">
        <v>46081</v>
      </c>
      <c r="H134">
        <v>55</v>
      </c>
      <c r="I134">
        <v>5</v>
      </c>
      <c r="J134">
        <v>0</v>
      </c>
      <c r="K134" t="str">
        <f t="shared" si="6"/>
        <v>Dec-2024</v>
      </c>
      <c r="L134" s="1">
        <f t="shared" ca="1" si="7"/>
        <v>77</v>
      </c>
      <c r="M134" t="str">
        <f t="shared" si="8"/>
        <v>46+</v>
      </c>
    </row>
    <row r="135" spans="1:13" x14ac:dyDescent="0.2">
      <c r="A135" t="s">
        <v>282</v>
      </c>
      <c r="B135" t="s">
        <v>283</v>
      </c>
      <c r="C135">
        <v>23</v>
      </c>
      <c r="D135" t="s">
        <v>16</v>
      </c>
      <c r="E135" t="s">
        <v>21</v>
      </c>
      <c r="F135" s="1">
        <v>45618</v>
      </c>
      <c r="G135" s="1">
        <v>46038</v>
      </c>
      <c r="H135">
        <v>67</v>
      </c>
      <c r="I135">
        <v>7</v>
      </c>
      <c r="J135">
        <v>0</v>
      </c>
      <c r="K135" t="str">
        <f t="shared" si="6"/>
        <v>Nov-2024</v>
      </c>
      <c r="L135" s="1">
        <f t="shared" ca="1" si="7"/>
        <v>120</v>
      </c>
      <c r="M135" t="str">
        <f t="shared" si="8"/>
        <v>18-25</v>
      </c>
    </row>
    <row r="136" spans="1:13" x14ac:dyDescent="0.2">
      <c r="A136" t="s">
        <v>284</v>
      </c>
      <c r="B136" t="s">
        <v>285</v>
      </c>
      <c r="C136">
        <v>42</v>
      </c>
      <c r="D136" t="s">
        <v>12</v>
      </c>
      <c r="E136" t="s">
        <v>21</v>
      </c>
      <c r="F136" s="1">
        <v>45343</v>
      </c>
      <c r="G136" s="1">
        <v>46138</v>
      </c>
      <c r="H136">
        <v>2</v>
      </c>
      <c r="I136">
        <v>8</v>
      </c>
      <c r="J136">
        <v>0</v>
      </c>
      <c r="K136" t="str">
        <f t="shared" si="6"/>
        <v>Feb-2024</v>
      </c>
      <c r="L136" s="1">
        <f t="shared" ca="1" si="7"/>
        <v>20</v>
      </c>
      <c r="M136" t="str">
        <f t="shared" si="8"/>
        <v>36-45</v>
      </c>
    </row>
    <row r="137" spans="1:13" x14ac:dyDescent="0.2">
      <c r="A137" t="s">
        <v>286</v>
      </c>
      <c r="B137" t="s">
        <v>287</v>
      </c>
      <c r="C137">
        <v>38</v>
      </c>
      <c r="D137" t="s">
        <v>20</v>
      </c>
      <c r="E137" t="s">
        <v>17</v>
      </c>
      <c r="F137" s="1">
        <v>45480</v>
      </c>
      <c r="G137" s="1">
        <v>46121</v>
      </c>
      <c r="H137">
        <v>1</v>
      </c>
      <c r="I137">
        <v>9</v>
      </c>
      <c r="J137">
        <v>1</v>
      </c>
      <c r="K137" t="str">
        <f t="shared" si="6"/>
        <v>Jul-2024</v>
      </c>
      <c r="L137" s="1">
        <f t="shared" ca="1" si="7"/>
        <v>37</v>
      </c>
      <c r="M137" t="str">
        <f t="shared" si="8"/>
        <v>36-45</v>
      </c>
    </row>
    <row r="138" spans="1:13" x14ac:dyDescent="0.2">
      <c r="A138" t="s">
        <v>288</v>
      </c>
      <c r="B138" t="s">
        <v>289</v>
      </c>
      <c r="C138">
        <v>40</v>
      </c>
      <c r="D138" t="s">
        <v>12</v>
      </c>
      <c r="E138" t="s">
        <v>21</v>
      </c>
      <c r="F138" s="1">
        <v>45527</v>
      </c>
      <c r="G138" s="1">
        <v>46081</v>
      </c>
      <c r="H138">
        <v>24</v>
      </c>
      <c r="I138">
        <v>5</v>
      </c>
      <c r="J138">
        <v>0</v>
      </c>
      <c r="K138" t="str">
        <f t="shared" si="6"/>
        <v>Aug-2024</v>
      </c>
      <c r="L138" s="1">
        <f t="shared" ca="1" si="7"/>
        <v>77</v>
      </c>
      <c r="M138" t="str">
        <f t="shared" si="8"/>
        <v>36-45</v>
      </c>
    </row>
    <row r="139" spans="1:13" x14ac:dyDescent="0.2">
      <c r="A139" t="s">
        <v>290</v>
      </c>
      <c r="B139" t="s">
        <v>291</v>
      </c>
      <c r="C139">
        <v>23</v>
      </c>
      <c r="D139" t="s">
        <v>12</v>
      </c>
      <c r="E139" t="s">
        <v>21</v>
      </c>
      <c r="F139" s="1">
        <v>45986</v>
      </c>
      <c r="G139" s="1">
        <v>46055</v>
      </c>
      <c r="H139">
        <v>57</v>
      </c>
      <c r="I139">
        <v>5</v>
      </c>
      <c r="J139">
        <v>1</v>
      </c>
      <c r="K139" t="str">
        <f t="shared" si="6"/>
        <v>Nov-2025</v>
      </c>
      <c r="L139" s="1">
        <f t="shared" ca="1" si="7"/>
        <v>103</v>
      </c>
      <c r="M139" t="str">
        <f t="shared" si="8"/>
        <v>18-25</v>
      </c>
    </row>
    <row r="140" spans="1:13" x14ac:dyDescent="0.2">
      <c r="A140" t="s">
        <v>292</v>
      </c>
      <c r="B140" t="s">
        <v>293</v>
      </c>
      <c r="C140">
        <v>45</v>
      </c>
      <c r="D140" t="s">
        <v>20</v>
      </c>
      <c r="E140" t="s">
        <v>21</v>
      </c>
      <c r="F140" s="1">
        <v>45202</v>
      </c>
      <c r="G140" s="1">
        <v>46035</v>
      </c>
      <c r="H140">
        <v>8</v>
      </c>
      <c r="I140">
        <v>3</v>
      </c>
      <c r="J140">
        <v>1</v>
      </c>
      <c r="K140" t="str">
        <f t="shared" si="6"/>
        <v>Oct-2023</v>
      </c>
      <c r="L140" s="1">
        <f t="shared" ca="1" si="7"/>
        <v>123</v>
      </c>
      <c r="M140" t="str">
        <f t="shared" si="8"/>
        <v>36-45</v>
      </c>
    </row>
    <row r="141" spans="1:13" x14ac:dyDescent="0.2">
      <c r="A141" t="s">
        <v>294</v>
      </c>
      <c r="B141" t="s">
        <v>295</v>
      </c>
      <c r="C141">
        <v>44</v>
      </c>
      <c r="D141" t="s">
        <v>16</v>
      </c>
      <c r="E141" t="s">
        <v>21</v>
      </c>
      <c r="F141" s="1">
        <v>46045</v>
      </c>
      <c r="G141" s="1">
        <v>46111</v>
      </c>
      <c r="H141">
        <v>3</v>
      </c>
      <c r="I141">
        <v>8</v>
      </c>
      <c r="J141">
        <v>0</v>
      </c>
      <c r="K141" t="str">
        <f t="shared" si="6"/>
        <v>Jan-2026</v>
      </c>
      <c r="L141" s="1">
        <f t="shared" ca="1" si="7"/>
        <v>47</v>
      </c>
      <c r="M141" t="str">
        <f t="shared" si="8"/>
        <v>36-45</v>
      </c>
    </row>
    <row r="142" spans="1:13" x14ac:dyDescent="0.2">
      <c r="A142" t="s">
        <v>296</v>
      </c>
      <c r="B142" t="s">
        <v>297</v>
      </c>
      <c r="C142">
        <v>36</v>
      </c>
      <c r="D142" t="s">
        <v>12</v>
      </c>
      <c r="E142" t="s">
        <v>13</v>
      </c>
      <c r="F142" s="1">
        <v>45793</v>
      </c>
      <c r="G142" s="1">
        <v>46106</v>
      </c>
      <c r="H142">
        <v>69</v>
      </c>
      <c r="I142">
        <v>8</v>
      </c>
      <c r="J142">
        <v>0</v>
      </c>
      <c r="K142" t="str">
        <f t="shared" si="6"/>
        <v>May-2025</v>
      </c>
      <c r="L142" s="1">
        <f t="shared" ca="1" si="7"/>
        <v>52</v>
      </c>
      <c r="M142" t="str">
        <f t="shared" si="8"/>
        <v>36-45</v>
      </c>
    </row>
    <row r="143" spans="1:13" x14ac:dyDescent="0.2">
      <c r="A143" t="s">
        <v>298</v>
      </c>
      <c r="B143" t="s">
        <v>299</v>
      </c>
      <c r="C143">
        <v>52</v>
      </c>
      <c r="D143" t="s">
        <v>20</v>
      </c>
      <c r="E143" t="s">
        <v>21</v>
      </c>
      <c r="F143" s="1">
        <v>45199</v>
      </c>
      <c r="G143" s="1">
        <v>46088</v>
      </c>
      <c r="H143">
        <v>41</v>
      </c>
      <c r="I143">
        <v>6</v>
      </c>
      <c r="J143">
        <v>0</v>
      </c>
      <c r="K143" t="str">
        <f t="shared" si="6"/>
        <v>Sep-2023</v>
      </c>
      <c r="L143" s="1">
        <f t="shared" ca="1" si="7"/>
        <v>70</v>
      </c>
      <c r="M143" t="str">
        <f t="shared" si="8"/>
        <v>46+</v>
      </c>
    </row>
    <row r="144" spans="1:13" x14ac:dyDescent="0.2">
      <c r="A144" t="s">
        <v>300</v>
      </c>
      <c r="B144" t="s">
        <v>301</v>
      </c>
      <c r="C144">
        <v>51</v>
      </c>
      <c r="D144" t="s">
        <v>20</v>
      </c>
      <c r="E144" t="s">
        <v>13</v>
      </c>
      <c r="F144" s="1">
        <v>45502</v>
      </c>
      <c r="G144" s="1">
        <v>46059</v>
      </c>
      <c r="H144">
        <v>24</v>
      </c>
      <c r="I144">
        <v>3</v>
      </c>
      <c r="J144">
        <v>0</v>
      </c>
      <c r="K144" t="str">
        <f t="shared" si="6"/>
        <v>Jul-2024</v>
      </c>
      <c r="L144" s="1">
        <f t="shared" ca="1" si="7"/>
        <v>99</v>
      </c>
      <c r="M144" t="str">
        <f t="shared" si="8"/>
        <v>46+</v>
      </c>
    </row>
    <row r="145" spans="1:13" x14ac:dyDescent="0.2">
      <c r="A145" t="s">
        <v>302</v>
      </c>
      <c r="B145" t="s">
        <v>303</v>
      </c>
      <c r="C145">
        <v>25</v>
      </c>
      <c r="D145" t="s">
        <v>20</v>
      </c>
      <c r="E145" t="s">
        <v>21</v>
      </c>
      <c r="F145" s="1">
        <v>45868</v>
      </c>
      <c r="G145" s="1">
        <v>46146</v>
      </c>
      <c r="H145">
        <v>35</v>
      </c>
      <c r="I145">
        <v>6</v>
      </c>
      <c r="J145">
        <v>0</v>
      </c>
      <c r="K145" t="str">
        <f t="shared" si="6"/>
        <v>Jul-2025</v>
      </c>
      <c r="L145" s="1">
        <f t="shared" ca="1" si="7"/>
        <v>12</v>
      </c>
      <c r="M145" t="str">
        <f t="shared" si="8"/>
        <v>18-25</v>
      </c>
    </row>
    <row r="146" spans="1:13" x14ac:dyDescent="0.2">
      <c r="A146" t="s">
        <v>304</v>
      </c>
      <c r="B146" t="s">
        <v>305</v>
      </c>
      <c r="C146">
        <v>41</v>
      </c>
      <c r="D146" t="s">
        <v>20</v>
      </c>
      <c r="E146" t="s">
        <v>17</v>
      </c>
      <c r="F146" s="1">
        <v>45704</v>
      </c>
      <c r="G146" s="1">
        <v>46081</v>
      </c>
      <c r="H146">
        <v>27</v>
      </c>
      <c r="I146">
        <v>2</v>
      </c>
      <c r="J146">
        <v>1</v>
      </c>
      <c r="K146" t="str">
        <f t="shared" si="6"/>
        <v>Feb-2025</v>
      </c>
      <c r="L146" s="1">
        <f t="shared" ca="1" si="7"/>
        <v>77</v>
      </c>
      <c r="M146" t="str">
        <f t="shared" si="8"/>
        <v>36-45</v>
      </c>
    </row>
    <row r="147" spans="1:13" x14ac:dyDescent="0.2">
      <c r="A147" t="s">
        <v>306</v>
      </c>
      <c r="B147" t="s">
        <v>307</v>
      </c>
      <c r="C147">
        <v>56</v>
      </c>
      <c r="D147" t="s">
        <v>12</v>
      </c>
      <c r="E147" t="s">
        <v>21</v>
      </c>
      <c r="F147" s="1">
        <v>45928</v>
      </c>
      <c r="G147" s="1">
        <v>46134</v>
      </c>
      <c r="H147">
        <v>45</v>
      </c>
      <c r="I147">
        <v>7</v>
      </c>
      <c r="J147">
        <v>0</v>
      </c>
      <c r="K147" t="str">
        <f t="shared" si="6"/>
        <v>Sep-2025</v>
      </c>
      <c r="L147" s="1">
        <f t="shared" ca="1" si="7"/>
        <v>24</v>
      </c>
      <c r="M147" t="str">
        <f t="shared" si="8"/>
        <v>46+</v>
      </c>
    </row>
    <row r="148" spans="1:13" x14ac:dyDescent="0.2">
      <c r="A148" t="s">
        <v>308</v>
      </c>
      <c r="B148" t="s">
        <v>309</v>
      </c>
      <c r="C148">
        <v>55</v>
      </c>
      <c r="D148" t="s">
        <v>12</v>
      </c>
      <c r="E148" t="s">
        <v>21</v>
      </c>
      <c r="F148" s="1">
        <v>45928</v>
      </c>
      <c r="G148" s="1">
        <v>46095</v>
      </c>
      <c r="H148">
        <v>48</v>
      </c>
      <c r="I148">
        <v>8</v>
      </c>
      <c r="J148">
        <v>0</v>
      </c>
      <c r="K148" t="str">
        <f t="shared" si="6"/>
        <v>Sep-2025</v>
      </c>
      <c r="L148" s="1">
        <f t="shared" ca="1" si="7"/>
        <v>63</v>
      </c>
      <c r="M148" t="str">
        <f t="shared" si="8"/>
        <v>46+</v>
      </c>
    </row>
    <row r="149" spans="1:13" x14ac:dyDescent="0.2">
      <c r="A149" t="s">
        <v>310</v>
      </c>
      <c r="B149" t="s">
        <v>311</v>
      </c>
      <c r="C149">
        <v>48</v>
      </c>
      <c r="D149" t="s">
        <v>12</v>
      </c>
      <c r="E149" t="s">
        <v>13</v>
      </c>
      <c r="F149" s="1">
        <v>45675</v>
      </c>
      <c r="G149" s="1">
        <v>46072</v>
      </c>
      <c r="H149">
        <v>9</v>
      </c>
      <c r="I149">
        <v>8</v>
      </c>
      <c r="J149">
        <v>1</v>
      </c>
      <c r="K149" t="str">
        <f t="shared" si="6"/>
        <v>Jan-2025</v>
      </c>
      <c r="L149" s="1">
        <f t="shared" ca="1" si="7"/>
        <v>86</v>
      </c>
      <c r="M149" t="str">
        <f t="shared" si="8"/>
        <v>46+</v>
      </c>
    </row>
    <row r="150" spans="1:13" x14ac:dyDescent="0.2">
      <c r="A150" t="s">
        <v>312</v>
      </c>
      <c r="B150" t="s">
        <v>313</v>
      </c>
      <c r="C150">
        <v>40</v>
      </c>
      <c r="D150" t="s">
        <v>20</v>
      </c>
      <c r="E150" t="s">
        <v>13</v>
      </c>
      <c r="F150" s="1">
        <v>45337</v>
      </c>
      <c r="G150" s="1">
        <v>46072</v>
      </c>
      <c r="H150">
        <v>80</v>
      </c>
      <c r="I150">
        <v>7</v>
      </c>
      <c r="J150">
        <v>0</v>
      </c>
      <c r="K150" t="str">
        <f t="shared" si="6"/>
        <v>Feb-2024</v>
      </c>
      <c r="L150" s="1">
        <f t="shared" ca="1" si="7"/>
        <v>86</v>
      </c>
      <c r="M150" t="str">
        <f t="shared" si="8"/>
        <v>36-45</v>
      </c>
    </row>
    <row r="151" spans="1:13" x14ac:dyDescent="0.2">
      <c r="A151" t="s">
        <v>314</v>
      </c>
      <c r="B151" t="s">
        <v>315</v>
      </c>
      <c r="C151">
        <v>37</v>
      </c>
      <c r="D151" t="s">
        <v>12</v>
      </c>
      <c r="E151" t="s">
        <v>13</v>
      </c>
      <c r="F151" s="1">
        <v>45245</v>
      </c>
      <c r="G151" s="1">
        <v>46096</v>
      </c>
      <c r="H151">
        <v>14</v>
      </c>
      <c r="I151">
        <v>6</v>
      </c>
      <c r="J151">
        <v>0</v>
      </c>
      <c r="K151" t="str">
        <f t="shared" si="6"/>
        <v>Nov-2023</v>
      </c>
      <c r="L151" s="1">
        <f t="shared" ca="1" si="7"/>
        <v>62</v>
      </c>
      <c r="M151" t="str">
        <f t="shared" si="8"/>
        <v>36-45</v>
      </c>
    </row>
    <row r="152" spans="1:13" x14ac:dyDescent="0.2">
      <c r="A152" t="s">
        <v>316</v>
      </c>
      <c r="B152" t="s">
        <v>317</v>
      </c>
      <c r="C152">
        <v>38</v>
      </c>
      <c r="D152" t="s">
        <v>16</v>
      </c>
      <c r="E152" t="s">
        <v>13</v>
      </c>
      <c r="F152" s="1">
        <v>45354</v>
      </c>
      <c r="G152" s="1">
        <v>46144</v>
      </c>
      <c r="H152">
        <v>72</v>
      </c>
      <c r="I152">
        <v>4</v>
      </c>
      <c r="J152">
        <v>0</v>
      </c>
      <c r="K152" t="str">
        <f t="shared" si="6"/>
        <v>Mar-2024</v>
      </c>
      <c r="L152" s="1">
        <f t="shared" ca="1" si="7"/>
        <v>14</v>
      </c>
      <c r="M152" t="str">
        <f t="shared" si="8"/>
        <v>36-45</v>
      </c>
    </row>
    <row r="153" spans="1:13" x14ac:dyDescent="0.2">
      <c r="A153" t="s">
        <v>318</v>
      </c>
      <c r="B153" t="s">
        <v>319</v>
      </c>
      <c r="C153">
        <v>56</v>
      </c>
      <c r="D153" t="s">
        <v>12</v>
      </c>
      <c r="E153" t="s">
        <v>17</v>
      </c>
      <c r="F153" s="1">
        <v>45265</v>
      </c>
      <c r="G153" s="1">
        <v>46072</v>
      </c>
      <c r="H153">
        <v>67</v>
      </c>
      <c r="I153">
        <v>9</v>
      </c>
      <c r="J153">
        <v>0</v>
      </c>
      <c r="K153" t="str">
        <f t="shared" si="6"/>
        <v>Dec-2023</v>
      </c>
      <c r="L153" s="1">
        <f t="shared" ca="1" si="7"/>
        <v>86</v>
      </c>
      <c r="M153" t="str">
        <f t="shared" si="8"/>
        <v>46+</v>
      </c>
    </row>
    <row r="154" spans="1:13" x14ac:dyDescent="0.2">
      <c r="A154" t="s">
        <v>320</v>
      </c>
      <c r="B154" t="s">
        <v>321</v>
      </c>
      <c r="C154">
        <v>59</v>
      </c>
      <c r="D154" t="s">
        <v>12</v>
      </c>
      <c r="E154" t="s">
        <v>17</v>
      </c>
      <c r="F154" s="1">
        <v>45172</v>
      </c>
      <c r="G154" s="1">
        <v>46140</v>
      </c>
      <c r="H154">
        <v>14</v>
      </c>
      <c r="I154">
        <v>9</v>
      </c>
      <c r="J154">
        <v>0</v>
      </c>
      <c r="K154" t="str">
        <f t="shared" si="6"/>
        <v>Sep-2023</v>
      </c>
      <c r="L154" s="1">
        <f t="shared" ca="1" si="7"/>
        <v>18</v>
      </c>
      <c r="M154" t="str">
        <f t="shared" si="8"/>
        <v>46+</v>
      </c>
    </row>
    <row r="155" spans="1:13" x14ac:dyDescent="0.2">
      <c r="A155" t="s">
        <v>322</v>
      </c>
      <c r="B155" t="s">
        <v>323</v>
      </c>
      <c r="C155">
        <v>54</v>
      </c>
      <c r="D155" t="s">
        <v>12</v>
      </c>
      <c r="E155" t="s">
        <v>21</v>
      </c>
      <c r="F155" s="1">
        <v>45862</v>
      </c>
      <c r="G155" s="1">
        <v>46143</v>
      </c>
      <c r="H155">
        <v>1</v>
      </c>
      <c r="I155">
        <v>10</v>
      </c>
      <c r="J155">
        <v>1</v>
      </c>
      <c r="K155" t="str">
        <f t="shared" si="6"/>
        <v>Jul-2025</v>
      </c>
      <c r="L155" s="1">
        <f t="shared" ca="1" si="7"/>
        <v>15</v>
      </c>
      <c r="M155" t="str">
        <f t="shared" si="8"/>
        <v>46+</v>
      </c>
    </row>
    <row r="156" spans="1:13" x14ac:dyDescent="0.2">
      <c r="A156" t="s">
        <v>324</v>
      </c>
      <c r="B156" t="s">
        <v>325</v>
      </c>
      <c r="C156">
        <v>36</v>
      </c>
      <c r="D156" t="s">
        <v>12</v>
      </c>
      <c r="E156" t="s">
        <v>21</v>
      </c>
      <c r="F156" s="1">
        <v>46010</v>
      </c>
      <c r="G156" s="1">
        <v>46114</v>
      </c>
      <c r="H156">
        <v>52</v>
      </c>
      <c r="I156">
        <v>4</v>
      </c>
      <c r="J156">
        <v>1</v>
      </c>
      <c r="K156" t="str">
        <f t="shared" si="6"/>
        <v>Dec-2025</v>
      </c>
      <c r="L156" s="1">
        <f t="shared" ca="1" si="7"/>
        <v>44</v>
      </c>
      <c r="M156" t="str">
        <f t="shared" si="8"/>
        <v>36-45</v>
      </c>
    </row>
    <row r="157" spans="1:13" x14ac:dyDescent="0.2">
      <c r="A157" t="s">
        <v>326</v>
      </c>
      <c r="B157" t="s">
        <v>327</v>
      </c>
      <c r="C157">
        <v>50</v>
      </c>
      <c r="D157" t="s">
        <v>12</v>
      </c>
      <c r="E157" t="s">
        <v>21</v>
      </c>
      <c r="F157" s="1">
        <v>45269</v>
      </c>
      <c r="G157" s="1">
        <v>46103</v>
      </c>
      <c r="H157">
        <v>32</v>
      </c>
      <c r="I157">
        <v>5</v>
      </c>
      <c r="J157">
        <v>0</v>
      </c>
      <c r="K157" t="str">
        <f t="shared" si="6"/>
        <v>Dec-2023</v>
      </c>
      <c r="L157" s="1">
        <f t="shared" ca="1" si="7"/>
        <v>55</v>
      </c>
      <c r="M157" t="str">
        <f t="shared" si="8"/>
        <v>46+</v>
      </c>
    </row>
    <row r="158" spans="1:13" x14ac:dyDescent="0.2">
      <c r="A158" t="s">
        <v>328</v>
      </c>
      <c r="B158" t="s">
        <v>329</v>
      </c>
      <c r="C158">
        <v>29</v>
      </c>
      <c r="D158" t="s">
        <v>12</v>
      </c>
      <c r="E158" t="s">
        <v>17</v>
      </c>
      <c r="F158" s="1">
        <v>45364</v>
      </c>
      <c r="G158" s="1">
        <v>46031</v>
      </c>
      <c r="H158">
        <v>40</v>
      </c>
      <c r="I158">
        <v>10</v>
      </c>
      <c r="J158">
        <v>0</v>
      </c>
      <c r="K158" t="str">
        <f t="shared" si="6"/>
        <v>Mar-2024</v>
      </c>
      <c r="L158" s="1">
        <f t="shared" ca="1" si="7"/>
        <v>127</v>
      </c>
      <c r="M158" t="str">
        <f t="shared" si="8"/>
        <v>26-35</v>
      </c>
    </row>
    <row r="159" spans="1:13" x14ac:dyDescent="0.2">
      <c r="A159" t="s">
        <v>330</v>
      </c>
      <c r="B159" t="s">
        <v>331</v>
      </c>
      <c r="C159">
        <v>45</v>
      </c>
      <c r="D159" t="s">
        <v>20</v>
      </c>
      <c r="E159" t="s">
        <v>21</v>
      </c>
      <c r="F159" s="1">
        <v>45198</v>
      </c>
      <c r="G159" s="1">
        <v>46056</v>
      </c>
      <c r="H159">
        <v>6</v>
      </c>
      <c r="I159">
        <v>7</v>
      </c>
      <c r="J159">
        <v>0</v>
      </c>
      <c r="K159" t="str">
        <f t="shared" si="6"/>
        <v>Sep-2023</v>
      </c>
      <c r="L159" s="1">
        <f t="shared" ca="1" si="7"/>
        <v>102</v>
      </c>
      <c r="M159" t="str">
        <f t="shared" si="8"/>
        <v>36-45</v>
      </c>
    </row>
    <row r="160" spans="1:13" x14ac:dyDescent="0.2">
      <c r="A160" t="s">
        <v>332</v>
      </c>
      <c r="B160" t="s">
        <v>333</v>
      </c>
      <c r="C160">
        <v>47</v>
      </c>
      <c r="D160" t="s">
        <v>12</v>
      </c>
      <c r="E160" t="s">
        <v>21</v>
      </c>
      <c r="F160" s="1">
        <v>45651</v>
      </c>
      <c r="G160" s="1">
        <v>46120</v>
      </c>
      <c r="H160">
        <v>29</v>
      </c>
      <c r="I160">
        <v>5</v>
      </c>
      <c r="J160">
        <v>0</v>
      </c>
      <c r="K160" t="str">
        <f t="shared" si="6"/>
        <v>Dec-2024</v>
      </c>
      <c r="L160" s="1">
        <f t="shared" ca="1" si="7"/>
        <v>38</v>
      </c>
      <c r="M160" t="str">
        <f t="shared" si="8"/>
        <v>46+</v>
      </c>
    </row>
    <row r="161" spans="1:13" x14ac:dyDescent="0.2">
      <c r="A161" t="s">
        <v>334</v>
      </c>
      <c r="B161" t="s">
        <v>335</v>
      </c>
      <c r="C161">
        <v>26</v>
      </c>
      <c r="D161" t="s">
        <v>20</v>
      </c>
      <c r="E161" t="s">
        <v>13</v>
      </c>
      <c r="F161" s="1">
        <v>45519</v>
      </c>
      <c r="G161" s="1">
        <v>46103</v>
      </c>
      <c r="H161">
        <v>31</v>
      </c>
      <c r="I161">
        <v>3</v>
      </c>
      <c r="J161">
        <v>1</v>
      </c>
      <c r="K161" t="str">
        <f t="shared" si="6"/>
        <v>Aug-2024</v>
      </c>
      <c r="L161" s="1">
        <f t="shared" ca="1" si="7"/>
        <v>55</v>
      </c>
      <c r="M161" t="str">
        <f t="shared" si="8"/>
        <v>26-35</v>
      </c>
    </row>
    <row r="162" spans="1:13" x14ac:dyDescent="0.2">
      <c r="A162" t="s">
        <v>336</v>
      </c>
      <c r="B162" t="s">
        <v>337</v>
      </c>
      <c r="C162">
        <v>44</v>
      </c>
      <c r="D162" t="s">
        <v>16</v>
      </c>
      <c r="E162" t="s">
        <v>13</v>
      </c>
      <c r="F162" s="1">
        <v>45999</v>
      </c>
      <c r="G162" s="1">
        <v>46109</v>
      </c>
      <c r="H162">
        <v>47</v>
      </c>
      <c r="I162">
        <v>4</v>
      </c>
      <c r="J162">
        <v>0</v>
      </c>
      <c r="K162" t="str">
        <f t="shared" si="6"/>
        <v>Dec-2025</v>
      </c>
      <c r="L162" s="1">
        <f t="shared" ca="1" si="7"/>
        <v>49</v>
      </c>
      <c r="M162" t="str">
        <f t="shared" si="8"/>
        <v>36-45</v>
      </c>
    </row>
    <row r="163" spans="1:13" x14ac:dyDescent="0.2">
      <c r="A163" t="s">
        <v>338</v>
      </c>
      <c r="B163" t="s">
        <v>339</v>
      </c>
      <c r="C163">
        <v>33</v>
      </c>
      <c r="D163" t="s">
        <v>16</v>
      </c>
      <c r="E163" t="s">
        <v>21</v>
      </c>
      <c r="F163" s="1">
        <v>45827</v>
      </c>
      <c r="G163" s="1">
        <v>46056</v>
      </c>
      <c r="H163">
        <v>70</v>
      </c>
      <c r="I163">
        <v>7</v>
      </c>
      <c r="J163">
        <v>0</v>
      </c>
      <c r="K163" t="str">
        <f t="shared" si="6"/>
        <v>Jun-2025</v>
      </c>
      <c r="L163" s="1">
        <f t="shared" ca="1" si="7"/>
        <v>102</v>
      </c>
      <c r="M163" t="str">
        <f t="shared" si="8"/>
        <v>26-35</v>
      </c>
    </row>
    <row r="164" spans="1:13" x14ac:dyDescent="0.2">
      <c r="A164" t="s">
        <v>340</v>
      </c>
      <c r="B164" t="s">
        <v>341</v>
      </c>
      <c r="C164">
        <v>52</v>
      </c>
      <c r="D164" t="s">
        <v>20</v>
      </c>
      <c r="E164" t="s">
        <v>17</v>
      </c>
      <c r="F164" s="1">
        <v>46043</v>
      </c>
      <c r="G164" s="1">
        <v>46078</v>
      </c>
      <c r="H164">
        <v>38</v>
      </c>
      <c r="I164">
        <v>6</v>
      </c>
      <c r="J164">
        <v>0</v>
      </c>
      <c r="K164" t="str">
        <f t="shared" si="6"/>
        <v>Jan-2026</v>
      </c>
      <c r="L164" s="1">
        <f t="shared" ca="1" si="7"/>
        <v>80</v>
      </c>
      <c r="M164" t="str">
        <f t="shared" si="8"/>
        <v>46+</v>
      </c>
    </row>
    <row r="165" spans="1:13" x14ac:dyDescent="0.2">
      <c r="A165" t="s">
        <v>342</v>
      </c>
      <c r="B165" t="s">
        <v>343</v>
      </c>
      <c r="C165">
        <v>45</v>
      </c>
      <c r="D165" t="s">
        <v>12</v>
      </c>
      <c r="E165" t="s">
        <v>21</v>
      </c>
      <c r="F165" s="1">
        <v>45947</v>
      </c>
      <c r="G165" s="1">
        <v>46133</v>
      </c>
      <c r="H165">
        <v>14</v>
      </c>
      <c r="I165">
        <v>4</v>
      </c>
      <c r="J165">
        <v>0</v>
      </c>
      <c r="K165" t="str">
        <f t="shared" si="6"/>
        <v>Oct-2025</v>
      </c>
      <c r="L165" s="1">
        <f t="shared" ca="1" si="7"/>
        <v>25</v>
      </c>
      <c r="M165" t="str">
        <f t="shared" si="8"/>
        <v>36-45</v>
      </c>
    </row>
    <row r="166" spans="1:13" x14ac:dyDescent="0.2">
      <c r="A166" t="s">
        <v>344</v>
      </c>
      <c r="B166" t="s">
        <v>345</v>
      </c>
      <c r="C166">
        <v>55</v>
      </c>
      <c r="D166" t="s">
        <v>16</v>
      </c>
      <c r="E166" t="s">
        <v>13</v>
      </c>
      <c r="F166" s="1">
        <v>45824</v>
      </c>
      <c r="G166" s="1">
        <v>46031</v>
      </c>
      <c r="H166">
        <v>13</v>
      </c>
      <c r="I166">
        <v>5</v>
      </c>
      <c r="J166">
        <v>0</v>
      </c>
      <c r="K166" t="str">
        <f t="shared" si="6"/>
        <v>Jun-2025</v>
      </c>
      <c r="L166" s="1">
        <f t="shared" ca="1" si="7"/>
        <v>127</v>
      </c>
      <c r="M166" t="str">
        <f t="shared" si="8"/>
        <v>46+</v>
      </c>
    </row>
    <row r="167" spans="1:13" x14ac:dyDescent="0.2">
      <c r="A167" t="s">
        <v>346</v>
      </c>
      <c r="B167" t="s">
        <v>347</v>
      </c>
      <c r="C167">
        <v>52</v>
      </c>
      <c r="D167" t="s">
        <v>16</v>
      </c>
      <c r="E167" t="s">
        <v>21</v>
      </c>
      <c r="F167" s="1">
        <v>45472</v>
      </c>
      <c r="G167" s="1">
        <v>46106</v>
      </c>
      <c r="H167">
        <v>41</v>
      </c>
      <c r="I167">
        <v>10</v>
      </c>
      <c r="J167">
        <v>0</v>
      </c>
      <c r="K167" t="str">
        <f t="shared" si="6"/>
        <v>Jun-2024</v>
      </c>
      <c r="L167" s="1">
        <f t="shared" ca="1" si="7"/>
        <v>52</v>
      </c>
      <c r="M167" t="str">
        <f t="shared" si="8"/>
        <v>46+</v>
      </c>
    </row>
    <row r="168" spans="1:13" x14ac:dyDescent="0.2">
      <c r="A168" t="s">
        <v>348</v>
      </c>
      <c r="B168" t="s">
        <v>349</v>
      </c>
      <c r="C168">
        <v>44</v>
      </c>
      <c r="D168" t="s">
        <v>16</v>
      </c>
      <c r="E168" t="s">
        <v>13</v>
      </c>
      <c r="F168" s="1">
        <v>45966</v>
      </c>
      <c r="G168" s="1">
        <v>46078</v>
      </c>
      <c r="H168">
        <v>28</v>
      </c>
      <c r="I168">
        <v>7</v>
      </c>
      <c r="J168">
        <v>1</v>
      </c>
      <c r="K168" t="str">
        <f t="shared" si="6"/>
        <v>Nov-2025</v>
      </c>
      <c r="L168" s="1">
        <f t="shared" ca="1" si="7"/>
        <v>80</v>
      </c>
      <c r="M168" t="str">
        <f t="shared" si="8"/>
        <v>36-45</v>
      </c>
    </row>
    <row r="169" spans="1:13" x14ac:dyDescent="0.2">
      <c r="A169" t="s">
        <v>350</v>
      </c>
      <c r="B169" t="s">
        <v>351</v>
      </c>
      <c r="C169">
        <v>44</v>
      </c>
      <c r="D169" t="s">
        <v>20</v>
      </c>
      <c r="E169" t="s">
        <v>21</v>
      </c>
      <c r="F169" s="1">
        <v>46080</v>
      </c>
      <c r="G169" s="1">
        <v>46108</v>
      </c>
      <c r="H169">
        <v>80</v>
      </c>
      <c r="I169">
        <v>10</v>
      </c>
      <c r="J169">
        <v>1</v>
      </c>
      <c r="K169" t="str">
        <f t="shared" si="6"/>
        <v>Feb-2026</v>
      </c>
      <c r="L169" s="1">
        <f t="shared" ca="1" si="7"/>
        <v>50</v>
      </c>
      <c r="M169" t="str">
        <f t="shared" si="8"/>
        <v>36-45</v>
      </c>
    </row>
    <row r="170" spans="1:13" x14ac:dyDescent="0.2">
      <c r="A170" t="s">
        <v>352</v>
      </c>
      <c r="B170" t="s">
        <v>353</v>
      </c>
      <c r="C170">
        <v>60</v>
      </c>
      <c r="D170" t="s">
        <v>20</v>
      </c>
      <c r="E170" t="s">
        <v>21</v>
      </c>
      <c r="F170" s="1">
        <v>45741</v>
      </c>
      <c r="G170" s="1">
        <v>46071</v>
      </c>
      <c r="H170">
        <v>2</v>
      </c>
      <c r="I170">
        <v>4</v>
      </c>
      <c r="J170">
        <v>1</v>
      </c>
      <c r="K170" t="str">
        <f t="shared" si="6"/>
        <v>Mar-2025</v>
      </c>
      <c r="L170" s="1">
        <f t="shared" ca="1" si="7"/>
        <v>87</v>
      </c>
      <c r="M170" t="str">
        <f t="shared" si="8"/>
        <v>46+</v>
      </c>
    </row>
    <row r="171" spans="1:13" x14ac:dyDescent="0.2">
      <c r="A171" t="s">
        <v>354</v>
      </c>
      <c r="B171" t="s">
        <v>355</v>
      </c>
      <c r="C171">
        <v>55</v>
      </c>
      <c r="D171" t="s">
        <v>12</v>
      </c>
      <c r="E171" t="s">
        <v>13</v>
      </c>
      <c r="F171" s="1">
        <v>45681</v>
      </c>
      <c r="G171" s="1">
        <v>46121</v>
      </c>
      <c r="H171">
        <v>65</v>
      </c>
      <c r="I171">
        <v>4</v>
      </c>
      <c r="J171">
        <v>1</v>
      </c>
      <c r="K171" t="str">
        <f t="shared" si="6"/>
        <v>Jan-2025</v>
      </c>
      <c r="L171" s="1">
        <f t="shared" ca="1" si="7"/>
        <v>37</v>
      </c>
      <c r="M171" t="str">
        <f t="shared" si="8"/>
        <v>46+</v>
      </c>
    </row>
    <row r="172" spans="1:13" x14ac:dyDescent="0.2">
      <c r="A172" t="s">
        <v>356</v>
      </c>
      <c r="B172" t="s">
        <v>357</v>
      </c>
      <c r="C172">
        <v>41</v>
      </c>
      <c r="D172" t="s">
        <v>12</v>
      </c>
      <c r="E172" t="s">
        <v>17</v>
      </c>
      <c r="F172" s="1">
        <v>45946</v>
      </c>
      <c r="G172" s="1">
        <v>46063</v>
      </c>
      <c r="H172">
        <v>53</v>
      </c>
      <c r="I172">
        <v>1</v>
      </c>
      <c r="J172">
        <v>1</v>
      </c>
      <c r="K172" t="str">
        <f t="shared" si="6"/>
        <v>Oct-2025</v>
      </c>
      <c r="L172" s="1">
        <f t="shared" ca="1" si="7"/>
        <v>95</v>
      </c>
      <c r="M172" t="str">
        <f t="shared" si="8"/>
        <v>36-45</v>
      </c>
    </row>
    <row r="173" spans="1:13" x14ac:dyDescent="0.2">
      <c r="A173" t="s">
        <v>358</v>
      </c>
      <c r="B173" t="s">
        <v>359</v>
      </c>
      <c r="C173">
        <v>44</v>
      </c>
      <c r="D173" t="s">
        <v>20</v>
      </c>
      <c r="E173" t="s">
        <v>21</v>
      </c>
      <c r="F173" s="1">
        <v>45911</v>
      </c>
      <c r="G173" s="1">
        <v>46144</v>
      </c>
      <c r="H173">
        <v>40</v>
      </c>
      <c r="I173">
        <v>4</v>
      </c>
      <c r="J173">
        <v>0</v>
      </c>
      <c r="K173" t="str">
        <f t="shared" si="6"/>
        <v>Sep-2025</v>
      </c>
      <c r="L173" s="1">
        <f t="shared" ca="1" si="7"/>
        <v>14</v>
      </c>
      <c r="M173" t="str">
        <f t="shared" si="8"/>
        <v>36-45</v>
      </c>
    </row>
    <row r="174" spans="1:13" x14ac:dyDescent="0.2">
      <c r="A174" t="s">
        <v>360</v>
      </c>
      <c r="B174" t="s">
        <v>361</v>
      </c>
      <c r="C174">
        <v>20</v>
      </c>
      <c r="D174" t="s">
        <v>20</v>
      </c>
      <c r="E174" t="s">
        <v>17</v>
      </c>
      <c r="F174" s="1">
        <v>45724</v>
      </c>
      <c r="G174" s="1">
        <v>46114</v>
      </c>
      <c r="H174">
        <v>49</v>
      </c>
      <c r="I174">
        <v>5</v>
      </c>
      <c r="J174">
        <v>0</v>
      </c>
      <c r="K174" t="str">
        <f t="shared" si="6"/>
        <v>Mar-2025</v>
      </c>
      <c r="L174" s="1">
        <f t="shared" ca="1" si="7"/>
        <v>44</v>
      </c>
      <c r="M174" t="str">
        <f t="shared" si="8"/>
        <v>18-25</v>
      </c>
    </row>
    <row r="175" spans="1:13" x14ac:dyDescent="0.2">
      <c r="A175" t="s">
        <v>362</v>
      </c>
      <c r="B175" t="s">
        <v>363</v>
      </c>
      <c r="C175">
        <v>23</v>
      </c>
      <c r="D175" t="s">
        <v>12</v>
      </c>
      <c r="E175" t="s">
        <v>21</v>
      </c>
      <c r="F175" s="1">
        <v>45452</v>
      </c>
      <c r="G175" s="1">
        <v>46055</v>
      </c>
      <c r="H175">
        <v>78</v>
      </c>
      <c r="I175">
        <v>10</v>
      </c>
      <c r="J175">
        <v>1</v>
      </c>
      <c r="K175" t="str">
        <f t="shared" si="6"/>
        <v>Jun-2024</v>
      </c>
      <c r="L175" s="1">
        <f t="shared" ca="1" si="7"/>
        <v>103</v>
      </c>
      <c r="M175" t="str">
        <f t="shared" si="8"/>
        <v>18-25</v>
      </c>
    </row>
    <row r="176" spans="1:13" x14ac:dyDescent="0.2">
      <c r="A176" t="s">
        <v>364</v>
      </c>
      <c r="B176" t="s">
        <v>365</v>
      </c>
      <c r="C176">
        <v>33</v>
      </c>
      <c r="D176" t="s">
        <v>16</v>
      </c>
      <c r="E176" t="s">
        <v>13</v>
      </c>
      <c r="F176" s="1">
        <v>45609</v>
      </c>
      <c r="G176" s="1">
        <v>46111</v>
      </c>
      <c r="H176">
        <v>29</v>
      </c>
      <c r="I176">
        <v>10</v>
      </c>
      <c r="J176">
        <v>0</v>
      </c>
      <c r="K176" t="str">
        <f t="shared" si="6"/>
        <v>Nov-2024</v>
      </c>
      <c r="L176" s="1">
        <f t="shared" ca="1" si="7"/>
        <v>47</v>
      </c>
      <c r="M176" t="str">
        <f t="shared" si="8"/>
        <v>26-35</v>
      </c>
    </row>
    <row r="177" spans="1:13" x14ac:dyDescent="0.2">
      <c r="A177" t="s">
        <v>366</v>
      </c>
      <c r="B177" t="s">
        <v>367</v>
      </c>
      <c r="C177">
        <v>53</v>
      </c>
      <c r="D177" t="s">
        <v>12</v>
      </c>
      <c r="E177" t="s">
        <v>17</v>
      </c>
      <c r="F177" s="1">
        <v>45246</v>
      </c>
      <c r="G177" s="1">
        <v>46135</v>
      </c>
      <c r="H177">
        <v>70</v>
      </c>
      <c r="I177">
        <v>6</v>
      </c>
      <c r="J177">
        <v>0</v>
      </c>
      <c r="K177" t="str">
        <f t="shared" si="6"/>
        <v>Nov-2023</v>
      </c>
      <c r="L177" s="1">
        <f t="shared" ca="1" si="7"/>
        <v>23</v>
      </c>
      <c r="M177" t="str">
        <f t="shared" si="8"/>
        <v>46+</v>
      </c>
    </row>
    <row r="178" spans="1:13" x14ac:dyDescent="0.2">
      <c r="A178" t="s">
        <v>368</v>
      </c>
      <c r="B178" t="s">
        <v>369</v>
      </c>
      <c r="C178">
        <v>21</v>
      </c>
      <c r="D178" t="s">
        <v>12</v>
      </c>
      <c r="E178" t="s">
        <v>21</v>
      </c>
      <c r="F178" s="1">
        <v>45506</v>
      </c>
      <c r="G178" s="1">
        <v>46112</v>
      </c>
      <c r="H178">
        <v>10</v>
      </c>
      <c r="I178">
        <v>8</v>
      </c>
      <c r="J178">
        <v>0</v>
      </c>
      <c r="K178" t="str">
        <f t="shared" si="6"/>
        <v>Aug-2024</v>
      </c>
      <c r="L178" s="1">
        <f t="shared" ca="1" si="7"/>
        <v>46</v>
      </c>
      <c r="M178" t="str">
        <f t="shared" si="8"/>
        <v>18-25</v>
      </c>
    </row>
    <row r="179" spans="1:13" x14ac:dyDescent="0.2">
      <c r="A179" t="s">
        <v>370</v>
      </c>
      <c r="B179" t="s">
        <v>371</v>
      </c>
      <c r="C179">
        <v>26</v>
      </c>
      <c r="D179" t="s">
        <v>16</v>
      </c>
      <c r="E179" t="s">
        <v>13</v>
      </c>
      <c r="F179" s="1">
        <v>45904</v>
      </c>
      <c r="G179" s="1">
        <v>46090</v>
      </c>
      <c r="H179">
        <v>62</v>
      </c>
      <c r="I179">
        <v>2</v>
      </c>
      <c r="J179">
        <v>0</v>
      </c>
      <c r="K179" t="str">
        <f t="shared" si="6"/>
        <v>Sep-2025</v>
      </c>
      <c r="L179" s="1">
        <f t="shared" ca="1" si="7"/>
        <v>68</v>
      </c>
      <c r="M179" t="str">
        <f t="shared" si="8"/>
        <v>26-35</v>
      </c>
    </row>
    <row r="180" spans="1:13" x14ac:dyDescent="0.2">
      <c r="A180" t="s">
        <v>372</v>
      </c>
      <c r="B180" t="s">
        <v>373</v>
      </c>
      <c r="C180">
        <v>18</v>
      </c>
      <c r="D180" t="s">
        <v>16</v>
      </c>
      <c r="E180" t="s">
        <v>17</v>
      </c>
      <c r="F180" s="1">
        <v>45727</v>
      </c>
      <c r="G180" s="1">
        <v>46094</v>
      </c>
      <c r="H180">
        <v>51</v>
      </c>
      <c r="I180">
        <v>4</v>
      </c>
      <c r="J180">
        <v>0</v>
      </c>
      <c r="K180" t="str">
        <f t="shared" si="6"/>
        <v>Mar-2025</v>
      </c>
      <c r="L180" s="1">
        <f t="shared" ca="1" si="7"/>
        <v>64</v>
      </c>
      <c r="M180" t="str">
        <f t="shared" si="8"/>
        <v>18-25</v>
      </c>
    </row>
    <row r="181" spans="1:13" x14ac:dyDescent="0.2">
      <c r="A181" t="s">
        <v>374</v>
      </c>
      <c r="B181" t="s">
        <v>375</v>
      </c>
      <c r="C181">
        <v>18</v>
      </c>
      <c r="D181" t="s">
        <v>12</v>
      </c>
      <c r="E181" t="s">
        <v>21</v>
      </c>
      <c r="F181" s="1">
        <v>45586</v>
      </c>
      <c r="G181" s="1">
        <v>46039</v>
      </c>
      <c r="H181">
        <v>56</v>
      </c>
      <c r="I181">
        <v>1</v>
      </c>
      <c r="J181">
        <v>1</v>
      </c>
      <c r="K181" t="str">
        <f t="shared" si="6"/>
        <v>Oct-2024</v>
      </c>
      <c r="L181" s="1">
        <f t="shared" ca="1" si="7"/>
        <v>119</v>
      </c>
      <c r="M181" t="str">
        <f t="shared" si="8"/>
        <v>18-25</v>
      </c>
    </row>
    <row r="182" spans="1:13" x14ac:dyDescent="0.2">
      <c r="A182" t="s">
        <v>376</v>
      </c>
      <c r="B182" t="s">
        <v>377</v>
      </c>
      <c r="C182">
        <v>34</v>
      </c>
      <c r="D182" t="s">
        <v>20</v>
      </c>
      <c r="E182" t="s">
        <v>17</v>
      </c>
      <c r="F182" s="1">
        <v>45828</v>
      </c>
      <c r="G182" s="1">
        <v>46123</v>
      </c>
      <c r="H182">
        <v>37</v>
      </c>
      <c r="I182">
        <v>6</v>
      </c>
      <c r="J182">
        <v>0</v>
      </c>
      <c r="K182" t="str">
        <f t="shared" si="6"/>
        <v>Jun-2025</v>
      </c>
      <c r="L182" s="1">
        <f t="shared" ca="1" si="7"/>
        <v>35</v>
      </c>
      <c r="M182" t="str">
        <f t="shared" si="8"/>
        <v>26-35</v>
      </c>
    </row>
    <row r="183" spans="1:13" x14ac:dyDescent="0.2">
      <c r="A183" t="s">
        <v>378</v>
      </c>
      <c r="B183" t="s">
        <v>379</v>
      </c>
      <c r="C183">
        <v>45</v>
      </c>
      <c r="D183" t="s">
        <v>16</v>
      </c>
      <c r="E183" t="s">
        <v>21</v>
      </c>
      <c r="F183" s="1">
        <v>45909</v>
      </c>
      <c r="G183" s="1">
        <v>46055</v>
      </c>
      <c r="H183">
        <v>24</v>
      </c>
      <c r="I183">
        <v>8</v>
      </c>
      <c r="J183">
        <v>0</v>
      </c>
      <c r="K183" t="str">
        <f t="shared" si="6"/>
        <v>Sep-2025</v>
      </c>
      <c r="L183" s="1">
        <f t="shared" ca="1" si="7"/>
        <v>103</v>
      </c>
      <c r="M183" t="str">
        <f t="shared" si="8"/>
        <v>36-45</v>
      </c>
    </row>
    <row r="184" spans="1:13" x14ac:dyDescent="0.2">
      <c r="A184" t="s">
        <v>380</v>
      </c>
      <c r="B184" t="s">
        <v>381</v>
      </c>
      <c r="C184">
        <v>52</v>
      </c>
      <c r="D184" t="s">
        <v>12</v>
      </c>
      <c r="E184" t="s">
        <v>21</v>
      </c>
      <c r="F184" s="1">
        <v>45350</v>
      </c>
      <c r="G184" s="1">
        <v>46135</v>
      </c>
      <c r="H184">
        <v>9</v>
      </c>
      <c r="I184">
        <v>2</v>
      </c>
      <c r="J184">
        <v>1</v>
      </c>
      <c r="K184" t="str">
        <f t="shared" si="6"/>
        <v>Feb-2024</v>
      </c>
      <c r="L184" s="1">
        <f t="shared" ca="1" si="7"/>
        <v>23</v>
      </c>
      <c r="M184" t="str">
        <f t="shared" si="8"/>
        <v>46+</v>
      </c>
    </row>
    <row r="185" spans="1:13" x14ac:dyDescent="0.2">
      <c r="A185" t="s">
        <v>382</v>
      </c>
      <c r="B185" t="s">
        <v>383</v>
      </c>
      <c r="C185">
        <v>28</v>
      </c>
      <c r="D185" t="s">
        <v>12</v>
      </c>
      <c r="E185" t="s">
        <v>17</v>
      </c>
      <c r="F185" s="1">
        <v>45378</v>
      </c>
      <c r="G185" s="1">
        <v>46086</v>
      </c>
      <c r="H185">
        <v>25</v>
      </c>
      <c r="I185">
        <v>10</v>
      </c>
      <c r="J185">
        <v>1</v>
      </c>
      <c r="K185" t="str">
        <f t="shared" si="6"/>
        <v>Mar-2024</v>
      </c>
      <c r="L185" s="1">
        <f t="shared" ca="1" si="7"/>
        <v>72</v>
      </c>
      <c r="M185" t="str">
        <f t="shared" si="8"/>
        <v>26-35</v>
      </c>
    </row>
    <row r="186" spans="1:13" x14ac:dyDescent="0.2">
      <c r="A186" t="s">
        <v>384</v>
      </c>
      <c r="B186" t="s">
        <v>385</v>
      </c>
      <c r="C186">
        <v>39</v>
      </c>
      <c r="D186" t="s">
        <v>16</v>
      </c>
      <c r="E186" t="s">
        <v>13</v>
      </c>
      <c r="F186" s="1">
        <v>45574</v>
      </c>
      <c r="G186" s="1">
        <v>46145</v>
      </c>
      <c r="H186">
        <v>4</v>
      </c>
      <c r="I186">
        <v>1</v>
      </c>
      <c r="J186">
        <v>1</v>
      </c>
      <c r="K186" t="str">
        <f t="shared" si="6"/>
        <v>Oct-2024</v>
      </c>
      <c r="L186" s="1">
        <f t="shared" ca="1" si="7"/>
        <v>13</v>
      </c>
      <c r="M186" t="str">
        <f t="shared" si="8"/>
        <v>36-45</v>
      </c>
    </row>
    <row r="187" spans="1:13" x14ac:dyDescent="0.2">
      <c r="A187" t="s">
        <v>386</v>
      </c>
      <c r="B187" t="s">
        <v>387</v>
      </c>
      <c r="C187">
        <v>18</v>
      </c>
      <c r="D187" t="s">
        <v>16</v>
      </c>
      <c r="E187" t="s">
        <v>17</v>
      </c>
      <c r="F187" s="1">
        <v>45410</v>
      </c>
      <c r="G187" s="1">
        <v>46143</v>
      </c>
      <c r="H187">
        <v>73</v>
      </c>
      <c r="I187">
        <v>8</v>
      </c>
      <c r="J187">
        <v>0</v>
      </c>
      <c r="K187" t="str">
        <f t="shared" si="6"/>
        <v>Apr-2024</v>
      </c>
      <c r="L187" s="1">
        <f t="shared" ca="1" si="7"/>
        <v>15</v>
      </c>
      <c r="M187" t="str">
        <f t="shared" si="8"/>
        <v>18-25</v>
      </c>
    </row>
    <row r="188" spans="1:13" x14ac:dyDescent="0.2">
      <c r="A188" t="s">
        <v>388</v>
      </c>
      <c r="B188" t="s">
        <v>389</v>
      </c>
      <c r="C188">
        <v>20</v>
      </c>
      <c r="D188" t="s">
        <v>16</v>
      </c>
      <c r="E188" t="s">
        <v>17</v>
      </c>
      <c r="F188" s="1">
        <v>45516</v>
      </c>
      <c r="G188" s="1">
        <v>46141</v>
      </c>
      <c r="H188">
        <v>25</v>
      </c>
      <c r="I188">
        <v>8</v>
      </c>
      <c r="J188">
        <v>0</v>
      </c>
      <c r="K188" t="str">
        <f t="shared" si="6"/>
        <v>Aug-2024</v>
      </c>
      <c r="L188" s="1">
        <f t="shared" ca="1" si="7"/>
        <v>17</v>
      </c>
      <c r="M188" t="str">
        <f t="shared" si="8"/>
        <v>18-25</v>
      </c>
    </row>
    <row r="189" spans="1:13" x14ac:dyDescent="0.2">
      <c r="A189" t="s">
        <v>390</v>
      </c>
      <c r="B189" t="s">
        <v>391</v>
      </c>
      <c r="C189">
        <v>35</v>
      </c>
      <c r="D189" t="s">
        <v>12</v>
      </c>
      <c r="E189" t="s">
        <v>21</v>
      </c>
      <c r="F189" s="1">
        <v>45922</v>
      </c>
      <c r="G189" s="1">
        <v>46128</v>
      </c>
      <c r="H189">
        <v>74</v>
      </c>
      <c r="I189">
        <v>5</v>
      </c>
      <c r="J189">
        <v>0</v>
      </c>
      <c r="K189" t="str">
        <f t="shared" si="6"/>
        <v>Sep-2025</v>
      </c>
      <c r="L189" s="1">
        <f t="shared" ca="1" si="7"/>
        <v>30</v>
      </c>
      <c r="M189" t="str">
        <f t="shared" si="8"/>
        <v>26-35</v>
      </c>
    </row>
    <row r="190" spans="1:13" x14ac:dyDescent="0.2">
      <c r="A190" t="s">
        <v>392</v>
      </c>
      <c r="B190" t="s">
        <v>393</v>
      </c>
      <c r="C190">
        <v>30</v>
      </c>
      <c r="D190" t="s">
        <v>20</v>
      </c>
      <c r="E190" t="s">
        <v>21</v>
      </c>
      <c r="F190" s="1">
        <v>45498</v>
      </c>
      <c r="G190" s="1">
        <v>46043</v>
      </c>
      <c r="H190">
        <v>74</v>
      </c>
      <c r="I190">
        <v>6</v>
      </c>
      <c r="J190">
        <v>1</v>
      </c>
      <c r="K190" t="str">
        <f t="shared" si="6"/>
        <v>Jul-2024</v>
      </c>
      <c r="L190" s="1">
        <f t="shared" ca="1" si="7"/>
        <v>115</v>
      </c>
      <c r="M190" t="str">
        <f t="shared" si="8"/>
        <v>26-35</v>
      </c>
    </row>
    <row r="191" spans="1:13" x14ac:dyDescent="0.2">
      <c r="A191" t="s">
        <v>394</v>
      </c>
      <c r="B191" t="s">
        <v>395</v>
      </c>
      <c r="C191">
        <v>21</v>
      </c>
      <c r="D191" t="s">
        <v>12</v>
      </c>
      <c r="E191" t="s">
        <v>17</v>
      </c>
      <c r="F191" s="1">
        <v>45733</v>
      </c>
      <c r="G191" s="1">
        <v>46122</v>
      </c>
      <c r="H191">
        <v>7</v>
      </c>
      <c r="I191">
        <v>7</v>
      </c>
      <c r="J191">
        <v>0</v>
      </c>
      <c r="K191" t="str">
        <f t="shared" si="6"/>
        <v>Mar-2025</v>
      </c>
      <c r="L191" s="1">
        <f t="shared" ca="1" si="7"/>
        <v>36</v>
      </c>
      <c r="M191" t="str">
        <f t="shared" si="8"/>
        <v>18-25</v>
      </c>
    </row>
    <row r="192" spans="1:13" x14ac:dyDescent="0.2">
      <c r="A192" t="s">
        <v>396</v>
      </c>
      <c r="B192" t="s">
        <v>397</v>
      </c>
      <c r="C192">
        <v>21</v>
      </c>
      <c r="D192" t="s">
        <v>16</v>
      </c>
      <c r="E192" t="s">
        <v>21</v>
      </c>
      <c r="F192" s="1">
        <v>45184</v>
      </c>
      <c r="G192" s="1">
        <v>46040</v>
      </c>
      <c r="H192">
        <v>14</v>
      </c>
      <c r="I192">
        <v>1</v>
      </c>
      <c r="J192">
        <v>0</v>
      </c>
      <c r="K192" t="str">
        <f t="shared" si="6"/>
        <v>Sep-2023</v>
      </c>
      <c r="L192" s="1">
        <f t="shared" ca="1" si="7"/>
        <v>118</v>
      </c>
      <c r="M192" t="str">
        <f t="shared" si="8"/>
        <v>18-25</v>
      </c>
    </row>
    <row r="193" spans="1:13" x14ac:dyDescent="0.2">
      <c r="A193" t="s">
        <v>398</v>
      </c>
      <c r="B193" t="s">
        <v>399</v>
      </c>
      <c r="C193">
        <v>21</v>
      </c>
      <c r="D193" t="s">
        <v>20</v>
      </c>
      <c r="E193" t="s">
        <v>13</v>
      </c>
      <c r="F193" s="1">
        <v>45713</v>
      </c>
      <c r="G193" s="1">
        <v>46050</v>
      </c>
      <c r="H193">
        <v>31</v>
      </c>
      <c r="I193">
        <v>3</v>
      </c>
      <c r="J193">
        <v>0</v>
      </c>
      <c r="K193" t="str">
        <f t="shared" si="6"/>
        <v>Feb-2025</v>
      </c>
      <c r="L193" s="1">
        <f t="shared" ca="1" si="7"/>
        <v>108</v>
      </c>
      <c r="M193" t="str">
        <f t="shared" si="8"/>
        <v>18-25</v>
      </c>
    </row>
    <row r="194" spans="1:13" x14ac:dyDescent="0.2">
      <c r="A194" t="s">
        <v>400</v>
      </c>
      <c r="B194" t="s">
        <v>401</v>
      </c>
      <c r="C194">
        <v>59</v>
      </c>
      <c r="D194" t="s">
        <v>16</v>
      </c>
      <c r="E194" t="s">
        <v>13</v>
      </c>
      <c r="F194" s="1">
        <v>45645</v>
      </c>
      <c r="G194" s="1">
        <v>46112</v>
      </c>
      <c r="H194">
        <v>6</v>
      </c>
      <c r="I194">
        <v>7</v>
      </c>
      <c r="J194">
        <v>1</v>
      </c>
      <c r="K194" t="str">
        <f t="shared" si="6"/>
        <v>Dec-2024</v>
      </c>
      <c r="L194" s="1">
        <f t="shared" ca="1" si="7"/>
        <v>46</v>
      </c>
      <c r="M194" t="str">
        <f t="shared" si="8"/>
        <v>46+</v>
      </c>
    </row>
    <row r="195" spans="1:13" x14ac:dyDescent="0.2">
      <c r="A195" t="s">
        <v>402</v>
      </c>
      <c r="B195" t="s">
        <v>403</v>
      </c>
      <c r="C195">
        <v>37</v>
      </c>
      <c r="D195" t="s">
        <v>20</v>
      </c>
      <c r="E195" t="s">
        <v>17</v>
      </c>
      <c r="F195" s="1">
        <v>46107</v>
      </c>
      <c r="G195" s="1">
        <v>46147</v>
      </c>
      <c r="H195">
        <v>1</v>
      </c>
      <c r="I195">
        <v>4</v>
      </c>
      <c r="J195">
        <v>1</v>
      </c>
      <c r="K195" t="str">
        <f t="shared" ref="K195:K258" si="9">TEXT(F195,"MMM-YYYY")</f>
        <v>Mar-2026</v>
      </c>
      <c r="L195" s="1">
        <f t="shared" ref="L195:L258" ca="1" si="10">TODAY()-G195</f>
        <v>11</v>
      </c>
      <c r="M195" t="str">
        <f t="shared" ref="M195:M258" si="11">IF(C195&lt;=25,"18-25",IF(C195&lt;=35,"26-35",IF(C195&lt;=45,"36-45","46+")))</f>
        <v>36-45</v>
      </c>
    </row>
    <row r="196" spans="1:13" x14ac:dyDescent="0.2">
      <c r="A196" t="s">
        <v>404</v>
      </c>
      <c r="B196" t="s">
        <v>405</v>
      </c>
      <c r="C196">
        <v>29</v>
      </c>
      <c r="D196" t="s">
        <v>20</v>
      </c>
      <c r="E196" t="s">
        <v>21</v>
      </c>
      <c r="F196" s="1">
        <v>45260</v>
      </c>
      <c r="G196" s="1">
        <v>46088</v>
      </c>
      <c r="H196">
        <v>73</v>
      </c>
      <c r="I196">
        <v>6</v>
      </c>
      <c r="J196">
        <v>0</v>
      </c>
      <c r="K196" t="str">
        <f t="shared" si="9"/>
        <v>Nov-2023</v>
      </c>
      <c r="L196" s="1">
        <f t="shared" ca="1" si="10"/>
        <v>70</v>
      </c>
      <c r="M196" t="str">
        <f t="shared" si="11"/>
        <v>26-35</v>
      </c>
    </row>
    <row r="197" spans="1:13" x14ac:dyDescent="0.2">
      <c r="A197" t="s">
        <v>406</v>
      </c>
      <c r="B197" t="s">
        <v>407</v>
      </c>
      <c r="C197">
        <v>30</v>
      </c>
      <c r="D197" t="s">
        <v>12</v>
      </c>
      <c r="E197" t="s">
        <v>21</v>
      </c>
      <c r="F197" s="1">
        <v>45441</v>
      </c>
      <c r="G197" s="1">
        <v>46079</v>
      </c>
      <c r="H197">
        <v>61</v>
      </c>
      <c r="I197">
        <v>10</v>
      </c>
      <c r="J197">
        <v>0</v>
      </c>
      <c r="K197" t="str">
        <f t="shared" si="9"/>
        <v>May-2024</v>
      </c>
      <c r="L197" s="1">
        <f t="shared" ca="1" si="10"/>
        <v>79</v>
      </c>
      <c r="M197" t="str">
        <f t="shared" si="11"/>
        <v>26-35</v>
      </c>
    </row>
    <row r="198" spans="1:13" x14ac:dyDescent="0.2">
      <c r="A198" t="s">
        <v>408</v>
      </c>
      <c r="B198" t="s">
        <v>409</v>
      </c>
      <c r="C198">
        <v>44</v>
      </c>
      <c r="D198" t="s">
        <v>16</v>
      </c>
      <c r="E198" t="s">
        <v>17</v>
      </c>
      <c r="F198" s="1">
        <v>45769</v>
      </c>
      <c r="G198" s="1">
        <v>46056</v>
      </c>
      <c r="H198">
        <v>8</v>
      </c>
      <c r="I198">
        <v>9</v>
      </c>
      <c r="J198">
        <v>0</v>
      </c>
      <c r="K198" t="str">
        <f t="shared" si="9"/>
        <v>Apr-2025</v>
      </c>
      <c r="L198" s="1">
        <f t="shared" ca="1" si="10"/>
        <v>102</v>
      </c>
      <c r="M198" t="str">
        <f t="shared" si="11"/>
        <v>36-45</v>
      </c>
    </row>
    <row r="199" spans="1:13" x14ac:dyDescent="0.2">
      <c r="A199" t="s">
        <v>410</v>
      </c>
      <c r="B199" t="s">
        <v>411</v>
      </c>
      <c r="C199">
        <v>50</v>
      </c>
      <c r="D199" t="s">
        <v>20</v>
      </c>
      <c r="E199" t="s">
        <v>17</v>
      </c>
      <c r="F199" s="1">
        <v>45765</v>
      </c>
      <c r="G199" s="1">
        <v>46106</v>
      </c>
      <c r="H199">
        <v>2</v>
      </c>
      <c r="I199">
        <v>7</v>
      </c>
      <c r="J199">
        <v>0</v>
      </c>
      <c r="K199" t="str">
        <f t="shared" si="9"/>
        <v>Apr-2025</v>
      </c>
      <c r="L199" s="1">
        <f t="shared" ca="1" si="10"/>
        <v>52</v>
      </c>
      <c r="M199" t="str">
        <f t="shared" si="11"/>
        <v>46+</v>
      </c>
    </row>
    <row r="200" spans="1:13" x14ac:dyDescent="0.2">
      <c r="A200" t="s">
        <v>412</v>
      </c>
      <c r="B200" t="s">
        <v>413</v>
      </c>
      <c r="C200">
        <v>38</v>
      </c>
      <c r="D200" t="s">
        <v>12</v>
      </c>
      <c r="E200" t="s">
        <v>17</v>
      </c>
      <c r="F200" s="1">
        <v>45481</v>
      </c>
      <c r="G200" s="1">
        <v>46031</v>
      </c>
      <c r="H200">
        <v>20</v>
      </c>
      <c r="I200">
        <v>6</v>
      </c>
      <c r="J200">
        <v>1</v>
      </c>
      <c r="K200" t="str">
        <f t="shared" si="9"/>
        <v>Jul-2024</v>
      </c>
      <c r="L200" s="1">
        <f t="shared" ca="1" si="10"/>
        <v>127</v>
      </c>
      <c r="M200" t="str">
        <f t="shared" si="11"/>
        <v>36-45</v>
      </c>
    </row>
    <row r="201" spans="1:13" x14ac:dyDescent="0.2">
      <c r="A201" t="s">
        <v>414</v>
      </c>
      <c r="B201" t="s">
        <v>415</v>
      </c>
      <c r="C201">
        <v>38</v>
      </c>
      <c r="D201" t="s">
        <v>20</v>
      </c>
      <c r="E201" t="s">
        <v>21</v>
      </c>
      <c r="F201" s="1">
        <v>45665</v>
      </c>
      <c r="G201" s="1">
        <v>46042</v>
      </c>
      <c r="H201">
        <v>78</v>
      </c>
      <c r="I201">
        <v>9</v>
      </c>
      <c r="J201">
        <v>0</v>
      </c>
      <c r="K201" t="str">
        <f t="shared" si="9"/>
        <v>Jan-2025</v>
      </c>
      <c r="L201" s="1">
        <f t="shared" ca="1" si="10"/>
        <v>116</v>
      </c>
      <c r="M201" t="str">
        <f t="shared" si="11"/>
        <v>36-45</v>
      </c>
    </row>
    <row r="202" spans="1:13" x14ac:dyDescent="0.2">
      <c r="A202" t="s">
        <v>416</v>
      </c>
      <c r="B202" t="s">
        <v>417</v>
      </c>
      <c r="C202">
        <v>24</v>
      </c>
      <c r="D202" t="s">
        <v>12</v>
      </c>
      <c r="E202" t="s">
        <v>13</v>
      </c>
      <c r="F202" s="1">
        <v>46118</v>
      </c>
      <c r="G202" s="1">
        <v>46077</v>
      </c>
      <c r="H202">
        <v>2</v>
      </c>
      <c r="I202">
        <v>3</v>
      </c>
      <c r="J202">
        <v>1</v>
      </c>
      <c r="K202" t="str">
        <f t="shared" si="9"/>
        <v>Apr-2026</v>
      </c>
      <c r="L202" s="1">
        <f t="shared" ca="1" si="10"/>
        <v>81</v>
      </c>
      <c r="M202" t="str">
        <f t="shared" si="11"/>
        <v>18-25</v>
      </c>
    </row>
    <row r="203" spans="1:13" x14ac:dyDescent="0.2">
      <c r="A203" t="s">
        <v>418</v>
      </c>
      <c r="B203" t="s">
        <v>419</v>
      </c>
      <c r="C203">
        <v>26</v>
      </c>
      <c r="D203" t="s">
        <v>16</v>
      </c>
      <c r="E203" t="s">
        <v>13</v>
      </c>
      <c r="F203" s="1">
        <v>45715</v>
      </c>
      <c r="G203" s="1">
        <v>46044</v>
      </c>
      <c r="H203">
        <v>8</v>
      </c>
      <c r="I203">
        <v>1</v>
      </c>
      <c r="J203">
        <v>1</v>
      </c>
      <c r="K203" t="str">
        <f t="shared" si="9"/>
        <v>Feb-2025</v>
      </c>
      <c r="L203" s="1">
        <f t="shared" ca="1" si="10"/>
        <v>114</v>
      </c>
      <c r="M203" t="str">
        <f t="shared" si="11"/>
        <v>26-35</v>
      </c>
    </row>
    <row r="204" spans="1:13" x14ac:dyDescent="0.2">
      <c r="A204" t="s">
        <v>420</v>
      </c>
      <c r="B204" t="s">
        <v>421</v>
      </c>
      <c r="C204">
        <v>24</v>
      </c>
      <c r="D204" t="s">
        <v>16</v>
      </c>
      <c r="E204" t="s">
        <v>21</v>
      </c>
      <c r="F204" s="1">
        <v>45961</v>
      </c>
      <c r="G204" s="1">
        <v>46064</v>
      </c>
      <c r="H204">
        <v>75</v>
      </c>
      <c r="I204">
        <v>8</v>
      </c>
      <c r="J204">
        <v>0</v>
      </c>
      <c r="K204" t="str">
        <f t="shared" si="9"/>
        <v>Oct-2025</v>
      </c>
      <c r="L204" s="1">
        <f t="shared" ca="1" si="10"/>
        <v>94</v>
      </c>
      <c r="M204" t="str">
        <f t="shared" si="11"/>
        <v>18-25</v>
      </c>
    </row>
    <row r="205" spans="1:13" x14ac:dyDescent="0.2">
      <c r="A205" t="s">
        <v>422</v>
      </c>
      <c r="B205" t="s">
        <v>423</v>
      </c>
      <c r="C205">
        <v>30</v>
      </c>
      <c r="D205" t="s">
        <v>16</v>
      </c>
      <c r="E205" t="s">
        <v>21</v>
      </c>
      <c r="F205" s="1">
        <v>45911</v>
      </c>
      <c r="G205" s="1">
        <v>46116</v>
      </c>
      <c r="H205">
        <v>6</v>
      </c>
      <c r="I205">
        <v>6</v>
      </c>
      <c r="J205">
        <v>0</v>
      </c>
      <c r="K205" t="str">
        <f t="shared" si="9"/>
        <v>Sep-2025</v>
      </c>
      <c r="L205" s="1">
        <f t="shared" ca="1" si="10"/>
        <v>42</v>
      </c>
      <c r="M205" t="str">
        <f t="shared" si="11"/>
        <v>26-35</v>
      </c>
    </row>
    <row r="206" spans="1:13" x14ac:dyDescent="0.2">
      <c r="A206" t="s">
        <v>424</v>
      </c>
      <c r="B206" t="s">
        <v>425</v>
      </c>
      <c r="C206">
        <v>39</v>
      </c>
      <c r="D206" t="s">
        <v>12</v>
      </c>
      <c r="E206" t="s">
        <v>21</v>
      </c>
      <c r="F206" s="1">
        <v>45693</v>
      </c>
      <c r="G206" s="1">
        <v>46063</v>
      </c>
      <c r="H206">
        <v>61</v>
      </c>
      <c r="I206">
        <v>8</v>
      </c>
      <c r="J206">
        <v>1</v>
      </c>
      <c r="K206" t="str">
        <f t="shared" si="9"/>
        <v>Feb-2025</v>
      </c>
      <c r="L206" s="1">
        <f t="shared" ca="1" si="10"/>
        <v>95</v>
      </c>
      <c r="M206" t="str">
        <f t="shared" si="11"/>
        <v>36-45</v>
      </c>
    </row>
    <row r="207" spans="1:13" x14ac:dyDescent="0.2">
      <c r="A207" t="s">
        <v>426</v>
      </c>
      <c r="B207" t="s">
        <v>427</v>
      </c>
      <c r="C207">
        <v>41</v>
      </c>
      <c r="D207" t="s">
        <v>20</v>
      </c>
      <c r="E207" t="s">
        <v>21</v>
      </c>
      <c r="F207" s="1">
        <v>45933</v>
      </c>
      <c r="G207" s="1">
        <v>46084</v>
      </c>
      <c r="H207">
        <v>80</v>
      </c>
      <c r="I207">
        <v>6</v>
      </c>
      <c r="J207">
        <v>1</v>
      </c>
      <c r="K207" t="str">
        <f t="shared" si="9"/>
        <v>Oct-2025</v>
      </c>
      <c r="L207" s="1">
        <f t="shared" ca="1" si="10"/>
        <v>74</v>
      </c>
      <c r="M207" t="str">
        <f t="shared" si="11"/>
        <v>36-45</v>
      </c>
    </row>
    <row r="208" spans="1:13" x14ac:dyDescent="0.2">
      <c r="A208" t="s">
        <v>428</v>
      </c>
      <c r="B208" t="s">
        <v>429</v>
      </c>
      <c r="C208">
        <v>40</v>
      </c>
      <c r="D208" t="s">
        <v>20</v>
      </c>
      <c r="E208" t="s">
        <v>13</v>
      </c>
      <c r="F208" s="1">
        <v>45173</v>
      </c>
      <c r="G208" s="1">
        <v>46032</v>
      </c>
      <c r="H208">
        <v>37</v>
      </c>
      <c r="I208">
        <v>1</v>
      </c>
      <c r="J208">
        <v>1</v>
      </c>
      <c r="K208" t="str">
        <f t="shared" si="9"/>
        <v>Sep-2023</v>
      </c>
      <c r="L208" s="1">
        <f t="shared" ca="1" si="10"/>
        <v>126</v>
      </c>
      <c r="M208" t="str">
        <f t="shared" si="11"/>
        <v>36-45</v>
      </c>
    </row>
    <row r="209" spans="1:13" x14ac:dyDescent="0.2">
      <c r="A209" t="s">
        <v>430</v>
      </c>
      <c r="B209" t="s">
        <v>431</v>
      </c>
      <c r="C209">
        <v>51</v>
      </c>
      <c r="D209" t="s">
        <v>12</v>
      </c>
      <c r="E209" t="s">
        <v>13</v>
      </c>
      <c r="F209" s="1">
        <v>45813</v>
      </c>
      <c r="G209" s="1">
        <v>46035</v>
      </c>
      <c r="H209">
        <v>27</v>
      </c>
      <c r="I209">
        <v>5</v>
      </c>
      <c r="J209">
        <v>0</v>
      </c>
      <c r="K209" t="str">
        <f t="shared" si="9"/>
        <v>Jun-2025</v>
      </c>
      <c r="L209" s="1">
        <f t="shared" ca="1" si="10"/>
        <v>123</v>
      </c>
      <c r="M209" t="str">
        <f t="shared" si="11"/>
        <v>46+</v>
      </c>
    </row>
    <row r="210" spans="1:13" x14ac:dyDescent="0.2">
      <c r="A210" t="s">
        <v>432</v>
      </c>
      <c r="B210" t="s">
        <v>433</v>
      </c>
      <c r="C210">
        <v>39</v>
      </c>
      <c r="D210" t="s">
        <v>12</v>
      </c>
      <c r="E210" t="s">
        <v>21</v>
      </c>
      <c r="F210" s="1">
        <v>46109</v>
      </c>
      <c r="G210" s="1">
        <v>46136</v>
      </c>
      <c r="H210">
        <v>42</v>
      </c>
      <c r="I210">
        <v>6</v>
      </c>
      <c r="J210">
        <v>0</v>
      </c>
      <c r="K210" t="str">
        <f t="shared" si="9"/>
        <v>Mar-2026</v>
      </c>
      <c r="L210" s="1">
        <f t="shared" ca="1" si="10"/>
        <v>22</v>
      </c>
      <c r="M210" t="str">
        <f t="shared" si="11"/>
        <v>36-45</v>
      </c>
    </row>
    <row r="211" spans="1:13" x14ac:dyDescent="0.2">
      <c r="A211" t="s">
        <v>434</v>
      </c>
      <c r="B211" t="s">
        <v>435</v>
      </c>
      <c r="C211">
        <v>58</v>
      </c>
      <c r="D211" t="s">
        <v>20</v>
      </c>
      <c r="E211" t="s">
        <v>13</v>
      </c>
      <c r="F211" s="1">
        <v>45489</v>
      </c>
      <c r="G211" s="1">
        <v>46082</v>
      </c>
      <c r="H211">
        <v>72</v>
      </c>
      <c r="I211">
        <v>7</v>
      </c>
      <c r="J211">
        <v>0</v>
      </c>
      <c r="K211" t="str">
        <f t="shared" si="9"/>
        <v>Jul-2024</v>
      </c>
      <c r="L211" s="1">
        <f t="shared" ca="1" si="10"/>
        <v>76</v>
      </c>
      <c r="M211" t="str">
        <f t="shared" si="11"/>
        <v>46+</v>
      </c>
    </row>
    <row r="212" spans="1:13" x14ac:dyDescent="0.2">
      <c r="A212" t="s">
        <v>436</v>
      </c>
      <c r="B212" t="s">
        <v>437</v>
      </c>
      <c r="C212">
        <v>49</v>
      </c>
      <c r="D212" t="s">
        <v>16</v>
      </c>
      <c r="E212" t="s">
        <v>21</v>
      </c>
      <c r="F212" s="1">
        <v>45166</v>
      </c>
      <c r="G212" s="1">
        <v>46146</v>
      </c>
      <c r="H212">
        <v>69</v>
      </c>
      <c r="I212">
        <v>5</v>
      </c>
      <c r="J212">
        <v>0</v>
      </c>
      <c r="K212" t="str">
        <f t="shared" si="9"/>
        <v>Aug-2023</v>
      </c>
      <c r="L212" s="1">
        <f t="shared" ca="1" si="10"/>
        <v>12</v>
      </c>
      <c r="M212" t="str">
        <f t="shared" si="11"/>
        <v>46+</v>
      </c>
    </row>
    <row r="213" spans="1:13" x14ac:dyDescent="0.2">
      <c r="A213" t="s">
        <v>438</v>
      </c>
      <c r="B213" t="s">
        <v>439</v>
      </c>
      <c r="C213">
        <v>59</v>
      </c>
      <c r="D213" t="s">
        <v>20</v>
      </c>
      <c r="E213" t="s">
        <v>21</v>
      </c>
      <c r="F213" s="1">
        <v>45845</v>
      </c>
      <c r="G213" s="1">
        <v>46054</v>
      </c>
      <c r="H213">
        <v>71</v>
      </c>
      <c r="I213">
        <v>8</v>
      </c>
      <c r="J213">
        <v>1</v>
      </c>
      <c r="K213" t="str">
        <f t="shared" si="9"/>
        <v>Jul-2025</v>
      </c>
      <c r="L213" s="1">
        <f t="shared" ca="1" si="10"/>
        <v>104</v>
      </c>
      <c r="M213" t="str">
        <f t="shared" si="11"/>
        <v>46+</v>
      </c>
    </row>
    <row r="214" spans="1:13" x14ac:dyDescent="0.2">
      <c r="A214" t="s">
        <v>440</v>
      </c>
      <c r="B214" t="s">
        <v>441</v>
      </c>
      <c r="C214">
        <v>27</v>
      </c>
      <c r="D214" t="s">
        <v>20</v>
      </c>
      <c r="E214" t="s">
        <v>13</v>
      </c>
      <c r="F214" s="1">
        <v>45441</v>
      </c>
      <c r="G214" s="1">
        <v>46114</v>
      </c>
      <c r="H214">
        <v>5</v>
      </c>
      <c r="I214">
        <v>1</v>
      </c>
      <c r="J214">
        <v>1</v>
      </c>
      <c r="K214" t="str">
        <f t="shared" si="9"/>
        <v>May-2024</v>
      </c>
      <c r="L214" s="1">
        <f t="shared" ca="1" si="10"/>
        <v>44</v>
      </c>
      <c r="M214" t="str">
        <f t="shared" si="11"/>
        <v>26-35</v>
      </c>
    </row>
    <row r="215" spans="1:13" x14ac:dyDescent="0.2">
      <c r="A215" t="s">
        <v>442</v>
      </c>
      <c r="B215" t="s">
        <v>443</v>
      </c>
      <c r="C215">
        <v>49</v>
      </c>
      <c r="D215" t="s">
        <v>20</v>
      </c>
      <c r="E215" t="s">
        <v>21</v>
      </c>
      <c r="F215" s="1">
        <v>45340</v>
      </c>
      <c r="G215" s="1">
        <v>46096</v>
      </c>
      <c r="H215">
        <v>57</v>
      </c>
      <c r="I215">
        <v>9</v>
      </c>
      <c r="J215">
        <v>0</v>
      </c>
      <c r="K215" t="str">
        <f t="shared" si="9"/>
        <v>Feb-2024</v>
      </c>
      <c r="L215" s="1">
        <f t="shared" ca="1" si="10"/>
        <v>62</v>
      </c>
      <c r="M215" t="str">
        <f t="shared" si="11"/>
        <v>46+</v>
      </c>
    </row>
    <row r="216" spans="1:13" x14ac:dyDescent="0.2">
      <c r="A216" t="s">
        <v>444</v>
      </c>
      <c r="B216" t="s">
        <v>445</v>
      </c>
      <c r="C216">
        <v>49</v>
      </c>
      <c r="D216" t="s">
        <v>20</v>
      </c>
      <c r="E216" t="s">
        <v>13</v>
      </c>
      <c r="F216" s="1">
        <v>45752</v>
      </c>
      <c r="G216" s="1">
        <v>46103</v>
      </c>
      <c r="H216">
        <v>24</v>
      </c>
      <c r="I216">
        <v>9</v>
      </c>
      <c r="J216">
        <v>0</v>
      </c>
      <c r="K216" t="str">
        <f t="shared" si="9"/>
        <v>Apr-2025</v>
      </c>
      <c r="L216" s="1">
        <f t="shared" ca="1" si="10"/>
        <v>55</v>
      </c>
      <c r="M216" t="str">
        <f t="shared" si="11"/>
        <v>46+</v>
      </c>
    </row>
    <row r="217" spans="1:13" x14ac:dyDescent="0.2">
      <c r="A217" t="s">
        <v>446</v>
      </c>
      <c r="B217" t="s">
        <v>447</v>
      </c>
      <c r="C217">
        <v>52</v>
      </c>
      <c r="D217" t="s">
        <v>20</v>
      </c>
      <c r="E217" t="s">
        <v>17</v>
      </c>
      <c r="F217" s="1">
        <v>46064</v>
      </c>
      <c r="G217" s="1">
        <v>46150</v>
      </c>
      <c r="H217">
        <v>28</v>
      </c>
      <c r="I217">
        <v>7</v>
      </c>
      <c r="J217">
        <v>0</v>
      </c>
      <c r="K217" t="str">
        <f t="shared" si="9"/>
        <v>Feb-2026</v>
      </c>
      <c r="L217" s="1">
        <f t="shared" ca="1" si="10"/>
        <v>8</v>
      </c>
      <c r="M217" t="str">
        <f t="shared" si="11"/>
        <v>46+</v>
      </c>
    </row>
    <row r="218" spans="1:13" x14ac:dyDescent="0.2">
      <c r="A218" t="s">
        <v>448</v>
      </c>
      <c r="B218" t="s">
        <v>449</v>
      </c>
      <c r="C218">
        <v>27</v>
      </c>
      <c r="D218" t="s">
        <v>20</v>
      </c>
      <c r="E218" t="s">
        <v>17</v>
      </c>
      <c r="F218" s="1">
        <v>45313</v>
      </c>
      <c r="G218" s="1">
        <v>46109</v>
      </c>
      <c r="H218">
        <v>57</v>
      </c>
      <c r="I218">
        <v>8</v>
      </c>
      <c r="J218">
        <v>0</v>
      </c>
      <c r="K218" t="str">
        <f t="shared" si="9"/>
        <v>Jan-2024</v>
      </c>
      <c r="L218" s="1">
        <f t="shared" ca="1" si="10"/>
        <v>49</v>
      </c>
      <c r="M218" t="str">
        <f t="shared" si="11"/>
        <v>26-35</v>
      </c>
    </row>
    <row r="219" spans="1:13" x14ac:dyDescent="0.2">
      <c r="A219" t="s">
        <v>450</v>
      </c>
      <c r="B219" t="s">
        <v>451</v>
      </c>
      <c r="C219">
        <v>20</v>
      </c>
      <c r="D219" t="s">
        <v>12</v>
      </c>
      <c r="E219" t="s">
        <v>13</v>
      </c>
      <c r="F219" s="1">
        <v>45929</v>
      </c>
      <c r="G219" s="1">
        <v>46103</v>
      </c>
      <c r="H219">
        <v>73</v>
      </c>
      <c r="I219">
        <v>5</v>
      </c>
      <c r="J219">
        <v>0</v>
      </c>
      <c r="K219" t="str">
        <f t="shared" si="9"/>
        <v>Sep-2025</v>
      </c>
      <c r="L219" s="1">
        <f t="shared" ca="1" si="10"/>
        <v>55</v>
      </c>
      <c r="M219" t="str">
        <f t="shared" si="11"/>
        <v>18-25</v>
      </c>
    </row>
    <row r="220" spans="1:13" x14ac:dyDescent="0.2">
      <c r="A220" t="s">
        <v>452</v>
      </c>
      <c r="B220" t="s">
        <v>453</v>
      </c>
      <c r="C220">
        <v>23</v>
      </c>
      <c r="D220" t="s">
        <v>12</v>
      </c>
      <c r="E220" t="s">
        <v>17</v>
      </c>
      <c r="F220" s="1">
        <v>45482</v>
      </c>
      <c r="G220" s="1">
        <v>46119</v>
      </c>
      <c r="H220">
        <v>58</v>
      </c>
      <c r="I220">
        <v>5</v>
      </c>
      <c r="J220">
        <v>0</v>
      </c>
      <c r="K220" t="str">
        <f t="shared" si="9"/>
        <v>Jul-2024</v>
      </c>
      <c r="L220" s="1">
        <f t="shared" ca="1" si="10"/>
        <v>39</v>
      </c>
      <c r="M220" t="str">
        <f t="shared" si="11"/>
        <v>18-25</v>
      </c>
    </row>
    <row r="221" spans="1:13" x14ac:dyDescent="0.2">
      <c r="A221" t="s">
        <v>454</v>
      </c>
      <c r="B221" t="s">
        <v>139</v>
      </c>
      <c r="C221">
        <v>46</v>
      </c>
      <c r="D221" t="s">
        <v>12</v>
      </c>
      <c r="E221" t="s">
        <v>21</v>
      </c>
      <c r="F221" s="1">
        <v>45939</v>
      </c>
      <c r="G221" s="1">
        <v>46129</v>
      </c>
      <c r="H221">
        <v>35</v>
      </c>
      <c r="I221">
        <v>2</v>
      </c>
      <c r="J221">
        <v>0</v>
      </c>
      <c r="K221" t="str">
        <f t="shared" si="9"/>
        <v>Oct-2025</v>
      </c>
      <c r="L221" s="1">
        <f t="shared" ca="1" si="10"/>
        <v>29</v>
      </c>
      <c r="M221" t="str">
        <f t="shared" si="11"/>
        <v>46+</v>
      </c>
    </row>
    <row r="222" spans="1:13" x14ac:dyDescent="0.2">
      <c r="A222" t="s">
        <v>455</v>
      </c>
      <c r="B222" t="s">
        <v>456</v>
      </c>
      <c r="C222">
        <v>52</v>
      </c>
      <c r="D222" t="s">
        <v>16</v>
      </c>
      <c r="E222" t="s">
        <v>13</v>
      </c>
      <c r="F222" s="1">
        <v>45238</v>
      </c>
      <c r="G222" s="1">
        <v>46122</v>
      </c>
      <c r="H222">
        <v>66</v>
      </c>
      <c r="I222">
        <v>2</v>
      </c>
      <c r="J222">
        <v>0</v>
      </c>
      <c r="K222" t="str">
        <f t="shared" si="9"/>
        <v>Nov-2023</v>
      </c>
      <c r="L222" s="1">
        <f t="shared" ca="1" si="10"/>
        <v>36</v>
      </c>
      <c r="M222" t="str">
        <f t="shared" si="11"/>
        <v>46+</v>
      </c>
    </row>
    <row r="223" spans="1:13" x14ac:dyDescent="0.2">
      <c r="A223" t="s">
        <v>457</v>
      </c>
      <c r="B223" t="s">
        <v>458</v>
      </c>
      <c r="C223">
        <v>44</v>
      </c>
      <c r="D223" t="s">
        <v>12</v>
      </c>
      <c r="E223" t="s">
        <v>21</v>
      </c>
      <c r="F223" s="1">
        <v>45667</v>
      </c>
      <c r="G223" s="1">
        <v>46071</v>
      </c>
      <c r="H223">
        <v>7</v>
      </c>
      <c r="I223">
        <v>2</v>
      </c>
      <c r="J223">
        <v>0</v>
      </c>
      <c r="K223" t="str">
        <f t="shared" si="9"/>
        <v>Jan-2025</v>
      </c>
      <c r="L223" s="1">
        <f t="shared" ca="1" si="10"/>
        <v>87</v>
      </c>
      <c r="M223" t="str">
        <f t="shared" si="11"/>
        <v>36-45</v>
      </c>
    </row>
    <row r="224" spans="1:13" x14ac:dyDescent="0.2">
      <c r="A224" t="s">
        <v>459</v>
      </c>
      <c r="B224" t="s">
        <v>460</v>
      </c>
      <c r="C224">
        <v>49</v>
      </c>
      <c r="D224" t="s">
        <v>12</v>
      </c>
      <c r="E224" t="s">
        <v>21</v>
      </c>
      <c r="F224" s="1">
        <v>45190</v>
      </c>
      <c r="G224" s="1">
        <v>46129</v>
      </c>
      <c r="H224">
        <v>57</v>
      </c>
      <c r="I224">
        <v>7</v>
      </c>
      <c r="J224">
        <v>1</v>
      </c>
      <c r="K224" t="str">
        <f t="shared" si="9"/>
        <v>Sep-2023</v>
      </c>
      <c r="L224" s="1">
        <f t="shared" ca="1" si="10"/>
        <v>29</v>
      </c>
      <c r="M224" t="str">
        <f t="shared" si="11"/>
        <v>46+</v>
      </c>
    </row>
    <row r="225" spans="1:13" x14ac:dyDescent="0.2">
      <c r="A225" t="s">
        <v>461</v>
      </c>
      <c r="B225" t="s">
        <v>462</v>
      </c>
      <c r="C225">
        <v>39</v>
      </c>
      <c r="D225" t="s">
        <v>12</v>
      </c>
      <c r="E225" t="s">
        <v>21</v>
      </c>
      <c r="F225" s="1">
        <v>45756</v>
      </c>
      <c r="G225" s="1">
        <v>46062</v>
      </c>
      <c r="H225">
        <v>65</v>
      </c>
      <c r="I225">
        <v>5</v>
      </c>
      <c r="J225">
        <v>0</v>
      </c>
      <c r="K225" t="str">
        <f t="shared" si="9"/>
        <v>Apr-2025</v>
      </c>
      <c r="L225" s="1">
        <f t="shared" ca="1" si="10"/>
        <v>96</v>
      </c>
      <c r="M225" t="str">
        <f t="shared" si="11"/>
        <v>36-45</v>
      </c>
    </row>
    <row r="226" spans="1:13" x14ac:dyDescent="0.2">
      <c r="A226" t="s">
        <v>463</v>
      </c>
      <c r="B226" t="s">
        <v>464</v>
      </c>
      <c r="C226">
        <v>36</v>
      </c>
      <c r="D226" t="s">
        <v>16</v>
      </c>
      <c r="E226" t="s">
        <v>21</v>
      </c>
      <c r="F226" s="1">
        <v>45534</v>
      </c>
      <c r="G226" s="1">
        <v>46119</v>
      </c>
      <c r="H226">
        <v>1</v>
      </c>
      <c r="I226">
        <v>7</v>
      </c>
      <c r="J226">
        <v>0</v>
      </c>
      <c r="K226" t="str">
        <f t="shared" si="9"/>
        <v>Aug-2024</v>
      </c>
      <c r="L226" s="1">
        <f t="shared" ca="1" si="10"/>
        <v>39</v>
      </c>
      <c r="M226" t="str">
        <f t="shared" si="11"/>
        <v>36-45</v>
      </c>
    </row>
    <row r="227" spans="1:13" x14ac:dyDescent="0.2">
      <c r="A227" t="s">
        <v>465</v>
      </c>
      <c r="B227" t="s">
        <v>466</v>
      </c>
      <c r="C227">
        <v>42</v>
      </c>
      <c r="D227" t="s">
        <v>12</v>
      </c>
      <c r="E227" t="s">
        <v>13</v>
      </c>
      <c r="F227" s="1">
        <v>46088</v>
      </c>
      <c r="G227" s="1">
        <v>46101</v>
      </c>
      <c r="H227">
        <v>15</v>
      </c>
      <c r="I227">
        <v>8</v>
      </c>
      <c r="J227">
        <v>0</v>
      </c>
      <c r="K227" t="str">
        <f t="shared" si="9"/>
        <v>Mar-2026</v>
      </c>
      <c r="L227" s="1">
        <f t="shared" ca="1" si="10"/>
        <v>57</v>
      </c>
      <c r="M227" t="str">
        <f t="shared" si="11"/>
        <v>36-45</v>
      </c>
    </row>
    <row r="228" spans="1:13" x14ac:dyDescent="0.2">
      <c r="A228" t="s">
        <v>467</v>
      </c>
      <c r="B228" t="s">
        <v>468</v>
      </c>
      <c r="C228">
        <v>36</v>
      </c>
      <c r="D228" t="s">
        <v>20</v>
      </c>
      <c r="E228" t="s">
        <v>13</v>
      </c>
      <c r="F228" s="1">
        <v>45712</v>
      </c>
      <c r="G228" s="1">
        <v>46107</v>
      </c>
      <c r="H228">
        <v>48</v>
      </c>
      <c r="I228">
        <v>10</v>
      </c>
      <c r="J228">
        <v>0</v>
      </c>
      <c r="K228" t="str">
        <f t="shared" si="9"/>
        <v>Feb-2025</v>
      </c>
      <c r="L228" s="1">
        <f t="shared" ca="1" si="10"/>
        <v>51</v>
      </c>
      <c r="M228" t="str">
        <f t="shared" si="11"/>
        <v>36-45</v>
      </c>
    </row>
    <row r="229" spans="1:13" x14ac:dyDescent="0.2">
      <c r="A229" t="s">
        <v>469</v>
      </c>
      <c r="B229" t="s">
        <v>470</v>
      </c>
      <c r="C229">
        <v>49</v>
      </c>
      <c r="D229" t="s">
        <v>12</v>
      </c>
      <c r="E229" t="s">
        <v>21</v>
      </c>
      <c r="F229" s="1">
        <v>45254</v>
      </c>
      <c r="G229" s="1">
        <v>46044</v>
      </c>
      <c r="H229">
        <v>37</v>
      </c>
      <c r="I229">
        <v>10</v>
      </c>
      <c r="J229">
        <v>1</v>
      </c>
      <c r="K229" t="str">
        <f t="shared" si="9"/>
        <v>Nov-2023</v>
      </c>
      <c r="L229" s="1">
        <f t="shared" ca="1" si="10"/>
        <v>114</v>
      </c>
      <c r="M229" t="str">
        <f t="shared" si="11"/>
        <v>46+</v>
      </c>
    </row>
    <row r="230" spans="1:13" x14ac:dyDescent="0.2">
      <c r="A230" t="s">
        <v>471</v>
      </c>
      <c r="B230" t="s">
        <v>472</v>
      </c>
      <c r="C230">
        <v>43</v>
      </c>
      <c r="D230" t="s">
        <v>12</v>
      </c>
      <c r="E230" t="s">
        <v>13</v>
      </c>
      <c r="F230" s="1">
        <v>45877</v>
      </c>
      <c r="G230" s="1">
        <v>46084</v>
      </c>
      <c r="H230">
        <v>48</v>
      </c>
      <c r="I230">
        <v>4</v>
      </c>
      <c r="J230">
        <v>1</v>
      </c>
      <c r="K230" t="str">
        <f t="shared" si="9"/>
        <v>Aug-2025</v>
      </c>
      <c r="L230" s="1">
        <f t="shared" ca="1" si="10"/>
        <v>74</v>
      </c>
      <c r="M230" t="str">
        <f t="shared" si="11"/>
        <v>36-45</v>
      </c>
    </row>
    <row r="231" spans="1:13" x14ac:dyDescent="0.2">
      <c r="A231" t="s">
        <v>473</v>
      </c>
      <c r="B231" t="s">
        <v>474</v>
      </c>
      <c r="C231">
        <v>35</v>
      </c>
      <c r="D231" t="s">
        <v>20</v>
      </c>
      <c r="E231" t="s">
        <v>21</v>
      </c>
      <c r="F231" s="1">
        <v>46037</v>
      </c>
      <c r="G231" s="1">
        <v>46116</v>
      </c>
      <c r="H231">
        <v>45</v>
      </c>
      <c r="I231">
        <v>8</v>
      </c>
      <c r="J231">
        <v>0</v>
      </c>
      <c r="K231" t="str">
        <f t="shared" si="9"/>
        <v>Jan-2026</v>
      </c>
      <c r="L231" s="1">
        <f t="shared" ca="1" si="10"/>
        <v>42</v>
      </c>
      <c r="M231" t="str">
        <f t="shared" si="11"/>
        <v>26-35</v>
      </c>
    </row>
    <row r="232" spans="1:13" x14ac:dyDescent="0.2">
      <c r="A232" t="s">
        <v>475</v>
      </c>
      <c r="B232" t="s">
        <v>476</v>
      </c>
      <c r="C232">
        <v>53</v>
      </c>
      <c r="D232" t="s">
        <v>12</v>
      </c>
      <c r="E232" t="s">
        <v>13</v>
      </c>
      <c r="F232" s="1">
        <v>45417</v>
      </c>
      <c r="G232" s="1">
        <v>46074</v>
      </c>
      <c r="H232">
        <v>2</v>
      </c>
      <c r="I232">
        <v>2</v>
      </c>
      <c r="J232">
        <v>1</v>
      </c>
      <c r="K232" t="str">
        <f t="shared" si="9"/>
        <v>May-2024</v>
      </c>
      <c r="L232" s="1">
        <f t="shared" ca="1" si="10"/>
        <v>84</v>
      </c>
      <c r="M232" t="str">
        <f t="shared" si="11"/>
        <v>46+</v>
      </c>
    </row>
    <row r="233" spans="1:13" x14ac:dyDescent="0.2">
      <c r="A233" t="s">
        <v>477</v>
      </c>
      <c r="B233" t="s">
        <v>478</v>
      </c>
      <c r="C233">
        <v>46</v>
      </c>
      <c r="D233" t="s">
        <v>12</v>
      </c>
      <c r="E233" t="s">
        <v>21</v>
      </c>
      <c r="F233" s="1">
        <v>45557</v>
      </c>
      <c r="G233" s="1">
        <v>46092</v>
      </c>
      <c r="H233">
        <v>68</v>
      </c>
      <c r="I233">
        <v>2</v>
      </c>
      <c r="J233">
        <v>1</v>
      </c>
      <c r="K233" t="str">
        <f t="shared" si="9"/>
        <v>Sep-2024</v>
      </c>
      <c r="L233" s="1">
        <f t="shared" ca="1" si="10"/>
        <v>66</v>
      </c>
      <c r="M233" t="str">
        <f t="shared" si="11"/>
        <v>46+</v>
      </c>
    </row>
    <row r="234" spans="1:13" x14ac:dyDescent="0.2">
      <c r="A234" t="s">
        <v>479</v>
      </c>
      <c r="B234" t="s">
        <v>480</v>
      </c>
      <c r="C234">
        <v>43</v>
      </c>
      <c r="D234" t="s">
        <v>20</v>
      </c>
      <c r="E234" t="s">
        <v>17</v>
      </c>
      <c r="F234" s="1">
        <v>45799</v>
      </c>
      <c r="G234" s="1">
        <v>46053</v>
      </c>
      <c r="H234">
        <v>32</v>
      </c>
      <c r="I234">
        <v>8</v>
      </c>
      <c r="J234">
        <v>0</v>
      </c>
      <c r="K234" t="str">
        <f t="shared" si="9"/>
        <v>May-2025</v>
      </c>
      <c r="L234" s="1">
        <f t="shared" ca="1" si="10"/>
        <v>105</v>
      </c>
      <c r="M234" t="str">
        <f t="shared" si="11"/>
        <v>36-45</v>
      </c>
    </row>
    <row r="235" spans="1:13" x14ac:dyDescent="0.2">
      <c r="A235" t="s">
        <v>481</v>
      </c>
      <c r="B235" t="s">
        <v>482</v>
      </c>
      <c r="C235">
        <v>39</v>
      </c>
      <c r="D235" t="s">
        <v>16</v>
      </c>
      <c r="E235" t="s">
        <v>21</v>
      </c>
      <c r="F235" s="1">
        <v>45779</v>
      </c>
      <c r="G235" s="1">
        <v>46101</v>
      </c>
      <c r="H235">
        <v>25</v>
      </c>
      <c r="I235">
        <v>6</v>
      </c>
      <c r="J235">
        <v>0</v>
      </c>
      <c r="K235" t="str">
        <f t="shared" si="9"/>
        <v>May-2025</v>
      </c>
      <c r="L235" s="1">
        <f t="shared" ca="1" si="10"/>
        <v>57</v>
      </c>
      <c r="M235" t="str">
        <f t="shared" si="11"/>
        <v>36-45</v>
      </c>
    </row>
    <row r="236" spans="1:13" x14ac:dyDescent="0.2">
      <c r="A236" t="s">
        <v>483</v>
      </c>
      <c r="B236" t="s">
        <v>484</v>
      </c>
      <c r="C236">
        <v>60</v>
      </c>
      <c r="D236" t="s">
        <v>16</v>
      </c>
      <c r="E236" t="s">
        <v>17</v>
      </c>
      <c r="F236" s="1">
        <v>45561</v>
      </c>
      <c r="G236" s="1">
        <v>46142</v>
      </c>
      <c r="H236">
        <v>48</v>
      </c>
      <c r="I236">
        <v>3</v>
      </c>
      <c r="J236">
        <v>1</v>
      </c>
      <c r="K236" t="str">
        <f t="shared" si="9"/>
        <v>Sep-2024</v>
      </c>
      <c r="L236" s="1">
        <f t="shared" ca="1" si="10"/>
        <v>16</v>
      </c>
      <c r="M236" t="str">
        <f t="shared" si="11"/>
        <v>46+</v>
      </c>
    </row>
    <row r="237" spans="1:13" x14ac:dyDescent="0.2">
      <c r="A237" t="s">
        <v>485</v>
      </c>
      <c r="B237" t="s">
        <v>486</v>
      </c>
      <c r="C237">
        <v>25</v>
      </c>
      <c r="D237" t="s">
        <v>12</v>
      </c>
      <c r="E237" t="s">
        <v>17</v>
      </c>
      <c r="F237" s="1">
        <v>46076</v>
      </c>
      <c r="G237" s="1">
        <v>46050</v>
      </c>
      <c r="H237">
        <v>34</v>
      </c>
      <c r="I237">
        <v>10</v>
      </c>
      <c r="J237">
        <v>1</v>
      </c>
      <c r="K237" t="str">
        <f t="shared" si="9"/>
        <v>Feb-2026</v>
      </c>
      <c r="L237" s="1">
        <f t="shared" ca="1" si="10"/>
        <v>108</v>
      </c>
      <c r="M237" t="str">
        <f t="shared" si="11"/>
        <v>18-25</v>
      </c>
    </row>
    <row r="238" spans="1:13" x14ac:dyDescent="0.2">
      <c r="A238" t="s">
        <v>487</v>
      </c>
      <c r="B238" t="s">
        <v>488</v>
      </c>
      <c r="C238">
        <v>39</v>
      </c>
      <c r="D238" t="s">
        <v>12</v>
      </c>
      <c r="E238" t="s">
        <v>17</v>
      </c>
      <c r="F238" s="1">
        <v>45782</v>
      </c>
      <c r="G238" s="1">
        <v>46055</v>
      </c>
      <c r="H238">
        <v>15</v>
      </c>
      <c r="I238">
        <v>3</v>
      </c>
      <c r="J238">
        <v>0</v>
      </c>
      <c r="K238" t="str">
        <f t="shared" si="9"/>
        <v>May-2025</v>
      </c>
      <c r="L238" s="1">
        <f t="shared" ca="1" si="10"/>
        <v>103</v>
      </c>
      <c r="M238" t="str">
        <f t="shared" si="11"/>
        <v>36-45</v>
      </c>
    </row>
    <row r="239" spans="1:13" x14ac:dyDescent="0.2">
      <c r="A239" t="s">
        <v>489</v>
      </c>
      <c r="B239" t="s">
        <v>490</v>
      </c>
      <c r="C239">
        <v>51</v>
      </c>
      <c r="D239" t="s">
        <v>12</v>
      </c>
      <c r="E239" t="s">
        <v>21</v>
      </c>
      <c r="F239" s="1">
        <v>45345</v>
      </c>
      <c r="G239" s="1">
        <v>46083</v>
      </c>
      <c r="H239">
        <v>18</v>
      </c>
      <c r="I239">
        <v>9</v>
      </c>
      <c r="J239">
        <v>0</v>
      </c>
      <c r="K239" t="str">
        <f t="shared" si="9"/>
        <v>Feb-2024</v>
      </c>
      <c r="L239" s="1">
        <f t="shared" ca="1" si="10"/>
        <v>75</v>
      </c>
      <c r="M239" t="str">
        <f t="shared" si="11"/>
        <v>46+</v>
      </c>
    </row>
    <row r="240" spans="1:13" x14ac:dyDescent="0.2">
      <c r="A240" t="s">
        <v>491</v>
      </c>
      <c r="B240" t="s">
        <v>492</v>
      </c>
      <c r="C240">
        <v>53</v>
      </c>
      <c r="D240" t="s">
        <v>16</v>
      </c>
      <c r="E240" t="s">
        <v>13</v>
      </c>
      <c r="F240" s="1">
        <v>45892</v>
      </c>
      <c r="G240" s="1">
        <v>46118</v>
      </c>
      <c r="H240">
        <v>11</v>
      </c>
      <c r="I240">
        <v>6</v>
      </c>
      <c r="J240">
        <v>0</v>
      </c>
      <c r="K240" t="str">
        <f t="shared" si="9"/>
        <v>Aug-2025</v>
      </c>
      <c r="L240" s="1">
        <f t="shared" ca="1" si="10"/>
        <v>40</v>
      </c>
      <c r="M240" t="str">
        <f t="shared" si="11"/>
        <v>46+</v>
      </c>
    </row>
    <row r="241" spans="1:13" x14ac:dyDescent="0.2">
      <c r="A241" t="s">
        <v>493</v>
      </c>
      <c r="B241" t="s">
        <v>494</v>
      </c>
      <c r="C241">
        <v>22</v>
      </c>
      <c r="D241" t="s">
        <v>20</v>
      </c>
      <c r="E241" t="s">
        <v>21</v>
      </c>
      <c r="F241" s="1">
        <v>45219</v>
      </c>
      <c r="G241" s="1">
        <v>46098</v>
      </c>
      <c r="H241">
        <v>14</v>
      </c>
      <c r="I241">
        <v>2</v>
      </c>
      <c r="J241">
        <v>1</v>
      </c>
      <c r="K241" t="str">
        <f t="shared" si="9"/>
        <v>Oct-2023</v>
      </c>
      <c r="L241" s="1">
        <f t="shared" ca="1" si="10"/>
        <v>60</v>
      </c>
      <c r="M241" t="str">
        <f t="shared" si="11"/>
        <v>18-25</v>
      </c>
    </row>
    <row r="242" spans="1:13" x14ac:dyDescent="0.2">
      <c r="A242" t="s">
        <v>495</v>
      </c>
      <c r="B242" t="s">
        <v>496</v>
      </c>
      <c r="C242">
        <v>38</v>
      </c>
      <c r="D242" t="s">
        <v>12</v>
      </c>
      <c r="E242" t="s">
        <v>21</v>
      </c>
      <c r="F242" s="1">
        <v>45798</v>
      </c>
      <c r="G242" s="1">
        <v>46036</v>
      </c>
      <c r="H242">
        <v>4</v>
      </c>
      <c r="I242">
        <v>1</v>
      </c>
      <c r="J242">
        <v>1</v>
      </c>
      <c r="K242" t="str">
        <f t="shared" si="9"/>
        <v>May-2025</v>
      </c>
      <c r="L242" s="1">
        <f t="shared" ca="1" si="10"/>
        <v>122</v>
      </c>
      <c r="M242" t="str">
        <f t="shared" si="11"/>
        <v>36-45</v>
      </c>
    </row>
    <row r="243" spans="1:13" x14ac:dyDescent="0.2">
      <c r="A243" t="s">
        <v>497</v>
      </c>
      <c r="B243" t="s">
        <v>498</v>
      </c>
      <c r="C243">
        <v>34</v>
      </c>
      <c r="D243" t="s">
        <v>20</v>
      </c>
      <c r="E243" t="s">
        <v>21</v>
      </c>
      <c r="F243" s="1">
        <v>45427</v>
      </c>
      <c r="G243" s="1">
        <v>46125</v>
      </c>
      <c r="H243">
        <v>28</v>
      </c>
      <c r="I243">
        <v>8</v>
      </c>
      <c r="J243">
        <v>0</v>
      </c>
      <c r="K243" t="str">
        <f t="shared" si="9"/>
        <v>May-2024</v>
      </c>
      <c r="L243" s="1">
        <f t="shared" ca="1" si="10"/>
        <v>33</v>
      </c>
      <c r="M243" t="str">
        <f t="shared" si="11"/>
        <v>26-35</v>
      </c>
    </row>
    <row r="244" spans="1:13" x14ac:dyDescent="0.2">
      <c r="A244" t="s">
        <v>499</v>
      </c>
      <c r="B244" t="s">
        <v>500</v>
      </c>
      <c r="C244">
        <v>26</v>
      </c>
      <c r="D244" t="s">
        <v>16</v>
      </c>
      <c r="E244" t="s">
        <v>21</v>
      </c>
      <c r="F244" s="1">
        <v>46066</v>
      </c>
      <c r="G244" s="1">
        <v>46088</v>
      </c>
      <c r="H244">
        <v>25</v>
      </c>
      <c r="I244">
        <v>6</v>
      </c>
      <c r="J244">
        <v>0</v>
      </c>
      <c r="K244" t="str">
        <f t="shared" si="9"/>
        <v>Feb-2026</v>
      </c>
      <c r="L244" s="1">
        <f t="shared" ca="1" si="10"/>
        <v>70</v>
      </c>
      <c r="M244" t="str">
        <f t="shared" si="11"/>
        <v>26-35</v>
      </c>
    </row>
    <row r="245" spans="1:13" x14ac:dyDescent="0.2">
      <c r="A245" t="s">
        <v>501</v>
      </c>
      <c r="B245" t="s">
        <v>502</v>
      </c>
      <c r="C245">
        <v>21</v>
      </c>
      <c r="D245" t="s">
        <v>16</v>
      </c>
      <c r="E245" t="s">
        <v>21</v>
      </c>
      <c r="F245" s="1">
        <v>45466</v>
      </c>
      <c r="G245" s="1">
        <v>46126</v>
      </c>
      <c r="H245">
        <v>56</v>
      </c>
      <c r="I245">
        <v>9</v>
      </c>
      <c r="J245">
        <v>0</v>
      </c>
      <c r="K245" t="str">
        <f t="shared" si="9"/>
        <v>Jun-2024</v>
      </c>
      <c r="L245" s="1">
        <f t="shared" ca="1" si="10"/>
        <v>32</v>
      </c>
      <c r="M245" t="str">
        <f t="shared" si="11"/>
        <v>18-25</v>
      </c>
    </row>
    <row r="246" spans="1:13" x14ac:dyDescent="0.2">
      <c r="A246" t="s">
        <v>503</v>
      </c>
      <c r="B246" t="s">
        <v>504</v>
      </c>
      <c r="C246">
        <v>43</v>
      </c>
      <c r="D246" t="s">
        <v>16</v>
      </c>
      <c r="E246" t="s">
        <v>13</v>
      </c>
      <c r="F246" s="1">
        <v>45301</v>
      </c>
      <c r="G246" s="1">
        <v>46140</v>
      </c>
      <c r="H246">
        <v>44</v>
      </c>
      <c r="I246">
        <v>7</v>
      </c>
      <c r="J246">
        <v>0</v>
      </c>
      <c r="K246" t="str">
        <f t="shared" si="9"/>
        <v>Jan-2024</v>
      </c>
      <c r="L246" s="1">
        <f t="shared" ca="1" si="10"/>
        <v>18</v>
      </c>
      <c r="M246" t="str">
        <f t="shared" si="11"/>
        <v>36-45</v>
      </c>
    </row>
    <row r="247" spans="1:13" x14ac:dyDescent="0.2">
      <c r="A247" t="s">
        <v>505</v>
      </c>
      <c r="B247" t="s">
        <v>506</v>
      </c>
      <c r="C247">
        <v>57</v>
      </c>
      <c r="D247" t="s">
        <v>20</v>
      </c>
      <c r="E247" t="s">
        <v>17</v>
      </c>
      <c r="F247" s="1">
        <v>45578</v>
      </c>
      <c r="G247" s="1">
        <v>46107</v>
      </c>
      <c r="H247">
        <v>48</v>
      </c>
      <c r="I247">
        <v>3</v>
      </c>
      <c r="J247">
        <v>0</v>
      </c>
      <c r="K247" t="str">
        <f t="shared" si="9"/>
        <v>Oct-2024</v>
      </c>
      <c r="L247" s="1">
        <f t="shared" ca="1" si="10"/>
        <v>51</v>
      </c>
      <c r="M247" t="str">
        <f t="shared" si="11"/>
        <v>46+</v>
      </c>
    </row>
    <row r="248" spans="1:13" x14ac:dyDescent="0.2">
      <c r="A248" t="s">
        <v>507</v>
      </c>
      <c r="B248" t="s">
        <v>508</v>
      </c>
      <c r="C248">
        <v>36</v>
      </c>
      <c r="D248" t="s">
        <v>20</v>
      </c>
      <c r="E248" t="s">
        <v>21</v>
      </c>
      <c r="F248" s="1">
        <v>45661</v>
      </c>
      <c r="G248" s="1">
        <v>46116</v>
      </c>
      <c r="H248">
        <v>28</v>
      </c>
      <c r="I248">
        <v>9</v>
      </c>
      <c r="J248">
        <v>0</v>
      </c>
      <c r="K248" t="str">
        <f t="shared" si="9"/>
        <v>Jan-2025</v>
      </c>
      <c r="L248" s="1">
        <f t="shared" ca="1" si="10"/>
        <v>42</v>
      </c>
      <c r="M248" t="str">
        <f t="shared" si="11"/>
        <v>36-45</v>
      </c>
    </row>
    <row r="249" spans="1:13" x14ac:dyDescent="0.2">
      <c r="A249" t="s">
        <v>509</v>
      </c>
      <c r="B249" t="s">
        <v>510</v>
      </c>
      <c r="C249">
        <v>39</v>
      </c>
      <c r="D249" t="s">
        <v>20</v>
      </c>
      <c r="E249" t="s">
        <v>21</v>
      </c>
      <c r="F249" s="1">
        <v>45751</v>
      </c>
      <c r="G249" s="1">
        <v>46094</v>
      </c>
      <c r="H249">
        <v>9</v>
      </c>
      <c r="I249">
        <v>6</v>
      </c>
      <c r="J249">
        <v>0</v>
      </c>
      <c r="K249" t="str">
        <f t="shared" si="9"/>
        <v>Apr-2025</v>
      </c>
      <c r="L249" s="1">
        <f t="shared" ca="1" si="10"/>
        <v>64</v>
      </c>
      <c r="M249" t="str">
        <f t="shared" si="11"/>
        <v>36-45</v>
      </c>
    </row>
    <row r="250" spans="1:13" x14ac:dyDescent="0.2">
      <c r="A250" t="s">
        <v>511</v>
      </c>
      <c r="B250" t="s">
        <v>512</v>
      </c>
      <c r="C250">
        <v>32</v>
      </c>
      <c r="D250" t="s">
        <v>20</v>
      </c>
      <c r="E250" t="s">
        <v>21</v>
      </c>
      <c r="F250" s="1">
        <v>45788</v>
      </c>
      <c r="G250" s="1">
        <v>46094</v>
      </c>
      <c r="H250">
        <v>1</v>
      </c>
      <c r="I250">
        <v>3</v>
      </c>
      <c r="J250">
        <v>0</v>
      </c>
      <c r="K250" t="str">
        <f t="shared" si="9"/>
        <v>May-2025</v>
      </c>
      <c r="L250" s="1">
        <f t="shared" ca="1" si="10"/>
        <v>64</v>
      </c>
      <c r="M250" t="str">
        <f t="shared" si="11"/>
        <v>26-35</v>
      </c>
    </row>
    <row r="251" spans="1:13" x14ac:dyDescent="0.2">
      <c r="A251" t="s">
        <v>513</v>
      </c>
      <c r="B251" t="s">
        <v>514</v>
      </c>
      <c r="C251">
        <v>20</v>
      </c>
      <c r="D251" t="s">
        <v>16</v>
      </c>
      <c r="E251" t="s">
        <v>17</v>
      </c>
      <c r="F251" s="1">
        <v>45942</v>
      </c>
      <c r="G251" s="1">
        <v>46074</v>
      </c>
      <c r="H251">
        <v>72</v>
      </c>
      <c r="I251">
        <v>5</v>
      </c>
      <c r="J251">
        <v>1</v>
      </c>
      <c r="K251" t="str">
        <f t="shared" si="9"/>
        <v>Oct-2025</v>
      </c>
      <c r="L251" s="1">
        <f t="shared" ca="1" si="10"/>
        <v>84</v>
      </c>
      <c r="M251" t="str">
        <f t="shared" si="11"/>
        <v>18-25</v>
      </c>
    </row>
    <row r="252" spans="1:13" x14ac:dyDescent="0.2">
      <c r="A252" t="s">
        <v>515</v>
      </c>
      <c r="B252" t="s">
        <v>516</v>
      </c>
      <c r="C252">
        <v>42</v>
      </c>
      <c r="D252" t="s">
        <v>20</v>
      </c>
      <c r="E252" t="s">
        <v>21</v>
      </c>
      <c r="F252" s="1">
        <v>45238</v>
      </c>
      <c r="G252" s="1">
        <v>46055</v>
      </c>
      <c r="H252">
        <v>36</v>
      </c>
      <c r="I252">
        <v>6</v>
      </c>
      <c r="J252">
        <v>1</v>
      </c>
      <c r="K252" t="str">
        <f t="shared" si="9"/>
        <v>Nov-2023</v>
      </c>
      <c r="L252" s="1">
        <f t="shared" ca="1" si="10"/>
        <v>103</v>
      </c>
      <c r="M252" t="str">
        <f t="shared" si="11"/>
        <v>36-45</v>
      </c>
    </row>
    <row r="253" spans="1:13" x14ac:dyDescent="0.2">
      <c r="A253" t="s">
        <v>517</v>
      </c>
      <c r="B253" t="s">
        <v>518</v>
      </c>
      <c r="C253">
        <v>39</v>
      </c>
      <c r="D253" t="s">
        <v>12</v>
      </c>
      <c r="E253" t="s">
        <v>13</v>
      </c>
      <c r="F253" s="1">
        <v>45520</v>
      </c>
      <c r="G253" s="1">
        <v>46149</v>
      </c>
      <c r="H253">
        <v>2</v>
      </c>
      <c r="I253">
        <v>9</v>
      </c>
      <c r="J253">
        <v>0</v>
      </c>
      <c r="K253" t="str">
        <f t="shared" si="9"/>
        <v>Aug-2024</v>
      </c>
      <c r="L253" s="1">
        <f t="shared" ca="1" si="10"/>
        <v>9</v>
      </c>
      <c r="M253" t="str">
        <f t="shared" si="11"/>
        <v>36-45</v>
      </c>
    </row>
    <row r="254" spans="1:13" x14ac:dyDescent="0.2">
      <c r="A254" t="s">
        <v>519</v>
      </c>
      <c r="B254" t="s">
        <v>520</v>
      </c>
      <c r="C254">
        <v>56</v>
      </c>
      <c r="D254" t="s">
        <v>20</v>
      </c>
      <c r="E254" t="s">
        <v>21</v>
      </c>
      <c r="F254" s="1">
        <v>45253</v>
      </c>
      <c r="G254" s="1">
        <v>46083</v>
      </c>
      <c r="H254">
        <v>38</v>
      </c>
      <c r="I254">
        <v>3</v>
      </c>
      <c r="J254">
        <v>0</v>
      </c>
      <c r="K254" t="str">
        <f t="shared" si="9"/>
        <v>Nov-2023</v>
      </c>
      <c r="L254" s="1">
        <f t="shared" ca="1" si="10"/>
        <v>75</v>
      </c>
      <c r="M254" t="str">
        <f t="shared" si="11"/>
        <v>46+</v>
      </c>
    </row>
    <row r="255" spans="1:13" x14ac:dyDescent="0.2">
      <c r="A255" t="s">
        <v>521</v>
      </c>
      <c r="B255" t="s">
        <v>522</v>
      </c>
      <c r="C255">
        <v>32</v>
      </c>
      <c r="D255" t="s">
        <v>20</v>
      </c>
      <c r="E255" t="s">
        <v>13</v>
      </c>
      <c r="F255" s="1">
        <v>45477</v>
      </c>
      <c r="G255" s="1">
        <v>46041</v>
      </c>
      <c r="H255">
        <v>78</v>
      </c>
      <c r="I255">
        <v>7</v>
      </c>
      <c r="J255">
        <v>0</v>
      </c>
      <c r="K255" t="str">
        <f t="shared" si="9"/>
        <v>Jul-2024</v>
      </c>
      <c r="L255" s="1">
        <f t="shared" ca="1" si="10"/>
        <v>117</v>
      </c>
      <c r="M255" t="str">
        <f t="shared" si="11"/>
        <v>26-35</v>
      </c>
    </row>
    <row r="256" spans="1:13" x14ac:dyDescent="0.2">
      <c r="A256" t="s">
        <v>523</v>
      </c>
      <c r="B256" t="s">
        <v>524</v>
      </c>
      <c r="C256">
        <v>56</v>
      </c>
      <c r="D256" t="s">
        <v>20</v>
      </c>
      <c r="E256" t="s">
        <v>21</v>
      </c>
      <c r="F256" s="1">
        <v>45303</v>
      </c>
      <c r="G256" s="1">
        <v>46141</v>
      </c>
      <c r="H256">
        <v>65</v>
      </c>
      <c r="I256">
        <v>8</v>
      </c>
      <c r="J256">
        <v>0</v>
      </c>
      <c r="K256" t="str">
        <f t="shared" si="9"/>
        <v>Jan-2024</v>
      </c>
      <c r="L256" s="1">
        <f t="shared" ca="1" si="10"/>
        <v>17</v>
      </c>
      <c r="M256" t="str">
        <f t="shared" si="11"/>
        <v>46+</v>
      </c>
    </row>
    <row r="257" spans="1:13" x14ac:dyDescent="0.2">
      <c r="A257" t="s">
        <v>525</v>
      </c>
      <c r="B257" t="s">
        <v>526</v>
      </c>
      <c r="C257">
        <v>32</v>
      </c>
      <c r="D257" t="s">
        <v>12</v>
      </c>
      <c r="E257" t="s">
        <v>21</v>
      </c>
      <c r="F257" s="1">
        <v>45739</v>
      </c>
      <c r="G257" s="1">
        <v>46137</v>
      </c>
      <c r="H257">
        <v>44</v>
      </c>
      <c r="I257">
        <v>2</v>
      </c>
      <c r="J257">
        <v>1</v>
      </c>
      <c r="K257" t="str">
        <f t="shared" si="9"/>
        <v>Mar-2025</v>
      </c>
      <c r="L257" s="1">
        <f t="shared" ca="1" si="10"/>
        <v>21</v>
      </c>
      <c r="M257" t="str">
        <f t="shared" si="11"/>
        <v>26-35</v>
      </c>
    </row>
    <row r="258" spans="1:13" x14ac:dyDescent="0.2">
      <c r="A258" t="s">
        <v>527</v>
      </c>
      <c r="B258" t="s">
        <v>528</v>
      </c>
      <c r="C258">
        <v>60</v>
      </c>
      <c r="D258" t="s">
        <v>16</v>
      </c>
      <c r="E258" t="s">
        <v>17</v>
      </c>
      <c r="F258" s="1">
        <v>45706</v>
      </c>
      <c r="G258" s="1">
        <v>46109</v>
      </c>
      <c r="H258">
        <v>44</v>
      </c>
      <c r="I258">
        <v>6</v>
      </c>
      <c r="J258">
        <v>0</v>
      </c>
      <c r="K258" t="str">
        <f t="shared" si="9"/>
        <v>Feb-2025</v>
      </c>
      <c r="L258" s="1">
        <f t="shared" ca="1" si="10"/>
        <v>49</v>
      </c>
      <c r="M258" t="str">
        <f t="shared" si="11"/>
        <v>46+</v>
      </c>
    </row>
    <row r="259" spans="1:13" x14ac:dyDescent="0.2">
      <c r="A259" t="s">
        <v>529</v>
      </c>
      <c r="B259" t="s">
        <v>530</v>
      </c>
      <c r="C259">
        <v>45</v>
      </c>
      <c r="D259" t="s">
        <v>16</v>
      </c>
      <c r="E259" t="s">
        <v>21</v>
      </c>
      <c r="F259" s="1">
        <v>45797</v>
      </c>
      <c r="G259" s="1">
        <v>46106</v>
      </c>
      <c r="H259">
        <v>19</v>
      </c>
      <c r="I259">
        <v>4</v>
      </c>
      <c r="J259">
        <v>1</v>
      </c>
      <c r="K259" t="str">
        <f t="shared" ref="K259:K322" si="12">TEXT(F259,"MMM-YYYY")</f>
        <v>May-2025</v>
      </c>
      <c r="L259" s="1">
        <f t="shared" ref="L259:L322" ca="1" si="13">TODAY()-G259</f>
        <v>52</v>
      </c>
      <c r="M259" t="str">
        <f t="shared" ref="M259:M322" si="14">IF(C259&lt;=25,"18-25",IF(C259&lt;=35,"26-35",IF(C259&lt;=45,"36-45","46+")))</f>
        <v>36-45</v>
      </c>
    </row>
    <row r="260" spans="1:13" x14ac:dyDescent="0.2">
      <c r="A260" t="s">
        <v>531</v>
      </c>
      <c r="B260" t="s">
        <v>532</v>
      </c>
      <c r="C260">
        <v>32</v>
      </c>
      <c r="D260" t="s">
        <v>12</v>
      </c>
      <c r="E260" t="s">
        <v>13</v>
      </c>
      <c r="F260" s="1">
        <v>45785</v>
      </c>
      <c r="G260" s="1">
        <v>46120</v>
      </c>
      <c r="H260">
        <v>32</v>
      </c>
      <c r="I260">
        <v>3</v>
      </c>
      <c r="J260">
        <v>0</v>
      </c>
      <c r="K260" t="str">
        <f t="shared" si="12"/>
        <v>May-2025</v>
      </c>
      <c r="L260" s="1">
        <f t="shared" ca="1" si="13"/>
        <v>38</v>
      </c>
      <c r="M260" t="str">
        <f t="shared" si="14"/>
        <v>26-35</v>
      </c>
    </row>
    <row r="261" spans="1:13" x14ac:dyDescent="0.2">
      <c r="A261" t="s">
        <v>533</v>
      </c>
      <c r="B261" t="s">
        <v>534</v>
      </c>
      <c r="C261">
        <v>27</v>
      </c>
      <c r="D261" t="s">
        <v>20</v>
      </c>
      <c r="E261" t="s">
        <v>13</v>
      </c>
      <c r="F261" s="1">
        <v>45982</v>
      </c>
      <c r="G261" s="1">
        <v>46094</v>
      </c>
      <c r="H261">
        <v>38</v>
      </c>
      <c r="I261">
        <v>2</v>
      </c>
      <c r="J261">
        <v>1</v>
      </c>
      <c r="K261" t="str">
        <f t="shared" si="12"/>
        <v>Nov-2025</v>
      </c>
      <c r="L261" s="1">
        <f t="shared" ca="1" si="13"/>
        <v>64</v>
      </c>
      <c r="M261" t="str">
        <f t="shared" si="14"/>
        <v>26-35</v>
      </c>
    </row>
    <row r="262" spans="1:13" x14ac:dyDescent="0.2">
      <c r="A262" t="s">
        <v>535</v>
      </c>
      <c r="B262" t="s">
        <v>536</v>
      </c>
      <c r="C262">
        <v>51</v>
      </c>
      <c r="D262" t="s">
        <v>20</v>
      </c>
      <c r="E262" t="s">
        <v>13</v>
      </c>
      <c r="F262" s="1">
        <v>45764</v>
      </c>
      <c r="G262" s="1">
        <v>46062</v>
      </c>
      <c r="H262">
        <v>79</v>
      </c>
      <c r="I262">
        <v>4</v>
      </c>
      <c r="J262">
        <v>0</v>
      </c>
      <c r="K262" t="str">
        <f t="shared" si="12"/>
        <v>Apr-2025</v>
      </c>
      <c r="L262" s="1">
        <f t="shared" ca="1" si="13"/>
        <v>96</v>
      </c>
      <c r="M262" t="str">
        <f t="shared" si="14"/>
        <v>46+</v>
      </c>
    </row>
    <row r="263" spans="1:13" x14ac:dyDescent="0.2">
      <c r="A263" t="s">
        <v>537</v>
      </c>
      <c r="B263" t="s">
        <v>538</v>
      </c>
      <c r="C263">
        <v>36</v>
      </c>
      <c r="D263" t="s">
        <v>16</v>
      </c>
      <c r="E263" t="s">
        <v>21</v>
      </c>
      <c r="F263" s="1">
        <v>45521</v>
      </c>
      <c r="G263" s="1">
        <v>46073</v>
      </c>
      <c r="H263">
        <v>64</v>
      </c>
      <c r="I263">
        <v>4</v>
      </c>
      <c r="J263">
        <v>1</v>
      </c>
      <c r="K263" t="str">
        <f t="shared" si="12"/>
        <v>Aug-2024</v>
      </c>
      <c r="L263" s="1">
        <f t="shared" ca="1" si="13"/>
        <v>85</v>
      </c>
      <c r="M263" t="str">
        <f t="shared" si="14"/>
        <v>36-45</v>
      </c>
    </row>
    <row r="264" spans="1:13" x14ac:dyDescent="0.2">
      <c r="A264" t="s">
        <v>539</v>
      </c>
      <c r="B264" t="s">
        <v>540</v>
      </c>
      <c r="C264">
        <v>49</v>
      </c>
      <c r="D264" t="s">
        <v>12</v>
      </c>
      <c r="E264" t="s">
        <v>21</v>
      </c>
      <c r="F264" s="1">
        <v>45275</v>
      </c>
      <c r="G264" s="1">
        <v>46036</v>
      </c>
      <c r="H264">
        <v>31</v>
      </c>
      <c r="I264">
        <v>5</v>
      </c>
      <c r="J264">
        <v>0</v>
      </c>
      <c r="K264" t="str">
        <f t="shared" si="12"/>
        <v>Dec-2023</v>
      </c>
      <c r="L264" s="1">
        <f t="shared" ca="1" si="13"/>
        <v>122</v>
      </c>
      <c r="M264" t="str">
        <f t="shared" si="14"/>
        <v>46+</v>
      </c>
    </row>
    <row r="265" spans="1:13" x14ac:dyDescent="0.2">
      <c r="A265" t="s">
        <v>541</v>
      </c>
      <c r="B265" t="s">
        <v>542</v>
      </c>
      <c r="C265">
        <v>43</v>
      </c>
      <c r="D265" t="s">
        <v>16</v>
      </c>
      <c r="E265" t="s">
        <v>21</v>
      </c>
      <c r="F265" s="1">
        <v>45726</v>
      </c>
      <c r="G265" s="1">
        <v>46066</v>
      </c>
      <c r="H265">
        <v>54</v>
      </c>
      <c r="I265">
        <v>7</v>
      </c>
      <c r="J265">
        <v>0</v>
      </c>
      <c r="K265" t="str">
        <f t="shared" si="12"/>
        <v>Mar-2025</v>
      </c>
      <c r="L265" s="1">
        <f t="shared" ca="1" si="13"/>
        <v>92</v>
      </c>
      <c r="M265" t="str">
        <f t="shared" si="14"/>
        <v>36-45</v>
      </c>
    </row>
    <row r="266" spans="1:13" x14ac:dyDescent="0.2">
      <c r="A266" t="s">
        <v>543</v>
      </c>
      <c r="B266" t="s">
        <v>544</v>
      </c>
      <c r="C266">
        <v>45</v>
      </c>
      <c r="D266" t="s">
        <v>12</v>
      </c>
      <c r="E266" t="s">
        <v>17</v>
      </c>
      <c r="F266" s="1">
        <v>45488</v>
      </c>
      <c r="G266" s="1">
        <v>46090</v>
      </c>
      <c r="H266">
        <v>62</v>
      </c>
      <c r="I266">
        <v>4</v>
      </c>
      <c r="J266">
        <v>0</v>
      </c>
      <c r="K266" t="str">
        <f t="shared" si="12"/>
        <v>Jul-2024</v>
      </c>
      <c r="L266" s="1">
        <f t="shared" ca="1" si="13"/>
        <v>68</v>
      </c>
      <c r="M266" t="str">
        <f t="shared" si="14"/>
        <v>36-45</v>
      </c>
    </row>
    <row r="267" spans="1:13" x14ac:dyDescent="0.2">
      <c r="A267" t="s">
        <v>545</v>
      </c>
      <c r="B267" t="s">
        <v>546</v>
      </c>
      <c r="C267">
        <v>45</v>
      </c>
      <c r="D267" t="s">
        <v>20</v>
      </c>
      <c r="E267" t="s">
        <v>17</v>
      </c>
      <c r="F267" s="1">
        <v>45625</v>
      </c>
      <c r="G267" s="1">
        <v>46063</v>
      </c>
      <c r="H267">
        <v>5</v>
      </c>
      <c r="I267">
        <v>5</v>
      </c>
      <c r="J267">
        <v>1</v>
      </c>
      <c r="K267" t="str">
        <f t="shared" si="12"/>
        <v>Nov-2024</v>
      </c>
      <c r="L267" s="1">
        <f t="shared" ca="1" si="13"/>
        <v>95</v>
      </c>
      <c r="M267" t="str">
        <f t="shared" si="14"/>
        <v>36-45</v>
      </c>
    </row>
    <row r="268" spans="1:13" x14ac:dyDescent="0.2">
      <c r="A268" t="s">
        <v>547</v>
      </c>
      <c r="B268" t="s">
        <v>548</v>
      </c>
      <c r="C268">
        <v>18</v>
      </c>
      <c r="D268" t="s">
        <v>20</v>
      </c>
      <c r="E268" t="s">
        <v>13</v>
      </c>
      <c r="F268" s="1">
        <v>45813</v>
      </c>
      <c r="G268" s="1">
        <v>46092</v>
      </c>
      <c r="H268">
        <v>44</v>
      </c>
      <c r="I268">
        <v>9</v>
      </c>
      <c r="J268">
        <v>0</v>
      </c>
      <c r="K268" t="str">
        <f t="shared" si="12"/>
        <v>Jun-2025</v>
      </c>
      <c r="L268" s="1">
        <f t="shared" ca="1" si="13"/>
        <v>66</v>
      </c>
      <c r="M268" t="str">
        <f t="shared" si="14"/>
        <v>18-25</v>
      </c>
    </row>
    <row r="269" spans="1:13" x14ac:dyDescent="0.2">
      <c r="A269" t="s">
        <v>549</v>
      </c>
      <c r="B269" t="s">
        <v>550</v>
      </c>
      <c r="C269">
        <v>31</v>
      </c>
      <c r="D269" t="s">
        <v>12</v>
      </c>
      <c r="E269" t="s">
        <v>17</v>
      </c>
      <c r="F269" s="1">
        <v>45332</v>
      </c>
      <c r="G269" s="1">
        <v>46062</v>
      </c>
      <c r="H269">
        <v>10</v>
      </c>
      <c r="I269">
        <v>10</v>
      </c>
      <c r="J269">
        <v>0</v>
      </c>
      <c r="K269" t="str">
        <f t="shared" si="12"/>
        <v>Feb-2024</v>
      </c>
      <c r="L269" s="1">
        <f t="shared" ca="1" si="13"/>
        <v>96</v>
      </c>
      <c r="M269" t="str">
        <f t="shared" si="14"/>
        <v>26-35</v>
      </c>
    </row>
    <row r="270" spans="1:13" x14ac:dyDescent="0.2">
      <c r="A270" t="s">
        <v>551</v>
      </c>
      <c r="B270" t="s">
        <v>552</v>
      </c>
      <c r="C270">
        <v>22</v>
      </c>
      <c r="D270" t="s">
        <v>16</v>
      </c>
      <c r="E270" t="s">
        <v>13</v>
      </c>
      <c r="F270" s="1">
        <v>45158</v>
      </c>
      <c r="G270" s="1">
        <v>46103</v>
      </c>
      <c r="H270">
        <v>33</v>
      </c>
      <c r="I270">
        <v>9</v>
      </c>
      <c r="J270">
        <v>0</v>
      </c>
      <c r="K270" t="str">
        <f t="shared" si="12"/>
        <v>Aug-2023</v>
      </c>
      <c r="L270" s="1">
        <f t="shared" ca="1" si="13"/>
        <v>55</v>
      </c>
      <c r="M270" t="str">
        <f t="shared" si="14"/>
        <v>18-25</v>
      </c>
    </row>
    <row r="271" spans="1:13" x14ac:dyDescent="0.2">
      <c r="A271" t="s">
        <v>553</v>
      </c>
      <c r="B271" t="s">
        <v>554</v>
      </c>
      <c r="C271">
        <v>27</v>
      </c>
      <c r="D271" t="s">
        <v>16</v>
      </c>
      <c r="E271" t="s">
        <v>21</v>
      </c>
      <c r="F271" s="1">
        <v>45389</v>
      </c>
      <c r="G271" s="1">
        <v>46121</v>
      </c>
      <c r="H271">
        <v>77</v>
      </c>
      <c r="I271">
        <v>8</v>
      </c>
      <c r="J271">
        <v>0</v>
      </c>
      <c r="K271" t="str">
        <f t="shared" si="12"/>
        <v>Apr-2024</v>
      </c>
      <c r="L271" s="1">
        <f t="shared" ca="1" si="13"/>
        <v>37</v>
      </c>
      <c r="M271" t="str">
        <f t="shared" si="14"/>
        <v>26-35</v>
      </c>
    </row>
    <row r="272" spans="1:13" x14ac:dyDescent="0.2">
      <c r="A272" t="s">
        <v>555</v>
      </c>
      <c r="B272" t="s">
        <v>556</v>
      </c>
      <c r="C272">
        <v>36</v>
      </c>
      <c r="D272" t="s">
        <v>12</v>
      </c>
      <c r="E272" t="s">
        <v>21</v>
      </c>
      <c r="F272" s="1">
        <v>46012</v>
      </c>
      <c r="G272" s="1">
        <v>46111</v>
      </c>
      <c r="H272">
        <v>26</v>
      </c>
      <c r="I272">
        <v>1</v>
      </c>
      <c r="J272">
        <v>1</v>
      </c>
      <c r="K272" t="str">
        <f t="shared" si="12"/>
        <v>Dec-2025</v>
      </c>
      <c r="L272" s="1">
        <f t="shared" ca="1" si="13"/>
        <v>47</v>
      </c>
      <c r="M272" t="str">
        <f t="shared" si="14"/>
        <v>36-45</v>
      </c>
    </row>
    <row r="273" spans="1:13" x14ac:dyDescent="0.2">
      <c r="A273" t="s">
        <v>557</v>
      </c>
      <c r="B273" t="s">
        <v>558</v>
      </c>
      <c r="C273">
        <v>43</v>
      </c>
      <c r="D273" t="s">
        <v>20</v>
      </c>
      <c r="E273" t="s">
        <v>21</v>
      </c>
      <c r="F273" s="1">
        <v>45537</v>
      </c>
      <c r="G273" s="1">
        <v>46099</v>
      </c>
      <c r="H273">
        <v>34</v>
      </c>
      <c r="I273">
        <v>2</v>
      </c>
      <c r="J273">
        <v>0</v>
      </c>
      <c r="K273" t="str">
        <f t="shared" si="12"/>
        <v>Sep-2024</v>
      </c>
      <c r="L273" s="1">
        <f t="shared" ca="1" si="13"/>
        <v>59</v>
      </c>
      <c r="M273" t="str">
        <f t="shared" si="14"/>
        <v>36-45</v>
      </c>
    </row>
    <row r="274" spans="1:13" x14ac:dyDescent="0.2">
      <c r="A274" t="s">
        <v>559</v>
      </c>
      <c r="B274" t="s">
        <v>560</v>
      </c>
      <c r="C274">
        <v>52</v>
      </c>
      <c r="D274" t="s">
        <v>12</v>
      </c>
      <c r="E274" t="s">
        <v>17</v>
      </c>
      <c r="F274" s="1">
        <v>45856</v>
      </c>
      <c r="G274" s="1">
        <v>46093</v>
      </c>
      <c r="H274">
        <v>27</v>
      </c>
      <c r="I274">
        <v>3</v>
      </c>
      <c r="J274">
        <v>1</v>
      </c>
      <c r="K274" t="str">
        <f t="shared" si="12"/>
        <v>Jul-2025</v>
      </c>
      <c r="L274" s="1">
        <f t="shared" ca="1" si="13"/>
        <v>65</v>
      </c>
      <c r="M274" t="str">
        <f t="shared" si="14"/>
        <v>46+</v>
      </c>
    </row>
    <row r="275" spans="1:13" x14ac:dyDescent="0.2">
      <c r="A275" t="s">
        <v>561</v>
      </c>
      <c r="B275" t="s">
        <v>562</v>
      </c>
      <c r="C275">
        <v>28</v>
      </c>
      <c r="D275" t="s">
        <v>20</v>
      </c>
      <c r="E275" t="s">
        <v>17</v>
      </c>
      <c r="F275" s="1">
        <v>45957</v>
      </c>
      <c r="G275" s="1">
        <v>46049</v>
      </c>
      <c r="H275">
        <v>8</v>
      </c>
      <c r="I275">
        <v>5</v>
      </c>
      <c r="J275">
        <v>0</v>
      </c>
      <c r="K275" t="str">
        <f t="shared" si="12"/>
        <v>Oct-2025</v>
      </c>
      <c r="L275" s="1">
        <f t="shared" ca="1" si="13"/>
        <v>109</v>
      </c>
      <c r="M275" t="str">
        <f t="shared" si="14"/>
        <v>26-35</v>
      </c>
    </row>
    <row r="276" spans="1:13" x14ac:dyDescent="0.2">
      <c r="A276" t="s">
        <v>563</v>
      </c>
      <c r="B276" t="s">
        <v>564</v>
      </c>
      <c r="C276">
        <v>27</v>
      </c>
      <c r="D276" t="s">
        <v>20</v>
      </c>
      <c r="E276" t="s">
        <v>17</v>
      </c>
      <c r="F276" s="1">
        <v>45864</v>
      </c>
      <c r="G276" s="1">
        <v>46043</v>
      </c>
      <c r="H276">
        <v>48</v>
      </c>
      <c r="I276">
        <v>9</v>
      </c>
      <c r="J276">
        <v>0</v>
      </c>
      <c r="K276" t="str">
        <f t="shared" si="12"/>
        <v>Jul-2025</v>
      </c>
      <c r="L276" s="1">
        <f t="shared" ca="1" si="13"/>
        <v>115</v>
      </c>
      <c r="M276" t="str">
        <f t="shared" si="14"/>
        <v>26-35</v>
      </c>
    </row>
    <row r="277" spans="1:13" x14ac:dyDescent="0.2">
      <c r="A277" t="s">
        <v>565</v>
      </c>
      <c r="B277" t="s">
        <v>566</v>
      </c>
      <c r="C277">
        <v>24</v>
      </c>
      <c r="D277" t="s">
        <v>12</v>
      </c>
      <c r="E277" t="s">
        <v>17</v>
      </c>
      <c r="F277" s="1">
        <v>45916</v>
      </c>
      <c r="G277" s="1">
        <v>46042</v>
      </c>
      <c r="H277">
        <v>22</v>
      </c>
      <c r="I277">
        <v>7</v>
      </c>
      <c r="J277">
        <v>1</v>
      </c>
      <c r="K277" t="str">
        <f t="shared" si="12"/>
        <v>Sep-2025</v>
      </c>
      <c r="L277" s="1">
        <f t="shared" ca="1" si="13"/>
        <v>116</v>
      </c>
      <c r="M277" t="str">
        <f t="shared" si="14"/>
        <v>18-25</v>
      </c>
    </row>
    <row r="278" spans="1:13" x14ac:dyDescent="0.2">
      <c r="A278" t="s">
        <v>567</v>
      </c>
      <c r="B278" t="s">
        <v>568</v>
      </c>
      <c r="C278">
        <v>51</v>
      </c>
      <c r="D278" t="s">
        <v>20</v>
      </c>
      <c r="E278" t="s">
        <v>21</v>
      </c>
      <c r="F278" s="1">
        <v>45860</v>
      </c>
      <c r="G278" s="1">
        <v>46035</v>
      </c>
      <c r="H278">
        <v>79</v>
      </c>
      <c r="I278">
        <v>3</v>
      </c>
      <c r="J278">
        <v>1</v>
      </c>
      <c r="K278" t="str">
        <f t="shared" si="12"/>
        <v>Jul-2025</v>
      </c>
      <c r="L278" s="1">
        <f t="shared" ca="1" si="13"/>
        <v>123</v>
      </c>
      <c r="M278" t="str">
        <f t="shared" si="14"/>
        <v>46+</v>
      </c>
    </row>
    <row r="279" spans="1:13" x14ac:dyDescent="0.2">
      <c r="A279" t="s">
        <v>569</v>
      </c>
      <c r="B279" t="s">
        <v>570</v>
      </c>
      <c r="C279">
        <v>60</v>
      </c>
      <c r="D279" t="s">
        <v>16</v>
      </c>
      <c r="E279" t="s">
        <v>13</v>
      </c>
      <c r="F279" s="1">
        <v>45672</v>
      </c>
      <c r="G279" s="1">
        <v>46131</v>
      </c>
      <c r="H279">
        <v>63</v>
      </c>
      <c r="I279">
        <v>8</v>
      </c>
      <c r="J279">
        <v>0</v>
      </c>
      <c r="K279" t="str">
        <f t="shared" si="12"/>
        <v>Jan-2025</v>
      </c>
      <c r="L279" s="1">
        <f t="shared" ca="1" si="13"/>
        <v>27</v>
      </c>
      <c r="M279" t="str">
        <f t="shared" si="14"/>
        <v>46+</v>
      </c>
    </row>
    <row r="280" spans="1:13" x14ac:dyDescent="0.2">
      <c r="A280" t="s">
        <v>571</v>
      </c>
      <c r="B280" t="s">
        <v>572</v>
      </c>
      <c r="C280">
        <v>51</v>
      </c>
      <c r="D280" t="s">
        <v>12</v>
      </c>
      <c r="E280" t="s">
        <v>21</v>
      </c>
      <c r="F280" s="1">
        <v>45487</v>
      </c>
      <c r="G280" s="1">
        <v>46040</v>
      </c>
      <c r="H280">
        <v>58</v>
      </c>
      <c r="I280">
        <v>10</v>
      </c>
      <c r="J280">
        <v>0</v>
      </c>
      <c r="K280" t="str">
        <f t="shared" si="12"/>
        <v>Jul-2024</v>
      </c>
      <c r="L280" s="1">
        <f t="shared" ca="1" si="13"/>
        <v>118</v>
      </c>
      <c r="M280" t="str">
        <f t="shared" si="14"/>
        <v>46+</v>
      </c>
    </row>
    <row r="281" spans="1:13" x14ac:dyDescent="0.2">
      <c r="A281" t="s">
        <v>573</v>
      </c>
      <c r="B281" t="s">
        <v>574</v>
      </c>
      <c r="C281">
        <v>30</v>
      </c>
      <c r="D281" t="s">
        <v>12</v>
      </c>
      <c r="E281" t="s">
        <v>21</v>
      </c>
      <c r="F281" s="1">
        <v>45335</v>
      </c>
      <c r="G281" s="1">
        <v>46076</v>
      </c>
      <c r="H281">
        <v>76</v>
      </c>
      <c r="I281">
        <v>6</v>
      </c>
      <c r="J281">
        <v>1</v>
      </c>
      <c r="K281" t="str">
        <f t="shared" si="12"/>
        <v>Feb-2024</v>
      </c>
      <c r="L281" s="1">
        <f t="shared" ca="1" si="13"/>
        <v>82</v>
      </c>
      <c r="M281" t="str">
        <f t="shared" si="14"/>
        <v>26-35</v>
      </c>
    </row>
    <row r="282" spans="1:13" x14ac:dyDescent="0.2">
      <c r="A282" t="s">
        <v>575</v>
      </c>
      <c r="B282" t="s">
        <v>576</v>
      </c>
      <c r="C282">
        <v>57</v>
      </c>
      <c r="D282" t="s">
        <v>20</v>
      </c>
      <c r="E282" t="s">
        <v>21</v>
      </c>
      <c r="F282" s="1">
        <v>45218</v>
      </c>
      <c r="G282" s="1">
        <v>46103</v>
      </c>
      <c r="H282">
        <v>61</v>
      </c>
      <c r="I282">
        <v>7</v>
      </c>
      <c r="J282">
        <v>0</v>
      </c>
      <c r="K282" t="str">
        <f t="shared" si="12"/>
        <v>Oct-2023</v>
      </c>
      <c r="L282" s="1">
        <f t="shared" ca="1" si="13"/>
        <v>55</v>
      </c>
      <c r="M282" t="str">
        <f t="shared" si="14"/>
        <v>46+</v>
      </c>
    </row>
    <row r="283" spans="1:13" x14ac:dyDescent="0.2">
      <c r="A283" t="s">
        <v>577</v>
      </c>
      <c r="B283" t="s">
        <v>578</v>
      </c>
      <c r="C283">
        <v>29</v>
      </c>
      <c r="D283" t="s">
        <v>16</v>
      </c>
      <c r="E283" t="s">
        <v>17</v>
      </c>
      <c r="F283" s="1">
        <v>46108</v>
      </c>
      <c r="G283" s="1">
        <v>46140</v>
      </c>
      <c r="H283">
        <v>55</v>
      </c>
      <c r="I283">
        <v>10</v>
      </c>
      <c r="J283">
        <v>0</v>
      </c>
      <c r="K283" t="str">
        <f t="shared" si="12"/>
        <v>Mar-2026</v>
      </c>
      <c r="L283" s="1">
        <f t="shared" ca="1" si="13"/>
        <v>18</v>
      </c>
      <c r="M283" t="str">
        <f t="shared" si="14"/>
        <v>26-35</v>
      </c>
    </row>
    <row r="284" spans="1:13" x14ac:dyDescent="0.2">
      <c r="A284" t="s">
        <v>579</v>
      </c>
      <c r="B284" t="s">
        <v>580</v>
      </c>
      <c r="C284">
        <v>30</v>
      </c>
      <c r="D284" t="s">
        <v>20</v>
      </c>
      <c r="E284" t="s">
        <v>17</v>
      </c>
      <c r="F284" s="1">
        <v>45234</v>
      </c>
      <c r="G284" s="1">
        <v>46114</v>
      </c>
      <c r="H284">
        <v>31</v>
      </c>
      <c r="I284">
        <v>10</v>
      </c>
      <c r="J284">
        <v>0</v>
      </c>
      <c r="K284" t="str">
        <f t="shared" si="12"/>
        <v>Nov-2023</v>
      </c>
      <c r="L284" s="1">
        <f t="shared" ca="1" si="13"/>
        <v>44</v>
      </c>
      <c r="M284" t="str">
        <f t="shared" si="14"/>
        <v>26-35</v>
      </c>
    </row>
    <row r="285" spans="1:13" x14ac:dyDescent="0.2">
      <c r="A285" t="s">
        <v>581</v>
      </c>
      <c r="B285" t="s">
        <v>582</v>
      </c>
      <c r="C285">
        <v>55</v>
      </c>
      <c r="D285" t="s">
        <v>20</v>
      </c>
      <c r="E285" t="s">
        <v>21</v>
      </c>
      <c r="F285" s="1">
        <v>45225</v>
      </c>
      <c r="G285" s="1">
        <v>46041</v>
      </c>
      <c r="H285">
        <v>63</v>
      </c>
      <c r="I285">
        <v>5</v>
      </c>
      <c r="J285">
        <v>1</v>
      </c>
      <c r="K285" t="str">
        <f t="shared" si="12"/>
        <v>Oct-2023</v>
      </c>
      <c r="L285" s="1">
        <f t="shared" ca="1" si="13"/>
        <v>117</v>
      </c>
      <c r="M285" t="str">
        <f t="shared" si="14"/>
        <v>46+</v>
      </c>
    </row>
    <row r="286" spans="1:13" x14ac:dyDescent="0.2">
      <c r="A286" t="s">
        <v>583</v>
      </c>
      <c r="B286" t="s">
        <v>584</v>
      </c>
      <c r="C286">
        <v>29</v>
      </c>
      <c r="D286" t="s">
        <v>20</v>
      </c>
      <c r="E286" t="s">
        <v>17</v>
      </c>
      <c r="F286" s="1">
        <v>45565</v>
      </c>
      <c r="G286" s="1">
        <v>46081</v>
      </c>
      <c r="H286">
        <v>14</v>
      </c>
      <c r="I286">
        <v>4</v>
      </c>
      <c r="J286">
        <v>0</v>
      </c>
      <c r="K286" t="str">
        <f t="shared" si="12"/>
        <v>Sep-2024</v>
      </c>
      <c r="L286" s="1">
        <f t="shared" ca="1" si="13"/>
        <v>77</v>
      </c>
      <c r="M286" t="str">
        <f t="shared" si="14"/>
        <v>26-35</v>
      </c>
    </row>
    <row r="287" spans="1:13" x14ac:dyDescent="0.2">
      <c r="A287" t="s">
        <v>585</v>
      </c>
      <c r="B287" t="s">
        <v>586</v>
      </c>
      <c r="C287">
        <v>38</v>
      </c>
      <c r="D287" t="s">
        <v>16</v>
      </c>
      <c r="E287" t="s">
        <v>17</v>
      </c>
      <c r="F287" s="1">
        <v>45256</v>
      </c>
      <c r="G287" s="1">
        <v>46110</v>
      </c>
      <c r="H287">
        <v>66</v>
      </c>
      <c r="I287">
        <v>10</v>
      </c>
      <c r="J287">
        <v>0</v>
      </c>
      <c r="K287" t="str">
        <f t="shared" si="12"/>
        <v>Nov-2023</v>
      </c>
      <c r="L287" s="1">
        <f t="shared" ca="1" si="13"/>
        <v>48</v>
      </c>
      <c r="M287" t="str">
        <f t="shared" si="14"/>
        <v>36-45</v>
      </c>
    </row>
    <row r="288" spans="1:13" x14ac:dyDescent="0.2">
      <c r="A288" t="s">
        <v>587</v>
      </c>
      <c r="B288" t="s">
        <v>588</v>
      </c>
      <c r="C288">
        <v>36</v>
      </c>
      <c r="D288" t="s">
        <v>20</v>
      </c>
      <c r="E288" t="s">
        <v>21</v>
      </c>
      <c r="F288" s="1">
        <v>45398</v>
      </c>
      <c r="G288" s="1">
        <v>46078</v>
      </c>
      <c r="H288">
        <v>57</v>
      </c>
      <c r="I288">
        <v>1</v>
      </c>
      <c r="J288">
        <v>1</v>
      </c>
      <c r="K288" t="str">
        <f t="shared" si="12"/>
        <v>Apr-2024</v>
      </c>
      <c r="L288" s="1">
        <f t="shared" ca="1" si="13"/>
        <v>80</v>
      </c>
      <c r="M288" t="str">
        <f t="shared" si="14"/>
        <v>36-45</v>
      </c>
    </row>
    <row r="289" spans="1:13" x14ac:dyDescent="0.2">
      <c r="A289" t="s">
        <v>589</v>
      </c>
      <c r="B289" t="s">
        <v>590</v>
      </c>
      <c r="C289">
        <v>51</v>
      </c>
      <c r="D289" t="s">
        <v>20</v>
      </c>
      <c r="E289" t="s">
        <v>21</v>
      </c>
      <c r="F289" s="1">
        <v>45171</v>
      </c>
      <c r="G289" s="1">
        <v>46118</v>
      </c>
      <c r="H289">
        <v>26</v>
      </c>
      <c r="I289">
        <v>9</v>
      </c>
      <c r="J289">
        <v>0</v>
      </c>
      <c r="K289" t="str">
        <f t="shared" si="12"/>
        <v>Sep-2023</v>
      </c>
      <c r="L289" s="1">
        <f t="shared" ca="1" si="13"/>
        <v>40</v>
      </c>
      <c r="M289" t="str">
        <f t="shared" si="14"/>
        <v>46+</v>
      </c>
    </row>
    <row r="290" spans="1:13" x14ac:dyDescent="0.2">
      <c r="A290" t="s">
        <v>591</v>
      </c>
      <c r="B290" t="s">
        <v>592</v>
      </c>
      <c r="C290">
        <v>33</v>
      </c>
      <c r="D290" t="s">
        <v>12</v>
      </c>
      <c r="E290" t="s">
        <v>21</v>
      </c>
      <c r="F290" s="1">
        <v>45574</v>
      </c>
      <c r="G290" s="1">
        <v>46103</v>
      </c>
      <c r="H290">
        <v>21</v>
      </c>
      <c r="I290">
        <v>1</v>
      </c>
      <c r="J290">
        <v>0</v>
      </c>
      <c r="K290" t="str">
        <f t="shared" si="12"/>
        <v>Oct-2024</v>
      </c>
      <c r="L290" s="1">
        <f t="shared" ca="1" si="13"/>
        <v>55</v>
      </c>
      <c r="M290" t="str">
        <f t="shared" si="14"/>
        <v>26-35</v>
      </c>
    </row>
    <row r="291" spans="1:13" x14ac:dyDescent="0.2">
      <c r="A291" t="s">
        <v>593</v>
      </c>
      <c r="B291" t="s">
        <v>594</v>
      </c>
      <c r="C291">
        <v>57</v>
      </c>
      <c r="D291" t="s">
        <v>12</v>
      </c>
      <c r="E291" t="s">
        <v>21</v>
      </c>
      <c r="F291" s="1">
        <v>45614</v>
      </c>
      <c r="G291" s="1">
        <v>46114</v>
      </c>
      <c r="H291">
        <v>44</v>
      </c>
      <c r="I291">
        <v>10</v>
      </c>
      <c r="J291">
        <v>0</v>
      </c>
      <c r="K291" t="str">
        <f t="shared" si="12"/>
        <v>Nov-2024</v>
      </c>
      <c r="L291" s="1">
        <f t="shared" ca="1" si="13"/>
        <v>44</v>
      </c>
      <c r="M291" t="str">
        <f t="shared" si="14"/>
        <v>46+</v>
      </c>
    </row>
    <row r="292" spans="1:13" x14ac:dyDescent="0.2">
      <c r="A292" t="s">
        <v>595</v>
      </c>
      <c r="B292" t="s">
        <v>596</v>
      </c>
      <c r="C292">
        <v>47</v>
      </c>
      <c r="D292" t="s">
        <v>12</v>
      </c>
      <c r="E292" t="s">
        <v>13</v>
      </c>
      <c r="F292" s="1">
        <v>45604</v>
      </c>
      <c r="G292" s="1">
        <v>46111</v>
      </c>
      <c r="H292">
        <v>74</v>
      </c>
      <c r="I292">
        <v>3</v>
      </c>
      <c r="J292">
        <v>0</v>
      </c>
      <c r="K292" t="str">
        <f t="shared" si="12"/>
        <v>Nov-2024</v>
      </c>
      <c r="L292" s="1">
        <f t="shared" ca="1" si="13"/>
        <v>47</v>
      </c>
      <c r="M292" t="str">
        <f t="shared" si="14"/>
        <v>46+</v>
      </c>
    </row>
    <row r="293" spans="1:13" x14ac:dyDescent="0.2">
      <c r="A293" t="s">
        <v>597</v>
      </c>
      <c r="B293" t="s">
        <v>598</v>
      </c>
      <c r="C293">
        <v>52</v>
      </c>
      <c r="D293" t="s">
        <v>12</v>
      </c>
      <c r="E293" t="s">
        <v>13</v>
      </c>
      <c r="F293" s="1">
        <v>45587</v>
      </c>
      <c r="G293" s="1">
        <v>46091</v>
      </c>
      <c r="H293">
        <v>71</v>
      </c>
      <c r="I293">
        <v>3</v>
      </c>
      <c r="J293">
        <v>0</v>
      </c>
      <c r="K293" t="str">
        <f t="shared" si="12"/>
        <v>Oct-2024</v>
      </c>
      <c r="L293" s="1">
        <f t="shared" ca="1" si="13"/>
        <v>67</v>
      </c>
      <c r="M293" t="str">
        <f t="shared" si="14"/>
        <v>46+</v>
      </c>
    </row>
    <row r="294" spans="1:13" x14ac:dyDescent="0.2">
      <c r="A294" t="s">
        <v>599</v>
      </c>
      <c r="B294" t="s">
        <v>600</v>
      </c>
      <c r="C294">
        <v>42</v>
      </c>
      <c r="D294" t="s">
        <v>16</v>
      </c>
      <c r="E294" t="s">
        <v>21</v>
      </c>
      <c r="F294" s="1">
        <v>45728</v>
      </c>
      <c r="G294" s="1">
        <v>46097</v>
      </c>
      <c r="H294">
        <v>68</v>
      </c>
      <c r="I294">
        <v>7</v>
      </c>
      <c r="J294">
        <v>1</v>
      </c>
      <c r="K294" t="str">
        <f t="shared" si="12"/>
        <v>Mar-2025</v>
      </c>
      <c r="L294" s="1">
        <f t="shared" ca="1" si="13"/>
        <v>61</v>
      </c>
      <c r="M294" t="str">
        <f t="shared" si="14"/>
        <v>36-45</v>
      </c>
    </row>
    <row r="295" spans="1:13" x14ac:dyDescent="0.2">
      <c r="A295" t="s">
        <v>601</v>
      </c>
      <c r="B295" t="s">
        <v>602</v>
      </c>
      <c r="C295">
        <v>54</v>
      </c>
      <c r="D295" t="s">
        <v>12</v>
      </c>
      <c r="E295" t="s">
        <v>21</v>
      </c>
      <c r="F295" s="1">
        <v>45960</v>
      </c>
      <c r="G295" s="1">
        <v>46136</v>
      </c>
      <c r="H295">
        <v>75</v>
      </c>
      <c r="I295">
        <v>10</v>
      </c>
      <c r="J295">
        <v>0</v>
      </c>
      <c r="K295" t="str">
        <f t="shared" si="12"/>
        <v>Oct-2025</v>
      </c>
      <c r="L295" s="1">
        <f t="shared" ca="1" si="13"/>
        <v>22</v>
      </c>
      <c r="M295" t="str">
        <f t="shared" si="14"/>
        <v>46+</v>
      </c>
    </row>
    <row r="296" spans="1:13" x14ac:dyDescent="0.2">
      <c r="A296" t="s">
        <v>603</v>
      </c>
      <c r="B296" t="s">
        <v>604</v>
      </c>
      <c r="C296">
        <v>59</v>
      </c>
      <c r="D296" t="s">
        <v>20</v>
      </c>
      <c r="E296" t="s">
        <v>21</v>
      </c>
      <c r="F296" s="1">
        <v>45854</v>
      </c>
      <c r="G296" s="1">
        <v>46057</v>
      </c>
      <c r="H296">
        <v>56</v>
      </c>
      <c r="I296">
        <v>5</v>
      </c>
      <c r="J296">
        <v>1</v>
      </c>
      <c r="K296" t="str">
        <f t="shared" si="12"/>
        <v>Jul-2025</v>
      </c>
      <c r="L296" s="1">
        <f t="shared" ca="1" si="13"/>
        <v>101</v>
      </c>
      <c r="M296" t="str">
        <f t="shared" si="14"/>
        <v>46+</v>
      </c>
    </row>
    <row r="297" spans="1:13" x14ac:dyDescent="0.2">
      <c r="A297" t="s">
        <v>605</v>
      </c>
      <c r="B297" t="s">
        <v>606</v>
      </c>
      <c r="C297">
        <v>30</v>
      </c>
      <c r="D297" t="s">
        <v>16</v>
      </c>
      <c r="E297" t="s">
        <v>17</v>
      </c>
      <c r="F297" s="1">
        <v>45907</v>
      </c>
      <c r="G297" s="1">
        <v>46118</v>
      </c>
      <c r="H297">
        <v>8</v>
      </c>
      <c r="I297">
        <v>6</v>
      </c>
      <c r="J297">
        <v>0</v>
      </c>
      <c r="K297" t="str">
        <f t="shared" si="12"/>
        <v>Sep-2025</v>
      </c>
      <c r="L297" s="1">
        <f t="shared" ca="1" si="13"/>
        <v>40</v>
      </c>
      <c r="M297" t="str">
        <f t="shared" si="14"/>
        <v>26-35</v>
      </c>
    </row>
    <row r="298" spans="1:13" x14ac:dyDescent="0.2">
      <c r="A298" t="s">
        <v>607</v>
      </c>
      <c r="B298" t="s">
        <v>608</v>
      </c>
      <c r="C298">
        <v>41</v>
      </c>
      <c r="D298" t="s">
        <v>16</v>
      </c>
      <c r="E298" t="s">
        <v>21</v>
      </c>
      <c r="F298" s="1">
        <v>45805</v>
      </c>
      <c r="G298" s="1">
        <v>46047</v>
      </c>
      <c r="H298">
        <v>18</v>
      </c>
      <c r="I298">
        <v>1</v>
      </c>
      <c r="J298">
        <v>1</v>
      </c>
      <c r="K298" t="str">
        <f t="shared" si="12"/>
        <v>May-2025</v>
      </c>
      <c r="L298" s="1">
        <f t="shared" ca="1" si="13"/>
        <v>111</v>
      </c>
      <c r="M298" t="str">
        <f t="shared" si="14"/>
        <v>36-45</v>
      </c>
    </row>
    <row r="299" spans="1:13" x14ac:dyDescent="0.2">
      <c r="A299" t="s">
        <v>609</v>
      </c>
      <c r="B299" t="s">
        <v>610</v>
      </c>
      <c r="C299">
        <v>50</v>
      </c>
      <c r="D299" t="s">
        <v>20</v>
      </c>
      <c r="E299" t="s">
        <v>21</v>
      </c>
      <c r="F299" s="1">
        <v>45310</v>
      </c>
      <c r="G299" s="1">
        <v>46049</v>
      </c>
      <c r="H299">
        <v>33</v>
      </c>
      <c r="I299">
        <v>6</v>
      </c>
      <c r="J299">
        <v>1</v>
      </c>
      <c r="K299" t="str">
        <f t="shared" si="12"/>
        <v>Jan-2024</v>
      </c>
      <c r="L299" s="1">
        <f t="shared" ca="1" si="13"/>
        <v>109</v>
      </c>
      <c r="M299" t="str">
        <f t="shared" si="14"/>
        <v>46+</v>
      </c>
    </row>
    <row r="300" spans="1:13" x14ac:dyDescent="0.2">
      <c r="A300" t="s">
        <v>611</v>
      </c>
      <c r="B300" t="s">
        <v>612</v>
      </c>
      <c r="C300">
        <v>57</v>
      </c>
      <c r="D300" t="s">
        <v>20</v>
      </c>
      <c r="E300" t="s">
        <v>17</v>
      </c>
      <c r="F300" s="1">
        <v>45533</v>
      </c>
      <c r="G300" s="1">
        <v>46096</v>
      </c>
      <c r="H300">
        <v>33</v>
      </c>
      <c r="I300">
        <v>4</v>
      </c>
      <c r="J300">
        <v>0</v>
      </c>
      <c r="K300" t="str">
        <f t="shared" si="12"/>
        <v>Aug-2024</v>
      </c>
      <c r="L300" s="1">
        <f t="shared" ca="1" si="13"/>
        <v>62</v>
      </c>
      <c r="M300" t="str">
        <f t="shared" si="14"/>
        <v>46+</v>
      </c>
    </row>
    <row r="301" spans="1:13" x14ac:dyDescent="0.2">
      <c r="A301" t="s">
        <v>613</v>
      </c>
      <c r="B301" t="s">
        <v>614</v>
      </c>
      <c r="C301">
        <v>21</v>
      </c>
      <c r="D301" t="s">
        <v>12</v>
      </c>
      <c r="E301" t="s">
        <v>13</v>
      </c>
      <c r="F301" s="1">
        <v>45617</v>
      </c>
      <c r="G301" s="1">
        <v>46037</v>
      </c>
      <c r="H301">
        <v>41</v>
      </c>
      <c r="I301">
        <v>10</v>
      </c>
      <c r="J301">
        <v>0</v>
      </c>
      <c r="K301" t="str">
        <f t="shared" si="12"/>
        <v>Nov-2024</v>
      </c>
      <c r="L301" s="1">
        <f t="shared" ca="1" si="13"/>
        <v>121</v>
      </c>
      <c r="M301" t="str">
        <f t="shared" si="14"/>
        <v>18-25</v>
      </c>
    </row>
    <row r="302" spans="1:13" x14ac:dyDescent="0.2">
      <c r="A302" t="s">
        <v>615</v>
      </c>
      <c r="B302" t="s">
        <v>616</v>
      </c>
      <c r="C302">
        <v>36</v>
      </c>
      <c r="D302" t="s">
        <v>16</v>
      </c>
      <c r="E302" t="s">
        <v>21</v>
      </c>
      <c r="F302" s="1">
        <v>45782</v>
      </c>
      <c r="G302" s="1">
        <v>46045</v>
      </c>
      <c r="H302">
        <v>72</v>
      </c>
      <c r="I302">
        <v>6</v>
      </c>
      <c r="J302">
        <v>1</v>
      </c>
      <c r="K302" t="str">
        <f t="shared" si="12"/>
        <v>May-2025</v>
      </c>
      <c r="L302" s="1">
        <f t="shared" ca="1" si="13"/>
        <v>113</v>
      </c>
      <c r="M302" t="str">
        <f t="shared" si="14"/>
        <v>36-45</v>
      </c>
    </row>
    <row r="303" spans="1:13" x14ac:dyDescent="0.2">
      <c r="A303" t="s">
        <v>617</v>
      </c>
      <c r="B303" t="s">
        <v>618</v>
      </c>
      <c r="C303">
        <v>53</v>
      </c>
      <c r="D303" t="s">
        <v>20</v>
      </c>
      <c r="E303" t="s">
        <v>21</v>
      </c>
      <c r="F303" s="1">
        <v>45703</v>
      </c>
      <c r="G303" s="1">
        <v>46061</v>
      </c>
      <c r="H303">
        <v>16</v>
      </c>
      <c r="I303">
        <v>1</v>
      </c>
      <c r="J303">
        <v>1</v>
      </c>
      <c r="K303" t="str">
        <f t="shared" si="12"/>
        <v>Feb-2025</v>
      </c>
      <c r="L303" s="1">
        <f t="shared" ca="1" si="13"/>
        <v>97</v>
      </c>
      <c r="M303" t="str">
        <f t="shared" si="14"/>
        <v>46+</v>
      </c>
    </row>
    <row r="304" spans="1:13" x14ac:dyDescent="0.2">
      <c r="A304" t="s">
        <v>619</v>
      </c>
      <c r="B304" t="s">
        <v>620</v>
      </c>
      <c r="C304">
        <v>22</v>
      </c>
      <c r="D304" t="s">
        <v>16</v>
      </c>
      <c r="E304" t="s">
        <v>21</v>
      </c>
      <c r="F304" s="1">
        <v>45475</v>
      </c>
      <c r="G304" s="1">
        <v>46030</v>
      </c>
      <c r="H304">
        <v>16</v>
      </c>
      <c r="I304">
        <v>1</v>
      </c>
      <c r="J304">
        <v>1</v>
      </c>
      <c r="K304" t="str">
        <f t="shared" si="12"/>
        <v>Jul-2024</v>
      </c>
      <c r="L304" s="1">
        <f t="shared" ca="1" si="13"/>
        <v>128</v>
      </c>
      <c r="M304" t="str">
        <f t="shared" si="14"/>
        <v>18-25</v>
      </c>
    </row>
    <row r="305" spans="1:13" x14ac:dyDescent="0.2">
      <c r="A305" t="s">
        <v>621</v>
      </c>
      <c r="B305" t="s">
        <v>622</v>
      </c>
      <c r="C305">
        <v>57</v>
      </c>
      <c r="D305" t="s">
        <v>12</v>
      </c>
      <c r="E305" t="s">
        <v>17</v>
      </c>
      <c r="F305" s="1">
        <v>45181</v>
      </c>
      <c r="G305" s="1">
        <v>46127</v>
      </c>
      <c r="H305">
        <v>8</v>
      </c>
      <c r="I305">
        <v>2</v>
      </c>
      <c r="J305">
        <v>0</v>
      </c>
      <c r="K305" t="str">
        <f t="shared" si="12"/>
        <v>Sep-2023</v>
      </c>
      <c r="L305" s="1">
        <f t="shared" ca="1" si="13"/>
        <v>31</v>
      </c>
      <c r="M305" t="str">
        <f t="shared" si="14"/>
        <v>46+</v>
      </c>
    </row>
    <row r="306" spans="1:13" x14ac:dyDescent="0.2">
      <c r="A306" t="s">
        <v>623</v>
      </c>
      <c r="B306" t="s">
        <v>624</v>
      </c>
      <c r="C306">
        <v>39</v>
      </c>
      <c r="D306" t="s">
        <v>20</v>
      </c>
      <c r="E306" t="s">
        <v>13</v>
      </c>
      <c r="F306" s="1">
        <v>45473</v>
      </c>
      <c r="G306" s="1">
        <v>46087</v>
      </c>
      <c r="H306">
        <v>47</v>
      </c>
      <c r="I306">
        <v>8</v>
      </c>
      <c r="J306">
        <v>0</v>
      </c>
      <c r="K306" t="str">
        <f t="shared" si="12"/>
        <v>Jun-2024</v>
      </c>
      <c r="L306" s="1">
        <f t="shared" ca="1" si="13"/>
        <v>71</v>
      </c>
      <c r="M306" t="str">
        <f t="shared" si="14"/>
        <v>36-45</v>
      </c>
    </row>
    <row r="307" spans="1:13" x14ac:dyDescent="0.2">
      <c r="A307" t="s">
        <v>625</v>
      </c>
      <c r="B307" t="s">
        <v>626</v>
      </c>
      <c r="C307">
        <v>33</v>
      </c>
      <c r="D307" t="s">
        <v>12</v>
      </c>
      <c r="E307" t="s">
        <v>21</v>
      </c>
      <c r="F307" s="1">
        <v>46111</v>
      </c>
      <c r="G307" s="1">
        <v>46080</v>
      </c>
      <c r="H307">
        <v>55</v>
      </c>
      <c r="I307">
        <v>7</v>
      </c>
      <c r="J307">
        <v>1</v>
      </c>
      <c r="K307" t="str">
        <f t="shared" si="12"/>
        <v>Mar-2026</v>
      </c>
      <c r="L307" s="1">
        <f t="shared" ca="1" si="13"/>
        <v>78</v>
      </c>
      <c r="M307" t="str">
        <f t="shared" si="14"/>
        <v>26-35</v>
      </c>
    </row>
    <row r="308" spans="1:13" x14ac:dyDescent="0.2">
      <c r="A308" t="s">
        <v>627</v>
      </c>
      <c r="B308" t="s">
        <v>628</v>
      </c>
      <c r="C308">
        <v>42</v>
      </c>
      <c r="D308" t="s">
        <v>12</v>
      </c>
      <c r="E308" t="s">
        <v>21</v>
      </c>
      <c r="F308" s="1">
        <v>45736</v>
      </c>
      <c r="G308" s="1">
        <v>46129</v>
      </c>
      <c r="H308">
        <v>9</v>
      </c>
      <c r="I308">
        <v>2</v>
      </c>
      <c r="J308">
        <v>0</v>
      </c>
      <c r="K308" t="str">
        <f t="shared" si="12"/>
        <v>Mar-2025</v>
      </c>
      <c r="L308" s="1">
        <f t="shared" ca="1" si="13"/>
        <v>29</v>
      </c>
      <c r="M308" t="str">
        <f t="shared" si="14"/>
        <v>36-45</v>
      </c>
    </row>
    <row r="309" spans="1:13" x14ac:dyDescent="0.2">
      <c r="A309" t="s">
        <v>629</v>
      </c>
      <c r="B309" t="s">
        <v>630</v>
      </c>
      <c r="C309">
        <v>33</v>
      </c>
      <c r="D309" t="s">
        <v>12</v>
      </c>
      <c r="E309" t="s">
        <v>13</v>
      </c>
      <c r="F309" s="1">
        <v>45898</v>
      </c>
      <c r="G309" s="1">
        <v>46062</v>
      </c>
      <c r="H309">
        <v>21</v>
      </c>
      <c r="I309">
        <v>1</v>
      </c>
      <c r="J309">
        <v>0</v>
      </c>
      <c r="K309" t="str">
        <f t="shared" si="12"/>
        <v>Aug-2025</v>
      </c>
      <c r="L309" s="1">
        <f t="shared" ca="1" si="13"/>
        <v>96</v>
      </c>
      <c r="M309" t="str">
        <f t="shared" si="14"/>
        <v>26-35</v>
      </c>
    </row>
    <row r="310" spans="1:13" x14ac:dyDescent="0.2">
      <c r="A310" t="s">
        <v>631</v>
      </c>
      <c r="B310" t="s">
        <v>632</v>
      </c>
      <c r="C310">
        <v>34</v>
      </c>
      <c r="D310" t="s">
        <v>20</v>
      </c>
      <c r="E310" t="s">
        <v>13</v>
      </c>
      <c r="F310" s="1">
        <v>45262</v>
      </c>
      <c r="G310" s="1">
        <v>46129</v>
      </c>
      <c r="H310">
        <v>74</v>
      </c>
      <c r="I310">
        <v>10</v>
      </c>
      <c r="J310">
        <v>0</v>
      </c>
      <c r="K310" t="str">
        <f t="shared" si="12"/>
        <v>Dec-2023</v>
      </c>
      <c r="L310" s="1">
        <f t="shared" ca="1" si="13"/>
        <v>29</v>
      </c>
      <c r="M310" t="str">
        <f t="shared" si="14"/>
        <v>26-35</v>
      </c>
    </row>
    <row r="311" spans="1:13" x14ac:dyDescent="0.2">
      <c r="A311" t="s">
        <v>633</v>
      </c>
      <c r="B311" t="s">
        <v>634</v>
      </c>
      <c r="C311">
        <v>49</v>
      </c>
      <c r="D311" t="s">
        <v>16</v>
      </c>
      <c r="E311" t="s">
        <v>21</v>
      </c>
      <c r="F311" s="1">
        <v>45358</v>
      </c>
      <c r="G311" s="1">
        <v>46139</v>
      </c>
      <c r="H311">
        <v>9</v>
      </c>
      <c r="I311">
        <v>1</v>
      </c>
      <c r="J311">
        <v>0</v>
      </c>
      <c r="K311" t="str">
        <f t="shared" si="12"/>
        <v>Mar-2024</v>
      </c>
      <c r="L311" s="1">
        <f t="shared" ca="1" si="13"/>
        <v>19</v>
      </c>
      <c r="M311" t="str">
        <f t="shared" si="14"/>
        <v>46+</v>
      </c>
    </row>
    <row r="312" spans="1:13" x14ac:dyDescent="0.2">
      <c r="A312" t="s">
        <v>635</v>
      </c>
      <c r="B312" t="s">
        <v>636</v>
      </c>
      <c r="C312">
        <v>43</v>
      </c>
      <c r="D312" t="s">
        <v>20</v>
      </c>
      <c r="E312" t="s">
        <v>21</v>
      </c>
      <c r="F312" s="1">
        <v>45385</v>
      </c>
      <c r="G312" s="1">
        <v>46097</v>
      </c>
      <c r="H312">
        <v>77</v>
      </c>
      <c r="I312">
        <v>10</v>
      </c>
      <c r="J312">
        <v>0</v>
      </c>
      <c r="K312" t="str">
        <f t="shared" si="12"/>
        <v>Apr-2024</v>
      </c>
      <c r="L312" s="1">
        <f t="shared" ca="1" si="13"/>
        <v>61</v>
      </c>
      <c r="M312" t="str">
        <f t="shared" si="14"/>
        <v>36-45</v>
      </c>
    </row>
    <row r="313" spans="1:13" x14ac:dyDescent="0.2">
      <c r="A313" t="s">
        <v>637</v>
      </c>
      <c r="B313" t="s">
        <v>638</v>
      </c>
      <c r="C313">
        <v>47</v>
      </c>
      <c r="D313" t="s">
        <v>16</v>
      </c>
      <c r="E313" t="s">
        <v>17</v>
      </c>
      <c r="F313" s="1">
        <v>46114</v>
      </c>
      <c r="G313" s="1">
        <v>46094</v>
      </c>
      <c r="H313">
        <v>16</v>
      </c>
      <c r="I313">
        <v>9</v>
      </c>
      <c r="J313">
        <v>0</v>
      </c>
      <c r="K313" t="str">
        <f t="shared" si="12"/>
        <v>Apr-2026</v>
      </c>
      <c r="L313" s="1">
        <f t="shared" ca="1" si="13"/>
        <v>64</v>
      </c>
      <c r="M313" t="str">
        <f t="shared" si="14"/>
        <v>46+</v>
      </c>
    </row>
    <row r="314" spans="1:13" x14ac:dyDescent="0.2">
      <c r="A314" t="s">
        <v>639</v>
      </c>
      <c r="B314" t="s">
        <v>640</v>
      </c>
      <c r="C314">
        <v>31</v>
      </c>
      <c r="D314" t="s">
        <v>12</v>
      </c>
      <c r="E314" t="s">
        <v>17</v>
      </c>
      <c r="F314" s="1">
        <v>45640</v>
      </c>
      <c r="G314" s="1">
        <v>46032</v>
      </c>
      <c r="H314">
        <v>62</v>
      </c>
      <c r="I314">
        <v>4</v>
      </c>
      <c r="J314">
        <v>1</v>
      </c>
      <c r="K314" t="str">
        <f t="shared" si="12"/>
        <v>Dec-2024</v>
      </c>
      <c r="L314" s="1">
        <f t="shared" ca="1" si="13"/>
        <v>126</v>
      </c>
      <c r="M314" t="str">
        <f t="shared" si="14"/>
        <v>26-35</v>
      </c>
    </row>
    <row r="315" spans="1:13" x14ac:dyDescent="0.2">
      <c r="A315" t="s">
        <v>641</v>
      </c>
      <c r="B315" t="s">
        <v>642</v>
      </c>
      <c r="C315">
        <v>52</v>
      </c>
      <c r="D315" t="s">
        <v>12</v>
      </c>
      <c r="E315" t="s">
        <v>21</v>
      </c>
      <c r="F315" s="1">
        <v>45828</v>
      </c>
      <c r="G315" s="1">
        <v>46038</v>
      </c>
      <c r="H315">
        <v>65</v>
      </c>
      <c r="I315">
        <v>2</v>
      </c>
      <c r="J315">
        <v>0</v>
      </c>
      <c r="K315" t="str">
        <f t="shared" si="12"/>
        <v>Jun-2025</v>
      </c>
      <c r="L315" s="1">
        <f t="shared" ca="1" si="13"/>
        <v>120</v>
      </c>
      <c r="M315" t="str">
        <f t="shared" si="14"/>
        <v>46+</v>
      </c>
    </row>
    <row r="316" spans="1:13" x14ac:dyDescent="0.2">
      <c r="A316" t="s">
        <v>643</v>
      </c>
      <c r="B316" t="s">
        <v>644</v>
      </c>
      <c r="C316">
        <v>42</v>
      </c>
      <c r="D316" t="s">
        <v>12</v>
      </c>
      <c r="E316" t="s">
        <v>21</v>
      </c>
      <c r="F316" s="1">
        <v>45616</v>
      </c>
      <c r="G316" s="1">
        <v>46089</v>
      </c>
      <c r="H316">
        <v>62</v>
      </c>
      <c r="I316">
        <v>6</v>
      </c>
      <c r="J316">
        <v>1</v>
      </c>
      <c r="K316" t="str">
        <f t="shared" si="12"/>
        <v>Nov-2024</v>
      </c>
      <c r="L316" s="1">
        <f t="shared" ca="1" si="13"/>
        <v>69</v>
      </c>
      <c r="M316" t="str">
        <f t="shared" si="14"/>
        <v>36-45</v>
      </c>
    </row>
    <row r="317" spans="1:13" x14ac:dyDescent="0.2">
      <c r="A317" t="s">
        <v>645</v>
      </c>
      <c r="B317" t="s">
        <v>646</v>
      </c>
      <c r="C317">
        <v>44</v>
      </c>
      <c r="D317" t="s">
        <v>16</v>
      </c>
      <c r="E317" t="s">
        <v>17</v>
      </c>
      <c r="F317" s="1">
        <v>45865</v>
      </c>
      <c r="G317" s="1">
        <v>46052</v>
      </c>
      <c r="H317">
        <v>16</v>
      </c>
      <c r="I317">
        <v>8</v>
      </c>
      <c r="J317">
        <v>0</v>
      </c>
      <c r="K317" t="str">
        <f t="shared" si="12"/>
        <v>Jul-2025</v>
      </c>
      <c r="L317" s="1">
        <f t="shared" ca="1" si="13"/>
        <v>106</v>
      </c>
      <c r="M317" t="str">
        <f t="shared" si="14"/>
        <v>36-45</v>
      </c>
    </row>
    <row r="318" spans="1:13" x14ac:dyDescent="0.2">
      <c r="A318" t="s">
        <v>647</v>
      </c>
      <c r="B318" t="s">
        <v>648</v>
      </c>
      <c r="C318">
        <v>50</v>
      </c>
      <c r="D318" t="s">
        <v>20</v>
      </c>
      <c r="E318" t="s">
        <v>17</v>
      </c>
      <c r="F318" s="1">
        <v>46081</v>
      </c>
      <c r="G318" s="1">
        <v>46124</v>
      </c>
      <c r="H318">
        <v>17</v>
      </c>
      <c r="I318">
        <v>9</v>
      </c>
      <c r="J318">
        <v>0</v>
      </c>
      <c r="K318" t="str">
        <f t="shared" si="12"/>
        <v>Feb-2026</v>
      </c>
      <c r="L318" s="1">
        <f t="shared" ca="1" si="13"/>
        <v>34</v>
      </c>
      <c r="M318" t="str">
        <f t="shared" si="14"/>
        <v>46+</v>
      </c>
    </row>
    <row r="319" spans="1:13" x14ac:dyDescent="0.2">
      <c r="A319" t="s">
        <v>649</v>
      </c>
      <c r="B319" t="s">
        <v>650</v>
      </c>
      <c r="C319">
        <v>55</v>
      </c>
      <c r="D319" t="s">
        <v>20</v>
      </c>
      <c r="E319" t="s">
        <v>21</v>
      </c>
      <c r="F319" s="1">
        <v>45309</v>
      </c>
      <c r="G319" s="1">
        <v>46036</v>
      </c>
      <c r="H319">
        <v>11</v>
      </c>
      <c r="I319">
        <v>7</v>
      </c>
      <c r="J319">
        <v>0</v>
      </c>
      <c r="K319" t="str">
        <f t="shared" si="12"/>
        <v>Jan-2024</v>
      </c>
      <c r="L319" s="1">
        <f t="shared" ca="1" si="13"/>
        <v>122</v>
      </c>
      <c r="M319" t="str">
        <f t="shared" si="14"/>
        <v>46+</v>
      </c>
    </row>
    <row r="320" spans="1:13" x14ac:dyDescent="0.2">
      <c r="A320" t="s">
        <v>651</v>
      </c>
      <c r="B320" t="s">
        <v>652</v>
      </c>
      <c r="C320">
        <v>42</v>
      </c>
      <c r="D320" t="s">
        <v>16</v>
      </c>
      <c r="E320" t="s">
        <v>13</v>
      </c>
      <c r="F320" s="1">
        <v>45705</v>
      </c>
      <c r="G320" s="1">
        <v>46136</v>
      </c>
      <c r="H320">
        <v>0</v>
      </c>
      <c r="I320">
        <v>2</v>
      </c>
      <c r="J320">
        <v>1</v>
      </c>
      <c r="K320" t="str">
        <f t="shared" si="12"/>
        <v>Feb-2025</v>
      </c>
      <c r="L320" s="1">
        <f t="shared" ca="1" si="13"/>
        <v>22</v>
      </c>
      <c r="M320" t="str">
        <f t="shared" si="14"/>
        <v>36-45</v>
      </c>
    </row>
    <row r="321" spans="1:13" x14ac:dyDescent="0.2">
      <c r="A321" t="s">
        <v>653</v>
      </c>
      <c r="B321" t="s">
        <v>654</v>
      </c>
      <c r="C321">
        <v>19</v>
      </c>
      <c r="D321" t="s">
        <v>12</v>
      </c>
      <c r="E321" t="s">
        <v>17</v>
      </c>
      <c r="F321" s="1">
        <v>45566</v>
      </c>
      <c r="G321" s="1">
        <v>46048</v>
      </c>
      <c r="H321">
        <v>28</v>
      </c>
      <c r="I321">
        <v>8</v>
      </c>
      <c r="J321">
        <v>0</v>
      </c>
      <c r="K321" t="str">
        <f t="shared" si="12"/>
        <v>Oct-2024</v>
      </c>
      <c r="L321" s="1">
        <f t="shared" ca="1" si="13"/>
        <v>110</v>
      </c>
      <c r="M321" t="str">
        <f t="shared" si="14"/>
        <v>18-25</v>
      </c>
    </row>
    <row r="322" spans="1:13" x14ac:dyDescent="0.2">
      <c r="A322" t="s">
        <v>655</v>
      </c>
      <c r="B322" t="s">
        <v>656</v>
      </c>
      <c r="C322">
        <v>57</v>
      </c>
      <c r="D322" t="s">
        <v>20</v>
      </c>
      <c r="E322" t="s">
        <v>17</v>
      </c>
      <c r="F322" s="1">
        <v>45697</v>
      </c>
      <c r="G322" s="1">
        <v>46116</v>
      </c>
      <c r="H322">
        <v>28</v>
      </c>
      <c r="I322">
        <v>9</v>
      </c>
      <c r="J322">
        <v>0</v>
      </c>
      <c r="K322" t="str">
        <f t="shared" si="12"/>
        <v>Feb-2025</v>
      </c>
      <c r="L322" s="1">
        <f t="shared" ca="1" si="13"/>
        <v>42</v>
      </c>
      <c r="M322" t="str">
        <f t="shared" si="14"/>
        <v>46+</v>
      </c>
    </row>
    <row r="323" spans="1:13" x14ac:dyDescent="0.2">
      <c r="A323" t="s">
        <v>657</v>
      </c>
      <c r="B323" t="s">
        <v>658</v>
      </c>
      <c r="C323">
        <v>29</v>
      </c>
      <c r="D323" t="s">
        <v>16</v>
      </c>
      <c r="E323" t="s">
        <v>13</v>
      </c>
      <c r="F323" s="1">
        <v>45173</v>
      </c>
      <c r="G323" s="1">
        <v>46053</v>
      </c>
      <c r="H323">
        <v>4</v>
      </c>
      <c r="I323">
        <v>10</v>
      </c>
      <c r="J323">
        <v>1</v>
      </c>
      <c r="K323" t="str">
        <f t="shared" ref="K323:K386" si="15">TEXT(F323,"MMM-YYYY")</f>
        <v>Sep-2023</v>
      </c>
      <c r="L323" s="1">
        <f t="shared" ref="L323:L386" ca="1" si="16">TODAY()-G323</f>
        <v>105</v>
      </c>
      <c r="M323" t="str">
        <f t="shared" ref="M323:M386" si="17">IF(C323&lt;=25,"18-25",IF(C323&lt;=35,"26-35",IF(C323&lt;=45,"36-45","46+")))</f>
        <v>26-35</v>
      </c>
    </row>
    <row r="324" spans="1:13" x14ac:dyDescent="0.2">
      <c r="A324" t="s">
        <v>659</v>
      </c>
      <c r="B324" t="s">
        <v>660</v>
      </c>
      <c r="C324">
        <v>23</v>
      </c>
      <c r="D324" t="s">
        <v>20</v>
      </c>
      <c r="E324" t="s">
        <v>21</v>
      </c>
      <c r="F324" s="1">
        <v>45838</v>
      </c>
      <c r="G324" s="1">
        <v>46066</v>
      </c>
      <c r="H324">
        <v>18</v>
      </c>
      <c r="I324">
        <v>1</v>
      </c>
      <c r="J324">
        <v>1</v>
      </c>
      <c r="K324" t="str">
        <f t="shared" si="15"/>
        <v>Jun-2025</v>
      </c>
      <c r="L324" s="1">
        <f t="shared" ca="1" si="16"/>
        <v>92</v>
      </c>
      <c r="M324" t="str">
        <f t="shared" si="17"/>
        <v>18-25</v>
      </c>
    </row>
    <row r="325" spans="1:13" x14ac:dyDescent="0.2">
      <c r="A325" t="s">
        <v>661</v>
      </c>
      <c r="B325" t="s">
        <v>662</v>
      </c>
      <c r="C325">
        <v>47</v>
      </c>
      <c r="D325" t="s">
        <v>12</v>
      </c>
      <c r="E325" t="s">
        <v>17</v>
      </c>
      <c r="F325" s="1">
        <v>45854</v>
      </c>
      <c r="G325" s="1">
        <v>46140</v>
      </c>
      <c r="H325">
        <v>78</v>
      </c>
      <c r="I325">
        <v>6</v>
      </c>
      <c r="J325">
        <v>0</v>
      </c>
      <c r="K325" t="str">
        <f t="shared" si="15"/>
        <v>Jul-2025</v>
      </c>
      <c r="L325" s="1">
        <f t="shared" ca="1" si="16"/>
        <v>18</v>
      </c>
      <c r="M325" t="str">
        <f t="shared" si="17"/>
        <v>46+</v>
      </c>
    </row>
    <row r="326" spans="1:13" x14ac:dyDescent="0.2">
      <c r="A326" t="s">
        <v>663</v>
      </c>
      <c r="B326" t="s">
        <v>664</v>
      </c>
      <c r="C326">
        <v>39</v>
      </c>
      <c r="D326" t="s">
        <v>16</v>
      </c>
      <c r="E326" t="s">
        <v>21</v>
      </c>
      <c r="F326" s="1">
        <v>45810</v>
      </c>
      <c r="G326" s="1">
        <v>46137</v>
      </c>
      <c r="H326">
        <v>10</v>
      </c>
      <c r="I326">
        <v>6</v>
      </c>
      <c r="J326">
        <v>0</v>
      </c>
      <c r="K326" t="str">
        <f t="shared" si="15"/>
        <v>Jun-2025</v>
      </c>
      <c r="L326" s="1">
        <f t="shared" ca="1" si="16"/>
        <v>21</v>
      </c>
      <c r="M326" t="str">
        <f t="shared" si="17"/>
        <v>36-45</v>
      </c>
    </row>
    <row r="327" spans="1:13" x14ac:dyDescent="0.2">
      <c r="A327" t="s">
        <v>665</v>
      </c>
      <c r="B327" t="s">
        <v>666</v>
      </c>
      <c r="C327">
        <v>24</v>
      </c>
      <c r="D327" t="s">
        <v>12</v>
      </c>
      <c r="E327" t="s">
        <v>17</v>
      </c>
      <c r="F327" s="1">
        <v>45517</v>
      </c>
      <c r="G327" s="1">
        <v>46035</v>
      </c>
      <c r="H327">
        <v>55</v>
      </c>
      <c r="I327">
        <v>2</v>
      </c>
      <c r="J327">
        <v>1</v>
      </c>
      <c r="K327" t="str">
        <f t="shared" si="15"/>
        <v>Aug-2024</v>
      </c>
      <c r="L327" s="1">
        <f t="shared" ca="1" si="16"/>
        <v>123</v>
      </c>
      <c r="M327" t="str">
        <f t="shared" si="17"/>
        <v>18-25</v>
      </c>
    </row>
    <row r="328" spans="1:13" x14ac:dyDescent="0.2">
      <c r="A328" t="s">
        <v>667</v>
      </c>
      <c r="B328" t="s">
        <v>668</v>
      </c>
      <c r="C328">
        <v>54</v>
      </c>
      <c r="D328" t="s">
        <v>12</v>
      </c>
      <c r="E328" t="s">
        <v>21</v>
      </c>
      <c r="F328" s="1">
        <v>45605</v>
      </c>
      <c r="G328" s="1">
        <v>46121</v>
      </c>
      <c r="H328">
        <v>22</v>
      </c>
      <c r="I328">
        <v>2</v>
      </c>
      <c r="J328">
        <v>0</v>
      </c>
      <c r="K328" t="str">
        <f t="shared" si="15"/>
        <v>Nov-2024</v>
      </c>
      <c r="L328" s="1">
        <f t="shared" ca="1" si="16"/>
        <v>37</v>
      </c>
      <c r="M328" t="str">
        <f t="shared" si="17"/>
        <v>46+</v>
      </c>
    </row>
    <row r="329" spans="1:13" x14ac:dyDescent="0.2">
      <c r="A329" t="s">
        <v>669</v>
      </c>
      <c r="B329" t="s">
        <v>670</v>
      </c>
      <c r="C329">
        <v>53</v>
      </c>
      <c r="D329" t="s">
        <v>12</v>
      </c>
      <c r="E329" t="s">
        <v>21</v>
      </c>
      <c r="F329" s="1">
        <v>45888</v>
      </c>
      <c r="G329" s="1">
        <v>46036</v>
      </c>
      <c r="H329">
        <v>47</v>
      </c>
      <c r="I329">
        <v>4</v>
      </c>
      <c r="J329">
        <v>0</v>
      </c>
      <c r="K329" t="str">
        <f t="shared" si="15"/>
        <v>Aug-2025</v>
      </c>
      <c r="L329" s="1">
        <f t="shared" ca="1" si="16"/>
        <v>122</v>
      </c>
      <c r="M329" t="str">
        <f t="shared" si="17"/>
        <v>46+</v>
      </c>
    </row>
    <row r="330" spans="1:13" x14ac:dyDescent="0.2">
      <c r="A330" t="s">
        <v>671</v>
      </c>
      <c r="B330" t="s">
        <v>672</v>
      </c>
      <c r="C330">
        <v>51</v>
      </c>
      <c r="D330" t="s">
        <v>20</v>
      </c>
      <c r="E330" t="s">
        <v>13</v>
      </c>
      <c r="F330" s="1">
        <v>45281</v>
      </c>
      <c r="G330" s="1">
        <v>46040</v>
      </c>
      <c r="H330">
        <v>16</v>
      </c>
      <c r="I330">
        <v>2</v>
      </c>
      <c r="J330">
        <v>0</v>
      </c>
      <c r="K330" t="str">
        <f t="shared" si="15"/>
        <v>Dec-2023</v>
      </c>
      <c r="L330" s="1">
        <f t="shared" ca="1" si="16"/>
        <v>118</v>
      </c>
      <c r="M330" t="str">
        <f t="shared" si="17"/>
        <v>46+</v>
      </c>
    </row>
    <row r="331" spans="1:13" x14ac:dyDescent="0.2">
      <c r="A331" t="s">
        <v>673</v>
      </c>
      <c r="B331" t="s">
        <v>674</v>
      </c>
      <c r="C331">
        <v>43</v>
      </c>
      <c r="D331" t="s">
        <v>20</v>
      </c>
      <c r="E331" t="s">
        <v>21</v>
      </c>
      <c r="F331" s="1">
        <v>45898</v>
      </c>
      <c r="G331" s="1">
        <v>46144</v>
      </c>
      <c r="H331">
        <v>71</v>
      </c>
      <c r="I331">
        <v>3</v>
      </c>
      <c r="J331">
        <v>0</v>
      </c>
      <c r="K331" t="str">
        <f t="shared" si="15"/>
        <v>Aug-2025</v>
      </c>
      <c r="L331" s="1">
        <f t="shared" ca="1" si="16"/>
        <v>14</v>
      </c>
      <c r="M331" t="str">
        <f t="shared" si="17"/>
        <v>36-45</v>
      </c>
    </row>
    <row r="332" spans="1:13" x14ac:dyDescent="0.2">
      <c r="A332" t="s">
        <v>675</v>
      </c>
      <c r="B332" t="s">
        <v>676</v>
      </c>
      <c r="C332">
        <v>28</v>
      </c>
      <c r="D332" t="s">
        <v>20</v>
      </c>
      <c r="E332" t="s">
        <v>21</v>
      </c>
      <c r="F332" s="1">
        <v>45486</v>
      </c>
      <c r="G332" s="1">
        <v>46087</v>
      </c>
      <c r="H332">
        <v>50</v>
      </c>
      <c r="I332">
        <v>5</v>
      </c>
      <c r="J332">
        <v>0</v>
      </c>
      <c r="K332" t="str">
        <f t="shared" si="15"/>
        <v>Jul-2024</v>
      </c>
      <c r="L332" s="1">
        <f t="shared" ca="1" si="16"/>
        <v>71</v>
      </c>
      <c r="M332" t="str">
        <f t="shared" si="17"/>
        <v>26-35</v>
      </c>
    </row>
    <row r="333" spans="1:13" x14ac:dyDescent="0.2">
      <c r="A333" t="s">
        <v>677</v>
      </c>
      <c r="B333" t="s">
        <v>678</v>
      </c>
      <c r="C333">
        <v>34</v>
      </c>
      <c r="D333" t="s">
        <v>12</v>
      </c>
      <c r="E333" t="s">
        <v>21</v>
      </c>
      <c r="F333" s="1">
        <v>45420</v>
      </c>
      <c r="G333" s="1">
        <v>46136</v>
      </c>
      <c r="H333">
        <v>79</v>
      </c>
      <c r="I333">
        <v>9</v>
      </c>
      <c r="J333">
        <v>0</v>
      </c>
      <c r="K333" t="str">
        <f t="shared" si="15"/>
        <v>May-2024</v>
      </c>
      <c r="L333" s="1">
        <f t="shared" ca="1" si="16"/>
        <v>22</v>
      </c>
      <c r="M333" t="str">
        <f t="shared" si="17"/>
        <v>26-35</v>
      </c>
    </row>
    <row r="334" spans="1:13" x14ac:dyDescent="0.2">
      <c r="A334" t="s">
        <v>679</v>
      </c>
      <c r="B334" t="s">
        <v>680</v>
      </c>
      <c r="C334">
        <v>47</v>
      </c>
      <c r="D334" t="s">
        <v>20</v>
      </c>
      <c r="E334" t="s">
        <v>17</v>
      </c>
      <c r="F334" s="1">
        <v>45897</v>
      </c>
      <c r="G334" s="1">
        <v>46148</v>
      </c>
      <c r="H334">
        <v>32</v>
      </c>
      <c r="I334">
        <v>3</v>
      </c>
      <c r="J334">
        <v>0</v>
      </c>
      <c r="K334" t="str">
        <f t="shared" si="15"/>
        <v>Aug-2025</v>
      </c>
      <c r="L334" s="1">
        <f t="shared" ca="1" si="16"/>
        <v>10</v>
      </c>
      <c r="M334" t="str">
        <f t="shared" si="17"/>
        <v>46+</v>
      </c>
    </row>
    <row r="335" spans="1:13" x14ac:dyDescent="0.2">
      <c r="A335" t="s">
        <v>681</v>
      </c>
      <c r="B335" t="s">
        <v>682</v>
      </c>
      <c r="C335">
        <v>53</v>
      </c>
      <c r="D335" t="s">
        <v>16</v>
      </c>
      <c r="E335" t="s">
        <v>21</v>
      </c>
      <c r="F335" s="1">
        <v>45171</v>
      </c>
      <c r="G335" s="1">
        <v>46138</v>
      </c>
      <c r="H335">
        <v>9</v>
      </c>
      <c r="I335">
        <v>6</v>
      </c>
      <c r="J335">
        <v>1</v>
      </c>
      <c r="K335" t="str">
        <f t="shared" si="15"/>
        <v>Sep-2023</v>
      </c>
      <c r="L335" s="1">
        <f t="shared" ca="1" si="16"/>
        <v>20</v>
      </c>
      <c r="M335" t="str">
        <f t="shared" si="17"/>
        <v>46+</v>
      </c>
    </row>
    <row r="336" spans="1:13" x14ac:dyDescent="0.2">
      <c r="A336" t="s">
        <v>683</v>
      </c>
      <c r="B336" t="s">
        <v>684</v>
      </c>
      <c r="C336">
        <v>46</v>
      </c>
      <c r="D336" t="s">
        <v>20</v>
      </c>
      <c r="E336" t="s">
        <v>21</v>
      </c>
      <c r="F336" s="1">
        <v>45609</v>
      </c>
      <c r="G336" s="1">
        <v>46100</v>
      </c>
      <c r="H336">
        <v>57</v>
      </c>
      <c r="I336">
        <v>2</v>
      </c>
      <c r="J336">
        <v>0</v>
      </c>
      <c r="K336" t="str">
        <f t="shared" si="15"/>
        <v>Nov-2024</v>
      </c>
      <c r="L336" s="1">
        <f t="shared" ca="1" si="16"/>
        <v>58</v>
      </c>
      <c r="M336" t="str">
        <f t="shared" si="17"/>
        <v>46+</v>
      </c>
    </row>
    <row r="337" spans="1:13" x14ac:dyDescent="0.2">
      <c r="A337" t="s">
        <v>685</v>
      </c>
      <c r="B337" t="s">
        <v>686</v>
      </c>
      <c r="C337">
        <v>56</v>
      </c>
      <c r="D337" t="s">
        <v>20</v>
      </c>
      <c r="E337" t="s">
        <v>13</v>
      </c>
      <c r="F337" s="1">
        <v>46066</v>
      </c>
      <c r="G337" s="1">
        <v>46099</v>
      </c>
      <c r="H337">
        <v>77</v>
      </c>
      <c r="I337">
        <v>2</v>
      </c>
      <c r="J337">
        <v>0</v>
      </c>
      <c r="K337" t="str">
        <f t="shared" si="15"/>
        <v>Feb-2026</v>
      </c>
      <c r="L337" s="1">
        <f t="shared" ca="1" si="16"/>
        <v>59</v>
      </c>
      <c r="M337" t="str">
        <f t="shared" si="17"/>
        <v>46+</v>
      </c>
    </row>
    <row r="338" spans="1:13" x14ac:dyDescent="0.2">
      <c r="A338" t="s">
        <v>687</v>
      </c>
      <c r="B338" t="s">
        <v>688</v>
      </c>
      <c r="C338">
        <v>25</v>
      </c>
      <c r="D338" t="s">
        <v>12</v>
      </c>
      <c r="E338" t="s">
        <v>21</v>
      </c>
      <c r="F338" s="1">
        <v>45642</v>
      </c>
      <c r="G338" s="1">
        <v>46097</v>
      </c>
      <c r="H338">
        <v>61</v>
      </c>
      <c r="I338">
        <v>2</v>
      </c>
      <c r="J338">
        <v>1</v>
      </c>
      <c r="K338" t="str">
        <f t="shared" si="15"/>
        <v>Dec-2024</v>
      </c>
      <c r="L338" s="1">
        <f t="shared" ca="1" si="16"/>
        <v>61</v>
      </c>
      <c r="M338" t="str">
        <f t="shared" si="17"/>
        <v>18-25</v>
      </c>
    </row>
    <row r="339" spans="1:13" x14ac:dyDescent="0.2">
      <c r="A339" t="s">
        <v>689</v>
      </c>
      <c r="B339" t="s">
        <v>690</v>
      </c>
      <c r="C339">
        <v>52</v>
      </c>
      <c r="D339" t="s">
        <v>20</v>
      </c>
      <c r="E339" t="s">
        <v>21</v>
      </c>
      <c r="F339" s="1">
        <v>46077</v>
      </c>
      <c r="G339" s="1">
        <v>46108</v>
      </c>
      <c r="H339">
        <v>52</v>
      </c>
      <c r="I339">
        <v>8</v>
      </c>
      <c r="J339">
        <v>0</v>
      </c>
      <c r="K339" t="str">
        <f t="shared" si="15"/>
        <v>Feb-2026</v>
      </c>
      <c r="L339" s="1">
        <f t="shared" ca="1" si="16"/>
        <v>50</v>
      </c>
      <c r="M339" t="str">
        <f t="shared" si="17"/>
        <v>46+</v>
      </c>
    </row>
    <row r="340" spans="1:13" x14ac:dyDescent="0.2">
      <c r="A340" t="s">
        <v>691</v>
      </c>
      <c r="B340" t="s">
        <v>692</v>
      </c>
      <c r="C340">
        <v>45</v>
      </c>
      <c r="D340" t="s">
        <v>16</v>
      </c>
      <c r="E340" t="s">
        <v>21</v>
      </c>
      <c r="F340" s="1">
        <v>45877</v>
      </c>
      <c r="G340" s="1">
        <v>46080</v>
      </c>
      <c r="H340">
        <v>38</v>
      </c>
      <c r="I340">
        <v>6</v>
      </c>
      <c r="J340">
        <v>1</v>
      </c>
      <c r="K340" t="str">
        <f t="shared" si="15"/>
        <v>Aug-2025</v>
      </c>
      <c r="L340" s="1">
        <f t="shared" ca="1" si="16"/>
        <v>78</v>
      </c>
      <c r="M340" t="str">
        <f t="shared" si="17"/>
        <v>36-45</v>
      </c>
    </row>
    <row r="341" spans="1:13" x14ac:dyDescent="0.2">
      <c r="A341" t="s">
        <v>693</v>
      </c>
      <c r="B341" t="s">
        <v>694</v>
      </c>
      <c r="C341">
        <v>21</v>
      </c>
      <c r="D341" t="s">
        <v>20</v>
      </c>
      <c r="E341" t="s">
        <v>21</v>
      </c>
      <c r="F341" s="1">
        <v>45623</v>
      </c>
      <c r="G341" s="1">
        <v>46071</v>
      </c>
      <c r="H341">
        <v>69</v>
      </c>
      <c r="I341">
        <v>9</v>
      </c>
      <c r="J341">
        <v>0</v>
      </c>
      <c r="K341" t="str">
        <f t="shared" si="15"/>
        <v>Nov-2024</v>
      </c>
      <c r="L341" s="1">
        <f t="shared" ca="1" si="16"/>
        <v>87</v>
      </c>
      <c r="M341" t="str">
        <f t="shared" si="17"/>
        <v>18-25</v>
      </c>
    </row>
    <row r="342" spans="1:13" x14ac:dyDescent="0.2">
      <c r="A342" t="s">
        <v>695</v>
      </c>
      <c r="B342" t="s">
        <v>696</v>
      </c>
      <c r="C342">
        <v>45</v>
      </c>
      <c r="D342" t="s">
        <v>20</v>
      </c>
      <c r="E342" t="s">
        <v>13</v>
      </c>
      <c r="F342" s="1">
        <v>45977</v>
      </c>
      <c r="G342" s="1">
        <v>46037</v>
      </c>
      <c r="H342">
        <v>49</v>
      </c>
      <c r="I342">
        <v>1</v>
      </c>
      <c r="J342">
        <v>1</v>
      </c>
      <c r="K342" t="str">
        <f t="shared" si="15"/>
        <v>Nov-2025</v>
      </c>
      <c r="L342" s="1">
        <f t="shared" ca="1" si="16"/>
        <v>121</v>
      </c>
      <c r="M342" t="str">
        <f t="shared" si="17"/>
        <v>36-45</v>
      </c>
    </row>
    <row r="343" spans="1:13" x14ac:dyDescent="0.2">
      <c r="A343" t="s">
        <v>697</v>
      </c>
      <c r="B343" t="s">
        <v>698</v>
      </c>
      <c r="C343">
        <v>22</v>
      </c>
      <c r="D343" t="s">
        <v>12</v>
      </c>
      <c r="E343" t="s">
        <v>21</v>
      </c>
      <c r="F343" s="1">
        <v>45959</v>
      </c>
      <c r="G343" s="1">
        <v>46108</v>
      </c>
      <c r="H343">
        <v>71</v>
      </c>
      <c r="I343">
        <v>8</v>
      </c>
      <c r="J343">
        <v>0</v>
      </c>
      <c r="K343" t="str">
        <f t="shared" si="15"/>
        <v>Oct-2025</v>
      </c>
      <c r="L343" s="1">
        <f t="shared" ca="1" si="16"/>
        <v>50</v>
      </c>
      <c r="M343" t="str">
        <f t="shared" si="17"/>
        <v>18-25</v>
      </c>
    </row>
    <row r="344" spans="1:13" x14ac:dyDescent="0.2">
      <c r="A344" t="s">
        <v>699</v>
      </c>
      <c r="B344" t="s">
        <v>700</v>
      </c>
      <c r="C344">
        <v>42</v>
      </c>
      <c r="D344" t="s">
        <v>20</v>
      </c>
      <c r="E344" t="s">
        <v>21</v>
      </c>
      <c r="F344" s="1">
        <v>45542</v>
      </c>
      <c r="G344" s="1">
        <v>46105</v>
      </c>
      <c r="H344">
        <v>38</v>
      </c>
      <c r="I344">
        <v>4</v>
      </c>
      <c r="J344">
        <v>0</v>
      </c>
      <c r="K344" t="str">
        <f t="shared" si="15"/>
        <v>Sep-2024</v>
      </c>
      <c r="L344" s="1">
        <f t="shared" ca="1" si="16"/>
        <v>53</v>
      </c>
      <c r="M344" t="str">
        <f t="shared" si="17"/>
        <v>36-45</v>
      </c>
    </row>
    <row r="345" spans="1:13" x14ac:dyDescent="0.2">
      <c r="A345" t="s">
        <v>701</v>
      </c>
      <c r="B345" t="s">
        <v>702</v>
      </c>
      <c r="C345">
        <v>24</v>
      </c>
      <c r="D345" t="s">
        <v>16</v>
      </c>
      <c r="E345" t="s">
        <v>21</v>
      </c>
      <c r="F345" s="1">
        <v>46099</v>
      </c>
      <c r="G345" s="1">
        <v>46113</v>
      </c>
      <c r="H345">
        <v>14</v>
      </c>
      <c r="I345">
        <v>6</v>
      </c>
      <c r="J345">
        <v>0</v>
      </c>
      <c r="K345" t="str">
        <f t="shared" si="15"/>
        <v>Mar-2026</v>
      </c>
      <c r="L345" s="1">
        <f t="shared" ca="1" si="16"/>
        <v>45</v>
      </c>
      <c r="M345" t="str">
        <f t="shared" si="17"/>
        <v>18-25</v>
      </c>
    </row>
    <row r="346" spans="1:13" x14ac:dyDescent="0.2">
      <c r="A346" t="s">
        <v>703</v>
      </c>
      <c r="B346" t="s">
        <v>704</v>
      </c>
      <c r="C346">
        <v>22</v>
      </c>
      <c r="D346" t="s">
        <v>20</v>
      </c>
      <c r="E346" t="s">
        <v>21</v>
      </c>
      <c r="F346" s="1">
        <v>45731</v>
      </c>
      <c r="G346" s="1">
        <v>46059</v>
      </c>
      <c r="H346">
        <v>13</v>
      </c>
      <c r="I346">
        <v>9</v>
      </c>
      <c r="J346">
        <v>0</v>
      </c>
      <c r="K346" t="str">
        <f t="shared" si="15"/>
        <v>Mar-2025</v>
      </c>
      <c r="L346" s="1">
        <f t="shared" ca="1" si="16"/>
        <v>99</v>
      </c>
      <c r="M346" t="str">
        <f t="shared" si="17"/>
        <v>18-25</v>
      </c>
    </row>
    <row r="347" spans="1:13" x14ac:dyDescent="0.2">
      <c r="A347" t="s">
        <v>705</v>
      </c>
      <c r="B347" t="s">
        <v>706</v>
      </c>
      <c r="C347">
        <v>36</v>
      </c>
      <c r="D347" t="s">
        <v>12</v>
      </c>
      <c r="E347" t="s">
        <v>21</v>
      </c>
      <c r="F347" s="1">
        <v>45987</v>
      </c>
      <c r="G347" s="1">
        <v>46045</v>
      </c>
      <c r="H347">
        <v>16</v>
      </c>
      <c r="I347">
        <v>5</v>
      </c>
      <c r="J347">
        <v>0</v>
      </c>
      <c r="K347" t="str">
        <f t="shared" si="15"/>
        <v>Nov-2025</v>
      </c>
      <c r="L347" s="1">
        <f t="shared" ca="1" si="16"/>
        <v>113</v>
      </c>
      <c r="M347" t="str">
        <f t="shared" si="17"/>
        <v>36-45</v>
      </c>
    </row>
    <row r="348" spans="1:13" x14ac:dyDescent="0.2">
      <c r="A348" t="s">
        <v>707</v>
      </c>
      <c r="B348" t="s">
        <v>708</v>
      </c>
      <c r="C348">
        <v>48</v>
      </c>
      <c r="D348" t="s">
        <v>12</v>
      </c>
      <c r="E348" t="s">
        <v>21</v>
      </c>
      <c r="F348" s="1">
        <v>46000</v>
      </c>
      <c r="G348" s="1">
        <v>46084</v>
      </c>
      <c r="H348">
        <v>33</v>
      </c>
      <c r="I348">
        <v>4</v>
      </c>
      <c r="J348">
        <v>0</v>
      </c>
      <c r="K348" t="str">
        <f t="shared" si="15"/>
        <v>Dec-2025</v>
      </c>
      <c r="L348" s="1">
        <f t="shared" ca="1" si="16"/>
        <v>74</v>
      </c>
      <c r="M348" t="str">
        <f t="shared" si="17"/>
        <v>46+</v>
      </c>
    </row>
    <row r="349" spans="1:13" x14ac:dyDescent="0.2">
      <c r="A349" t="s">
        <v>709</v>
      </c>
      <c r="B349" t="s">
        <v>710</v>
      </c>
      <c r="C349">
        <v>52</v>
      </c>
      <c r="D349" t="s">
        <v>16</v>
      </c>
      <c r="E349" t="s">
        <v>21</v>
      </c>
      <c r="F349" s="1">
        <v>45376</v>
      </c>
      <c r="G349" s="1">
        <v>46086</v>
      </c>
      <c r="H349">
        <v>5</v>
      </c>
      <c r="I349">
        <v>9</v>
      </c>
      <c r="J349">
        <v>0</v>
      </c>
      <c r="K349" t="str">
        <f t="shared" si="15"/>
        <v>Mar-2024</v>
      </c>
      <c r="L349" s="1">
        <f t="shared" ca="1" si="16"/>
        <v>72</v>
      </c>
      <c r="M349" t="str">
        <f t="shared" si="17"/>
        <v>46+</v>
      </c>
    </row>
    <row r="350" spans="1:13" x14ac:dyDescent="0.2">
      <c r="A350" t="s">
        <v>711</v>
      </c>
      <c r="B350" t="s">
        <v>712</v>
      </c>
      <c r="C350">
        <v>47</v>
      </c>
      <c r="D350" t="s">
        <v>12</v>
      </c>
      <c r="E350" t="s">
        <v>21</v>
      </c>
      <c r="F350" s="1">
        <v>45485</v>
      </c>
      <c r="G350" s="1">
        <v>46092</v>
      </c>
      <c r="H350">
        <v>33</v>
      </c>
      <c r="I350">
        <v>7</v>
      </c>
      <c r="J350">
        <v>0</v>
      </c>
      <c r="K350" t="str">
        <f t="shared" si="15"/>
        <v>Jul-2024</v>
      </c>
      <c r="L350" s="1">
        <f t="shared" ca="1" si="16"/>
        <v>66</v>
      </c>
      <c r="M350" t="str">
        <f t="shared" si="17"/>
        <v>46+</v>
      </c>
    </row>
    <row r="351" spans="1:13" x14ac:dyDescent="0.2">
      <c r="A351" t="s">
        <v>713</v>
      </c>
      <c r="B351" t="s">
        <v>714</v>
      </c>
      <c r="C351">
        <v>53</v>
      </c>
      <c r="D351" t="s">
        <v>12</v>
      </c>
      <c r="E351" t="s">
        <v>21</v>
      </c>
      <c r="F351" s="1">
        <v>45612</v>
      </c>
      <c r="G351" s="1">
        <v>46069</v>
      </c>
      <c r="H351">
        <v>50</v>
      </c>
      <c r="I351">
        <v>4</v>
      </c>
      <c r="J351">
        <v>1</v>
      </c>
      <c r="K351" t="str">
        <f t="shared" si="15"/>
        <v>Nov-2024</v>
      </c>
      <c r="L351" s="1">
        <f t="shared" ca="1" si="16"/>
        <v>89</v>
      </c>
      <c r="M351" t="str">
        <f t="shared" si="17"/>
        <v>46+</v>
      </c>
    </row>
    <row r="352" spans="1:13" x14ac:dyDescent="0.2">
      <c r="A352" t="s">
        <v>715</v>
      </c>
      <c r="B352" t="s">
        <v>716</v>
      </c>
      <c r="C352">
        <v>32</v>
      </c>
      <c r="D352" t="s">
        <v>16</v>
      </c>
      <c r="E352" t="s">
        <v>13</v>
      </c>
      <c r="F352" s="1">
        <v>45774</v>
      </c>
      <c r="G352" s="1">
        <v>46079</v>
      </c>
      <c r="H352">
        <v>71</v>
      </c>
      <c r="I352">
        <v>9</v>
      </c>
      <c r="J352">
        <v>0</v>
      </c>
      <c r="K352" t="str">
        <f t="shared" si="15"/>
        <v>Apr-2025</v>
      </c>
      <c r="L352" s="1">
        <f t="shared" ca="1" si="16"/>
        <v>79</v>
      </c>
      <c r="M352" t="str">
        <f t="shared" si="17"/>
        <v>26-35</v>
      </c>
    </row>
    <row r="353" spans="1:13" x14ac:dyDescent="0.2">
      <c r="A353" t="s">
        <v>717</v>
      </c>
      <c r="B353" t="s">
        <v>718</v>
      </c>
      <c r="C353">
        <v>26</v>
      </c>
      <c r="D353" t="s">
        <v>16</v>
      </c>
      <c r="E353" t="s">
        <v>17</v>
      </c>
      <c r="F353" s="1">
        <v>45152</v>
      </c>
      <c r="G353" s="1">
        <v>46053</v>
      </c>
      <c r="H353">
        <v>2</v>
      </c>
      <c r="I353">
        <v>4</v>
      </c>
      <c r="J353">
        <v>1</v>
      </c>
      <c r="K353" t="str">
        <f t="shared" si="15"/>
        <v>Aug-2023</v>
      </c>
      <c r="L353" s="1">
        <f t="shared" ca="1" si="16"/>
        <v>105</v>
      </c>
      <c r="M353" t="str">
        <f t="shared" si="17"/>
        <v>26-35</v>
      </c>
    </row>
    <row r="354" spans="1:13" x14ac:dyDescent="0.2">
      <c r="A354" t="s">
        <v>719</v>
      </c>
      <c r="B354" t="s">
        <v>720</v>
      </c>
      <c r="C354">
        <v>25</v>
      </c>
      <c r="D354" t="s">
        <v>12</v>
      </c>
      <c r="E354" t="s">
        <v>21</v>
      </c>
      <c r="F354" s="1">
        <v>45529</v>
      </c>
      <c r="G354" s="1">
        <v>46052</v>
      </c>
      <c r="H354">
        <v>46</v>
      </c>
      <c r="I354">
        <v>4</v>
      </c>
      <c r="J354">
        <v>1</v>
      </c>
      <c r="K354" t="str">
        <f t="shared" si="15"/>
        <v>Aug-2024</v>
      </c>
      <c r="L354" s="1">
        <f t="shared" ca="1" si="16"/>
        <v>106</v>
      </c>
      <c r="M354" t="str">
        <f t="shared" si="17"/>
        <v>18-25</v>
      </c>
    </row>
    <row r="355" spans="1:13" x14ac:dyDescent="0.2">
      <c r="A355" t="s">
        <v>721</v>
      </c>
      <c r="B355" t="s">
        <v>722</v>
      </c>
      <c r="C355">
        <v>42</v>
      </c>
      <c r="D355" t="s">
        <v>12</v>
      </c>
      <c r="E355" t="s">
        <v>21</v>
      </c>
      <c r="F355" s="1">
        <v>45211</v>
      </c>
      <c r="G355" s="1">
        <v>46094</v>
      </c>
      <c r="H355">
        <v>55</v>
      </c>
      <c r="I355">
        <v>2</v>
      </c>
      <c r="J355">
        <v>1</v>
      </c>
      <c r="K355" t="str">
        <f t="shared" si="15"/>
        <v>Oct-2023</v>
      </c>
      <c r="L355" s="1">
        <f t="shared" ca="1" si="16"/>
        <v>64</v>
      </c>
      <c r="M355" t="str">
        <f t="shared" si="17"/>
        <v>36-45</v>
      </c>
    </row>
    <row r="356" spans="1:13" x14ac:dyDescent="0.2">
      <c r="A356" t="s">
        <v>723</v>
      </c>
      <c r="B356" t="s">
        <v>724</v>
      </c>
      <c r="C356">
        <v>41</v>
      </c>
      <c r="D356" t="s">
        <v>16</v>
      </c>
      <c r="E356" t="s">
        <v>17</v>
      </c>
      <c r="F356" s="1">
        <v>45319</v>
      </c>
      <c r="G356" s="1">
        <v>46050</v>
      </c>
      <c r="H356">
        <v>56</v>
      </c>
      <c r="I356">
        <v>9</v>
      </c>
      <c r="J356">
        <v>0</v>
      </c>
      <c r="K356" t="str">
        <f t="shared" si="15"/>
        <v>Jan-2024</v>
      </c>
      <c r="L356" s="1">
        <f t="shared" ca="1" si="16"/>
        <v>108</v>
      </c>
      <c r="M356" t="str">
        <f t="shared" si="17"/>
        <v>36-45</v>
      </c>
    </row>
    <row r="357" spans="1:13" x14ac:dyDescent="0.2">
      <c r="A357" t="s">
        <v>725</v>
      </c>
      <c r="B357" t="s">
        <v>726</v>
      </c>
      <c r="C357">
        <v>24</v>
      </c>
      <c r="D357" t="s">
        <v>16</v>
      </c>
      <c r="E357" t="s">
        <v>17</v>
      </c>
      <c r="F357" s="1">
        <v>45175</v>
      </c>
      <c r="G357" s="1">
        <v>46085</v>
      </c>
      <c r="H357">
        <v>36</v>
      </c>
      <c r="I357">
        <v>7</v>
      </c>
      <c r="J357">
        <v>0</v>
      </c>
      <c r="K357" t="str">
        <f t="shared" si="15"/>
        <v>Sep-2023</v>
      </c>
      <c r="L357" s="1">
        <f t="shared" ca="1" si="16"/>
        <v>73</v>
      </c>
      <c r="M357" t="str">
        <f t="shared" si="17"/>
        <v>18-25</v>
      </c>
    </row>
    <row r="358" spans="1:13" x14ac:dyDescent="0.2">
      <c r="A358" t="s">
        <v>727</v>
      </c>
      <c r="B358" t="s">
        <v>728</v>
      </c>
      <c r="C358">
        <v>25</v>
      </c>
      <c r="D358" t="s">
        <v>16</v>
      </c>
      <c r="E358" t="s">
        <v>21</v>
      </c>
      <c r="F358" s="1">
        <v>45883</v>
      </c>
      <c r="G358" s="1">
        <v>46094</v>
      </c>
      <c r="H358">
        <v>53</v>
      </c>
      <c r="I358">
        <v>7</v>
      </c>
      <c r="J358">
        <v>0</v>
      </c>
      <c r="K358" t="str">
        <f t="shared" si="15"/>
        <v>Aug-2025</v>
      </c>
      <c r="L358" s="1">
        <f t="shared" ca="1" si="16"/>
        <v>64</v>
      </c>
      <c r="M358" t="str">
        <f t="shared" si="17"/>
        <v>18-25</v>
      </c>
    </row>
    <row r="359" spans="1:13" x14ac:dyDescent="0.2">
      <c r="A359" t="s">
        <v>729</v>
      </c>
      <c r="B359" t="s">
        <v>730</v>
      </c>
      <c r="C359">
        <v>51</v>
      </c>
      <c r="D359" t="s">
        <v>20</v>
      </c>
      <c r="E359" t="s">
        <v>21</v>
      </c>
      <c r="F359" s="1">
        <v>45634</v>
      </c>
      <c r="G359" s="1">
        <v>46052</v>
      </c>
      <c r="H359">
        <v>63</v>
      </c>
      <c r="I359">
        <v>3</v>
      </c>
      <c r="J359">
        <v>1</v>
      </c>
      <c r="K359" t="str">
        <f t="shared" si="15"/>
        <v>Dec-2024</v>
      </c>
      <c r="L359" s="1">
        <f t="shared" ca="1" si="16"/>
        <v>106</v>
      </c>
      <c r="M359" t="str">
        <f t="shared" si="17"/>
        <v>46+</v>
      </c>
    </row>
    <row r="360" spans="1:13" x14ac:dyDescent="0.2">
      <c r="A360" t="s">
        <v>731</v>
      </c>
      <c r="B360" t="s">
        <v>732</v>
      </c>
      <c r="C360">
        <v>24</v>
      </c>
      <c r="D360" t="s">
        <v>16</v>
      </c>
      <c r="E360" t="s">
        <v>21</v>
      </c>
      <c r="F360" s="1">
        <v>45341</v>
      </c>
      <c r="G360" s="1">
        <v>46050</v>
      </c>
      <c r="H360">
        <v>15</v>
      </c>
      <c r="I360">
        <v>7</v>
      </c>
      <c r="J360">
        <v>0</v>
      </c>
      <c r="K360" t="str">
        <f t="shared" si="15"/>
        <v>Feb-2024</v>
      </c>
      <c r="L360" s="1">
        <f t="shared" ca="1" si="16"/>
        <v>108</v>
      </c>
      <c r="M360" t="str">
        <f t="shared" si="17"/>
        <v>18-25</v>
      </c>
    </row>
    <row r="361" spans="1:13" x14ac:dyDescent="0.2">
      <c r="A361" t="s">
        <v>733</v>
      </c>
      <c r="B361" t="s">
        <v>734</v>
      </c>
      <c r="C361">
        <v>23</v>
      </c>
      <c r="D361" t="s">
        <v>16</v>
      </c>
      <c r="E361" t="s">
        <v>21</v>
      </c>
      <c r="F361" s="1">
        <v>45747</v>
      </c>
      <c r="G361" s="1">
        <v>46075</v>
      </c>
      <c r="H361">
        <v>60</v>
      </c>
      <c r="I361">
        <v>9</v>
      </c>
      <c r="J361">
        <v>0</v>
      </c>
      <c r="K361" t="str">
        <f t="shared" si="15"/>
        <v>Mar-2025</v>
      </c>
      <c r="L361" s="1">
        <f t="shared" ca="1" si="16"/>
        <v>83</v>
      </c>
      <c r="M361" t="str">
        <f t="shared" si="17"/>
        <v>18-25</v>
      </c>
    </row>
    <row r="362" spans="1:13" x14ac:dyDescent="0.2">
      <c r="A362" t="s">
        <v>735</v>
      </c>
      <c r="B362" t="s">
        <v>736</v>
      </c>
      <c r="C362">
        <v>32</v>
      </c>
      <c r="D362" t="s">
        <v>16</v>
      </c>
      <c r="E362" t="s">
        <v>21</v>
      </c>
      <c r="F362" s="1">
        <v>45290</v>
      </c>
      <c r="G362" s="1">
        <v>46034</v>
      </c>
      <c r="H362">
        <v>32</v>
      </c>
      <c r="I362">
        <v>4</v>
      </c>
      <c r="J362">
        <v>1</v>
      </c>
      <c r="K362" t="str">
        <f t="shared" si="15"/>
        <v>Dec-2023</v>
      </c>
      <c r="L362" s="1">
        <f t="shared" ca="1" si="16"/>
        <v>124</v>
      </c>
      <c r="M362" t="str">
        <f t="shared" si="17"/>
        <v>26-35</v>
      </c>
    </row>
    <row r="363" spans="1:13" x14ac:dyDescent="0.2">
      <c r="A363" t="s">
        <v>737</v>
      </c>
      <c r="B363" t="s">
        <v>738</v>
      </c>
      <c r="C363">
        <v>32</v>
      </c>
      <c r="D363" t="s">
        <v>20</v>
      </c>
      <c r="E363" t="s">
        <v>21</v>
      </c>
      <c r="F363" s="1">
        <v>45645</v>
      </c>
      <c r="G363" s="1">
        <v>46057</v>
      </c>
      <c r="H363">
        <v>36</v>
      </c>
      <c r="I363">
        <v>1</v>
      </c>
      <c r="J363">
        <v>0</v>
      </c>
      <c r="K363" t="str">
        <f t="shared" si="15"/>
        <v>Dec-2024</v>
      </c>
      <c r="L363" s="1">
        <f t="shared" ca="1" si="16"/>
        <v>101</v>
      </c>
      <c r="M363" t="str">
        <f t="shared" si="17"/>
        <v>26-35</v>
      </c>
    </row>
    <row r="364" spans="1:13" x14ac:dyDescent="0.2">
      <c r="A364" t="s">
        <v>739</v>
      </c>
      <c r="B364" t="s">
        <v>740</v>
      </c>
      <c r="C364">
        <v>33</v>
      </c>
      <c r="D364" t="s">
        <v>16</v>
      </c>
      <c r="E364" t="s">
        <v>21</v>
      </c>
      <c r="F364" s="1">
        <v>45327</v>
      </c>
      <c r="G364" s="1">
        <v>46060</v>
      </c>
      <c r="H364">
        <v>39</v>
      </c>
      <c r="I364">
        <v>1</v>
      </c>
      <c r="J364">
        <v>0</v>
      </c>
      <c r="K364" t="str">
        <f t="shared" si="15"/>
        <v>Feb-2024</v>
      </c>
      <c r="L364" s="1">
        <f t="shared" ca="1" si="16"/>
        <v>98</v>
      </c>
      <c r="M364" t="str">
        <f t="shared" si="17"/>
        <v>26-35</v>
      </c>
    </row>
    <row r="365" spans="1:13" x14ac:dyDescent="0.2">
      <c r="A365" t="s">
        <v>741</v>
      </c>
      <c r="B365" t="s">
        <v>742</v>
      </c>
      <c r="C365">
        <v>26</v>
      </c>
      <c r="D365" t="s">
        <v>20</v>
      </c>
      <c r="E365" t="s">
        <v>17</v>
      </c>
      <c r="F365" s="1">
        <v>45277</v>
      </c>
      <c r="G365" s="1">
        <v>46110</v>
      </c>
      <c r="H365">
        <v>37</v>
      </c>
      <c r="I365">
        <v>7</v>
      </c>
      <c r="J365">
        <v>0</v>
      </c>
      <c r="K365" t="str">
        <f t="shared" si="15"/>
        <v>Dec-2023</v>
      </c>
      <c r="L365" s="1">
        <f t="shared" ca="1" si="16"/>
        <v>48</v>
      </c>
      <c r="M365" t="str">
        <f t="shared" si="17"/>
        <v>26-35</v>
      </c>
    </row>
    <row r="366" spans="1:13" x14ac:dyDescent="0.2">
      <c r="A366" t="s">
        <v>743</v>
      </c>
      <c r="B366" t="s">
        <v>744</v>
      </c>
      <c r="C366">
        <v>32</v>
      </c>
      <c r="D366" t="s">
        <v>12</v>
      </c>
      <c r="E366" t="s">
        <v>21</v>
      </c>
      <c r="F366" s="1">
        <v>45740</v>
      </c>
      <c r="G366" s="1">
        <v>46090</v>
      </c>
      <c r="H366">
        <v>40</v>
      </c>
      <c r="I366">
        <v>7</v>
      </c>
      <c r="J366">
        <v>1</v>
      </c>
      <c r="K366" t="str">
        <f t="shared" si="15"/>
        <v>Mar-2025</v>
      </c>
      <c r="L366" s="1">
        <f t="shared" ca="1" si="16"/>
        <v>68</v>
      </c>
      <c r="M366" t="str">
        <f t="shared" si="17"/>
        <v>26-35</v>
      </c>
    </row>
    <row r="367" spans="1:13" x14ac:dyDescent="0.2">
      <c r="A367" t="s">
        <v>745</v>
      </c>
      <c r="B367" t="s">
        <v>746</v>
      </c>
      <c r="C367">
        <v>38</v>
      </c>
      <c r="D367" t="s">
        <v>20</v>
      </c>
      <c r="E367" t="s">
        <v>13</v>
      </c>
      <c r="F367" s="1">
        <v>45425</v>
      </c>
      <c r="G367" s="1">
        <v>46117</v>
      </c>
      <c r="H367">
        <v>45</v>
      </c>
      <c r="I367">
        <v>7</v>
      </c>
      <c r="J367">
        <v>0</v>
      </c>
      <c r="K367" t="str">
        <f t="shared" si="15"/>
        <v>May-2024</v>
      </c>
      <c r="L367" s="1">
        <f t="shared" ca="1" si="16"/>
        <v>41</v>
      </c>
      <c r="M367" t="str">
        <f t="shared" si="17"/>
        <v>36-45</v>
      </c>
    </row>
    <row r="368" spans="1:13" x14ac:dyDescent="0.2">
      <c r="A368" t="s">
        <v>747</v>
      </c>
      <c r="B368" t="s">
        <v>748</v>
      </c>
      <c r="C368">
        <v>28</v>
      </c>
      <c r="D368" t="s">
        <v>16</v>
      </c>
      <c r="E368" t="s">
        <v>21</v>
      </c>
      <c r="F368" s="1">
        <v>45796</v>
      </c>
      <c r="G368" s="1">
        <v>46122</v>
      </c>
      <c r="H368">
        <v>4</v>
      </c>
      <c r="I368">
        <v>8</v>
      </c>
      <c r="J368">
        <v>0</v>
      </c>
      <c r="K368" t="str">
        <f t="shared" si="15"/>
        <v>May-2025</v>
      </c>
      <c r="L368" s="1">
        <f t="shared" ca="1" si="16"/>
        <v>36</v>
      </c>
      <c r="M368" t="str">
        <f t="shared" si="17"/>
        <v>26-35</v>
      </c>
    </row>
    <row r="369" spans="1:13" x14ac:dyDescent="0.2">
      <c r="A369" t="s">
        <v>749</v>
      </c>
      <c r="B369" t="s">
        <v>750</v>
      </c>
      <c r="C369">
        <v>32</v>
      </c>
      <c r="D369" t="s">
        <v>12</v>
      </c>
      <c r="E369" t="s">
        <v>13</v>
      </c>
      <c r="F369" s="1">
        <v>46112</v>
      </c>
      <c r="G369" s="1">
        <v>46115</v>
      </c>
      <c r="H369">
        <v>8</v>
      </c>
      <c r="I369">
        <v>8</v>
      </c>
      <c r="J369">
        <v>0</v>
      </c>
      <c r="K369" t="str">
        <f t="shared" si="15"/>
        <v>Mar-2026</v>
      </c>
      <c r="L369" s="1">
        <f t="shared" ca="1" si="16"/>
        <v>43</v>
      </c>
      <c r="M369" t="str">
        <f t="shared" si="17"/>
        <v>26-35</v>
      </c>
    </row>
    <row r="370" spans="1:13" x14ac:dyDescent="0.2">
      <c r="A370" t="s">
        <v>751</v>
      </c>
      <c r="B370" t="s">
        <v>752</v>
      </c>
      <c r="C370">
        <v>55</v>
      </c>
      <c r="D370" t="s">
        <v>16</v>
      </c>
      <c r="E370" t="s">
        <v>13</v>
      </c>
      <c r="F370" s="1">
        <v>45878</v>
      </c>
      <c r="G370" s="1">
        <v>46061</v>
      </c>
      <c r="H370">
        <v>56</v>
      </c>
      <c r="I370">
        <v>8</v>
      </c>
      <c r="J370">
        <v>0</v>
      </c>
      <c r="K370" t="str">
        <f t="shared" si="15"/>
        <v>Aug-2025</v>
      </c>
      <c r="L370" s="1">
        <f t="shared" ca="1" si="16"/>
        <v>97</v>
      </c>
      <c r="M370" t="str">
        <f t="shared" si="17"/>
        <v>46+</v>
      </c>
    </row>
    <row r="371" spans="1:13" x14ac:dyDescent="0.2">
      <c r="A371" t="s">
        <v>753</v>
      </c>
      <c r="B371" t="s">
        <v>754</v>
      </c>
      <c r="C371">
        <v>53</v>
      </c>
      <c r="D371" t="s">
        <v>16</v>
      </c>
      <c r="E371" t="s">
        <v>21</v>
      </c>
      <c r="F371" s="1">
        <v>45263</v>
      </c>
      <c r="G371" s="1">
        <v>46116</v>
      </c>
      <c r="H371">
        <v>71</v>
      </c>
      <c r="I371">
        <v>7</v>
      </c>
      <c r="J371">
        <v>0</v>
      </c>
      <c r="K371" t="str">
        <f t="shared" si="15"/>
        <v>Dec-2023</v>
      </c>
      <c r="L371" s="1">
        <f t="shared" ca="1" si="16"/>
        <v>42</v>
      </c>
      <c r="M371" t="str">
        <f t="shared" si="17"/>
        <v>46+</v>
      </c>
    </row>
    <row r="372" spans="1:13" x14ac:dyDescent="0.2">
      <c r="A372" t="s">
        <v>755</v>
      </c>
      <c r="B372" t="s">
        <v>756</v>
      </c>
      <c r="C372">
        <v>20</v>
      </c>
      <c r="D372" t="s">
        <v>20</v>
      </c>
      <c r="E372" t="s">
        <v>17</v>
      </c>
      <c r="F372" s="1">
        <v>45342</v>
      </c>
      <c r="G372" s="1">
        <v>46146</v>
      </c>
      <c r="H372">
        <v>13</v>
      </c>
      <c r="I372">
        <v>2</v>
      </c>
      <c r="J372">
        <v>0</v>
      </c>
      <c r="K372" t="str">
        <f t="shared" si="15"/>
        <v>Feb-2024</v>
      </c>
      <c r="L372" s="1">
        <f t="shared" ca="1" si="16"/>
        <v>12</v>
      </c>
      <c r="M372" t="str">
        <f t="shared" si="17"/>
        <v>18-25</v>
      </c>
    </row>
    <row r="373" spans="1:13" x14ac:dyDescent="0.2">
      <c r="A373" t="s">
        <v>757</v>
      </c>
      <c r="B373" t="s">
        <v>758</v>
      </c>
      <c r="C373">
        <v>36</v>
      </c>
      <c r="D373" t="s">
        <v>16</v>
      </c>
      <c r="E373" t="s">
        <v>13</v>
      </c>
      <c r="F373" s="1">
        <v>45711</v>
      </c>
      <c r="G373" s="1">
        <v>46066</v>
      </c>
      <c r="H373">
        <v>49</v>
      </c>
      <c r="I373">
        <v>10</v>
      </c>
      <c r="J373">
        <v>0</v>
      </c>
      <c r="K373" t="str">
        <f t="shared" si="15"/>
        <v>Feb-2025</v>
      </c>
      <c r="L373" s="1">
        <f t="shared" ca="1" si="16"/>
        <v>92</v>
      </c>
      <c r="M373" t="str">
        <f t="shared" si="17"/>
        <v>36-45</v>
      </c>
    </row>
    <row r="374" spans="1:13" x14ac:dyDescent="0.2">
      <c r="A374" t="s">
        <v>759</v>
      </c>
      <c r="B374" t="s">
        <v>760</v>
      </c>
      <c r="C374">
        <v>60</v>
      </c>
      <c r="D374" t="s">
        <v>16</v>
      </c>
      <c r="E374" t="s">
        <v>13</v>
      </c>
      <c r="F374" s="1">
        <v>45614</v>
      </c>
      <c r="G374" s="1">
        <v>46107</v>
      </c>
      <c r="H374">
        <v>60</v>
      </c>
      <c r="I374">
        <v>5</v>
      </c>
      <c r="J374">
        <v>0</v>
      </c>
      <c r="K374" t="str">
        <f t="shared" si="15"/>
        <v>Nov-2024</v>
      </c>
      <c r="L374" s="1">
        <f t="shared" ca="1" si="16"/>
        <v>51</v>
      </c>
      <c r="M374" t="str">
        <f t="shared" si="17"/>
        <v>46+</v>
      </c>
    </row>
    <row r="375" spans="1:13" x14ac:dyDescent="0.2">
      <c r="A375" t="s">
        <v>761</v>
      </c>
      <c r="B375" t="s">
        <v>762</v>
      </c>
      <c r="C375">
        <v>36</v>
      </c>
      <c r="D375" t="s">
        <v>12</v>
      </c>
      <c r="E375" t="s">
        <v>21</v>
      </c>
      <c r="F375" s="1">
        <v>45577</v>
      </c>
      <c r="G375" s="1">
        <v>46049</v>
      </c>
      <c r="H375">
        <v>3</v>
      </c>
      <c r="I375">
        <v>10</v>
      </c>
      <c r="J375">
        <v>1</v>
      </c>
      <c r="K375" t="str">
        <f t="shared" si="15"/>
        <v>Oct-2024</v>
      </c>
      <c r="L375" s="1">
        <f t="shared" ca="1" si="16"/>
        <v>109</v>
      </c>
      <c r="M375" t="str">
        <f t="shared" si="17"/>
        <v>36-45</v>
      </c>
    </row>
    <row r="376" spans="1:13" x14ac:dyDescent="0.2">
      <c r="A376" t="s">
        <v>763</v>
      </c>
      <c r="B376" t="s">
        <v>764</v>
      </c>
      <c r="C376">
        <v>50</v>
      </c>
      <c r="D376" t="s">
        <v>16</v>
      </c>
      <c r="E376" t="s">
        <v>17</v>
      </c>
      <c r="F376" s="1">
        <v>45600</v>
      </c>
      <c r="G376" s="1">
        <v>46123</v>
      </c>
      <c r="H376">
        <v>53</v>
      </c>
      <c r="I376">
        <v>9</v>
      </c>
      <c r="J376">
        <v>0</v>
      </c>
      <c r="K376" t="str">
        <f t="shared" si="15"/>
        <v>Nov-2024</v>
      </c>
      <c r="L376" s="1">
        <f t="shared" ca="1" si="16"/>
        <v>35</v>
      </c>
      <c r="M376" t="str">
        <f t="shared" si="17"/>
        <v>46+</v>
      </c>
    </row>
    <row r="377" spans="1:13" x14ac:dyDescent="0.2">
      <c r="A377" t="s">
        <v>765</v>
      </c>
      <c r="B377" t="s">
        <v>766</v>
      </c>
      <c r="C377">
        <v>31</v>
      </c>
      <c r="D377" t="s">
        <v>16</v>
      </c>
      <c r="E377" t="s">
        <v>21</v>
      </c>
      <c r="F377" s="1">
        <v>45837</v>
      </c>
      <c r="G377" s="1">
        <v>46148</v>
      </c>
      <c r="H377">
        <v>64</v>
      </c>
      <c r="I377">
        <v>3</v>
      </c>
      <c r="J377">
        <v>0</v>
      </c>
      <c r="K377" t="str">
        <f t="shared" si="15"/>
        <v>Jun-2025</v>
      </c>
      <c r="L377" s="1">
        <f t="shared" ca="1" si="16"/>
        <v>10</v>
      </c>
      <c r="M377" t="str">
        <f t="shared" si="17"/>
        <v>26-35</v>
      </c>
    </row>
    <row r="378" spans="1:13" x14ac:dyDescent="0.2">
      <c r="A378" t="s">
        <v>767</v>
      </c>
      <c r="B378" t="s">
        <v>768</v>
      </c>
      <c r="C378">
        <v>54</v>
      </c>
      <c r="D378" t="s">
        <v>12</v>
      </c>
      <c r="E378" t="s">
        <v>21</v>
      </c>
      <c r="F378" s="1">
        <v>45743</v>
      </c>
      <c r="G378" s="1">
        <v>46032</v>
      </c>
      <c r="H378">
        <v>5</v>
      </c>
      <c r="I378">
        <v>8</v>
      </c>
      <c r="J378">
        <v>1</v>
      </c>
      <c r="K378" t="str">
        <f t="shared" si="15"/>
        <v>Mar-2025</v>
      </c>
      <c r="L378" s="1">
        <f t="shared" ca="1" si="16"/>
        <v>126</v>
      </c>
      <c r="M378" t="str">
        <f t="shared" si="17"/>
        <v>46+</v>
      </c>
    </row>
    <row r="379" spans="1:13" x14ac:dyDescent="0.2">
      <c r="A379" t="s">
        <v>769</v>
      </c>
      <c r="B379" t="s">
        <v>770</v>
      </c>
      <c r="C379">
        <v>56</v>
      </c>
      <c r="D379" t="s">
        <v>16</v>
      </c>
      <c r="E379" t="s">
        <v>17</v>
      </c>
      <c r="F379" s="1">
        <v>45331</v>
      </c>
      <c r="G379" s="1">
        <v>46039</v>
      </c>
      <c r="H379">
        <v>39</v>
      </c>
      <c r="I379">
        <v>9</v>
      </c>
      <c r="J379">
        <v>0</v>
      </c>
      <c r="K379" t="str">
        <f t="shared" si="15"/>
        <v>Feb-2024</v>
      </c>
      <c r="L379" s="1">
        <f t="shared" ca="1" si="16"/>
        <v>119</v>
      </c>
      <c r="M379" t="str">
        <f t="shared" si="17"/>
        <v>46+</v>
      </c>
    </row>
    <row r="380" spans="1:13" x14ac:dyDescent="0.2">
      <c r="A380" t="s">
        <v>771</v>
      </c>
      <c r="B380" t="s">
        <v>772</v>
      </c>
      <c r="C380">
        <v>36</v>
      </c>
      <c r="D380" t="s">
        <v>20</v>
      </c>
      <c r="E380" t="s">
        <v>21</v>
      </c>
      <c r="F380" s="1">
        <v>45996</v>
      </c>
      <c r="G380" s="1">
        <v>46133</v>
      </c>
      <c r="H380">
        <v>57</v>
      </c>
      <c r="I380">
        <v>2</v>
      </c>
      <c r="J380">
        <v>1</v>
      </c>
      <c r="K380" t="str">
        <f t="shared" si="15"/>
        <v>Dec-2025</v>
      </c>
      <c r="L380" s="1">
        <f t="shared" ca="1" si="16"/>
        <v>25</v>
      </c>
      <c r="M380" t="str">
        <f t="shared" si="17"/>
        <v>36-45</v>
      </c>
    </row>
    <row r="381" spans="1:13" x14ac:dyDescent="0.2">
      <c r="A381" t="s">
        <v>773</v>
      </c>
      <c r="B381" t="s">
        <v>774</v>
      </c>
      <c r="C381">
        <v>20</v>
      </c>
      <c r="D381" t="s">
        <v>12</v>
      </c>
      <c r="E381" t="s">
        <v>17</v>
      </c>
      <c r="F381" s="1">
        <v>45317</v>
      </c>
      <c r="G381" s="1">
        <v>46100</v>
      </c>
      <c r="H381">
        <v>0</v>
      </c>
      <c r="I381">
        <v>1</v>
      </c>
      <c r="J381">
        <v>0</v>
      </c>
      <c r="K381" t="str">
        <f t="shared" si="15"/>
        <v>Jan-2024</v>
      </c>
      <c r="L381" s="1">
        <f t="shared" ca="1" si="16"/>
        <v>58</v>
      </c>
      <c r="M381" t="str">
        <f t="shared" si="17"/>
        <v>18-25</v>
      </c>
    </row>
    <row r="382" spans="1:13" x14ac:dyDescent="0.2">
      <c r="A382" t="s">
        <v>775</v>
      </c>
      <c r="B382" t="s">
        <v>776</v>
      </c>
      <c r="C382">
        <v>58</v>
      </c>
      <c r="D382" t="s">
        <v>12</v>
      </c>
      <c r="E382" t="s">
        <v>17</v>
      </c>
      <c r="F382" s="1">
        <v>45777</v>
      </c>
      <c r="G382" s="1">
        <v>46068</v>
      </c>
      <c r="H382">
        <v>9</v>
      </c>
      <c r="I382">
        <v>10</v>
      </c>
      <c r="J382">
        <v>0</v>
      </c>
      <c r="K382" t="str">
        <f t="shared" si="15"/>
        <v>Apr-2025</v>
      </c>
      <c r="L382" s="1">
        <f t="shared" ca="1" si="16"/>
        <v>90</v>
      </c>
      <c r="M382" t="str">
        <f t="shared" si="17"/>
        <v>46+</v>
      </c>
    </row>
    <row r="383" spans="1:13" x14ac:dyDescent="0.2">
      <c r="A383" t="s">
        <v>777</v>
      </c>
      <c r="B383" t="s">
        <v>778</v>
      </c>
      <c r="C383">
        <v>49</v>
      </c>
      <c r="D383" t="s">
        <v>16</v>
      </c>
      <c r="E383" t="s">
        <v>13</v>
      </c>
      <c r="F383" s="1">
        <v>45213</v>
      </c>
      <c r="G383" s="1">
        <v>46072</v>
      </c>
      <c r="H383">
        <v>60</v>
      </c>
      <c r="I383">
        <v>8</v>
      </c>
      <c r="J383">
        <v>0</v>
      </c>
      <c r="K383" t="str">
        <f t="shared" si="15"/>
        <v>Oct-2023</v>
      </c>
      <c r="L383" s="1">
        <f t="shared" ca="1" si="16"/>
        <v>86</v>
      </c>
      <c r="M383" t="str">
        <f t="shared" si="17"/>
        <v>46+</v>
      </c>
    </row>
    <row r="384" spans="1:13" x14ac:dyDescent="0.2">
      <c r="A384" t="s">
        <v>779</v>
      </c>
      <c r="B384" t="s">
        <v>780</v>
      </c>
      <c r="C384">
        <v>25</v>
      </c>
      <c r="D384" t="s">
        <v>16</v>
      </c>
      <c r="E384" t="s">
        <v>21</v>
      </c>
      <c r="F384" s="1">
        <v>46078</v>
      </c>
      <c r="G384" s="1">
        <v>46124</v>
      </c>
      <c r="H384">
        <v>16</v>
      </c>
      <c r="I384">
        <v>7</v>
      </c>
      <c r="J384">
        <v>0</v>
      </c>
      <c r="K384" t="str">
        <f t="shared" si="15"/>
        <v>Feb-2026</v>
      </c>
      <c r="L384" s="1">
        <f t="shared" ca="1" si="16"/>
        <v>34</v>
      </c>
      <c r="M384" t="str">
        <f t="shared" si="17"/>
        <v>18-25</v>
      </c>
    </row>
    <row r="385" spans="1:13" x14ac:dyDescent="0.2">
      <c r="A385" t="s">
        <v>781</v>
      </c>
      <c r="B385" t="s">
        <v>782</v>
      </c>
      <c r="C385">
        <v>36</v>
      </c>
      <c r="D385" t="s">
        <v>20</v>
      </c>
      <c r="E385" t="s">
        <v>21</v>
      </c>
      <c r="F385" s="1">
        <v>45306</v>
      </c>
      <c r="G385" s="1">
        <v>46045</v>
      </c>
      <c r="H385">
        <v>61</v>
      </c>
      <c r="I385">
        <v>3</v>
      </c>
      <c r="J385">
        <v>1</v>
      </c>
      <c r="K385" t="str">
        <f t="shared" si="15"/>
        <v>Jan-2024</v>
      </c>
      <c r="L385" s="1">
        <f t="shared" ca="1" si="16"/>
        <v>113</v>
      </c>
      <c r="M385" t="str">
        <f t="shared" si="17"/>
        <v>36-45</v>
      </c>
    </row>
    <row r="386" spans="1:13" x14ac:dyDescent="0.2">
      <c r="A386" t="s">
        <v>783</v>
      </c>
      <c r="B386" t="s">
        <v>784</v>
      </c>
      <c r="C386">
        <v>45</v>
      </c>
      <c r="D386" t="s">
        <v>12</v>
      </c>
      <c r="E386" t="s">
        <v>17</v>
      </c>
      <c r="F386" s="1">
        <v>45461</v>
      </c>
      <c r="G386" s="1">
        <v>46091</v>
      </c>
      <c r="H386">
        <v>73</v>
      </c>
      <c r="I386">
        <v>4</v>
      </c>
      <c r="J386">
        <v>0</v>
      </c>
      <c r="K386" t="str">
        <f t="shared" si="15"/>
        <v>Jun-2024</v>
      </c>
      <c r="L386" s="1">
        <f t="shared" ca="1" si="16"/>
        <v>67</v>
      </c>
      <c r="M386" t="str">
        <f t="shared" si="17"/>
        <v>36-45</v>
      </c>
    </row>
    <row r="387" spans="1:13" x14ac:dyDescent="0.2">
      <c r="A387" t="s">
        <v>785</v>
      </c>
      <c r="B387" t="s">
        <v>786</v>
      </c>
      <c r="C387">
        <v>24</v>
      </c>
      <c r="D387" t="s">
        <v>20</v>
      </c>
      <c r="E387" t="s">
        <v>21</v>
      </c>
      <c r="F387" s="1">
        <v>46043</v>
      </c>
      <c r="G387" s="1">
        <v>46144</v>
      </c>
      <c r="H387">
        <v>10</v>
      </c>
      <c r="I387">
        <v>8</v>
      </c>
      <c r="J387">
        <v>0</v>
      </c>
      <c r="K387" t="str">
        <f t="shared" ref="K387:K450" si="18">TEXT(F387,"MMM-YYYY")</f>
        <v>Jan-2026</v>
      </c>
      <c r="L387" s="1">
        <f t="shared" ref="L387:L450" ca="1" si="19">TODAY()-G387</f>
        <v>14</v>
      </c>
      <c r="M387" t="str">
        <f t="shared" ref="M387:M450" si="20">IF(C387&lt;=25,"18-25",IF(C387&lt;=35,"26-35",IF(C387&lt;=45,"36-45","46+")))</f>
        <v>18-25</v>
      </c>
    </row>
    <row r="388" spans="1:13" x14ac:dyDescent="0.2">
      <c r="A388" t="s">
        <v>787</v>
      </c>
      <c r="B388" t="s">
        <v>788</v>
      </c>
      <c r="C388">
        <v>54</v>
      </c>
      <c r="D388" t="s">
        <v>16</v>
      </c>
      <c r="E388" t="s">
        <v>21</v>
      </c>
      <c r="F388" s="1">
        <v>45600</v>
      </c>
      <c r="G388" s="1">
        <v>46106</v>
      </c>
      <c r="H388">
        <v>52</v>
      </c>
      <c r="I388">
        <v>7</v>
      </c>
      <c r="J388">
        <v>0</v>
      </c>
      <c r="K388" t="str">
        <f t="shared" si="18"/>
        <v>Nov-2024</v>
      </c>
      <c r="L388" s="1">
        <f t="shared" ca="1" si="19"/>
        <v>52</v>
      </c>
      <c r="M388" t="str">
        <f t="shared" si="20"/>
        <v>46+</v>
      </c>
    </row>
    <row r="389" spans="1:13" x14ac:dyDescent="0.2">
      <c r="A389" t="s">
        <v>789</v>
      </c>
      <c r="B389" t="s">
        <v>790</v>
      </c>
      <c r="C389">
        <v>32</v>
      </c>
      <c r="D389" t="s">
        <v>20</v>
      </c>
      <c r="E389" t="s">
        <v>21</v>
      </c>
      <c r="F389" s="1">
        <v>45231</v>
      </c>
      <c r="G389" s="1">
        <v>46125</v>
      </c>
      <c r="H389">
        <v>71</v>
      </c>
      <c r="I389">
        <v>8</v>
      </c>
      <c r="J389">
        <v>0</v>
      </c>
      <c r="K389" t="str">
        <f t="shared" si="18"/>
        <v>Nov-2023</v>
      </c>
      <c r="L389" s="1">
        <f t="shared" ca="1" si="19"/>
        <v>33</v>
      </c>
      <c r="M389" t="str">
        <f t="shared" si="20"/>
        <v>26-35</v>
      </c>
    </row>
    <row r="390" spans="1:13" x14ac:dyDescent="0.2">
      <c r="A390" t="s">
        <v>791</v>
      </c>
      <c r="B390" t="s">
        <v>792</v>
      </c>
      <c r="C390">
        <v>60</v>
      </c>
      <c r="D390" t="s">
        <v>16</v>
      </c>
      <c r="E390" t="s">
        <v>21</v>
      </c>
      <c r="F390" s="1">
        <v>45265</v>
      </c>
      <c r="G390" s="1">
        <v>46138</v>
      </c>
      <c r="H390">
        <v>30</v>
      </c>
      <c r="I390">
        <v>6</v>
      </c>
      <c r="J390">
        <v>1</v>
      </c>
      <c r="K390" t="str">
        <f t="shared" si="18"/>
        <v>Dec-2023</v>
      </c>
      <c r="L390" s="1">
        <f t="shared" ca="1" si="19"/>
        <v>20</v>
      </c>
      <c r="M390" t="str">
        <f t="shared" si="20"/>
        <v>46+</v>
      </c>
    </row>
    <row r="391" spans="1:13" x14ac:dyDescent="0.2">
      <c r="A391" t="s">
        <v>793</v>
      </c>
      <c r="B391" t="s">
        <v>794</v>
      </c>
      <c r="C391">
        <v>48</v>
      </c>
      <c r="D391" t="s">
        <v>20</v>
      </c>
      <c r="E391" t="s">
        <v>17</v>
      </c>
      <c r="F391" s="1">
        <v>45450</v>
      </c>
      <c r="G391" s="1">
        <v>46099</v>
      </c>
      <c r="H391">
        <v>17</v>
      </c>
      <c r="I391">
        <v>8</v>
      </c>
      <c r="J391">
        <v>0</v>
      </c>
      <c r="K391" t="str">
        <f t="shared" si="18"/>
        <v>Jun-2024</v>
      </c>
      <c r="L391" s="1">
        <f t="shared" ca="1" si="19"/>
        <v>59</v>
      </c>
      <c r="M391" t="str">
        <f t="shared" si="20"/>
        <v>46+</v>
      </c>
    </row>
    <row r="392" spans="1:13" x14ac:dyDescent="0.2">
      <c r="A392" t="s">
        <v>795</v>
      </c>
      <c r="B392" t="s">
        <v>796</v>
      </c>
      <c r="C392">
        <v>54</v>
      </c>
      <c r="D392" t="s">
        <v>16</v>
      </c>
      <c r="E392" t="s">
        <v>13</v>
      </c>
      <c r="F392" s="1">
        <v>45192</v>
      </c>
      <c r="G392" s="1">
        <v>46079</v>
      </c>
      <c r="H392">
        <v>77</v>
      </c>
      <c r="I392">
        <v>4</v>
      </c>
      <c r="J392">
        <v>1</v>
      </c>
      <c r="K392" t="str">
        <f t="shared" si="18"/>
        <v>Sep-2023</v>
      </c>
      <c r="L392" s="1">
        <f t="shared" ca="1" si="19"/>
        <v>79</v>
      </c>
      <c r="M392" t="str">
        <f t="shared" si="20"/>
        <v>46+</v>
      </c>
    </row>
    <row r="393" spans="1:13" x14ac:dyDescent="0.2">
      <c r="A393" t="s">
        <v>797</v>
      </c>
      <c r="B393" t="s">
        <v>798</v>
      </c>
      <c r="C393">
        <v>54</v>
      </c>
      <c r="D393" t="s">
        <v>16</v>
      </c>
      <c r="E393" t="s">
        <v>17</v>
      </c>
      <c r="F393" s="1">
        <v>45200</v>
      </c>
      <c r="G393" s="1">
        <v>46107</v>
      </c>
      <c r="H393">
        <v>62</v>
      </c>
      <c r="I393">
        <v>5</v>
      </c>
      <c r="J393">
        <v>0</v>
      </c>
      <c r="K393" t="str">
        <f t="shared" si="18"/>
        <v>Oct-2023</v>
      </c>
      <c r="L393" s="1">
        <f t="shared" ca="1" si="19"/>
        <v>51</v>
      </c>
      <c r="M393" t="str">
        <f t="shared" si="20"/>
        <v>46+</v>
      </c>
    </row>
    <row r="394" spans="1:13" x14ac:dyDescent="0.2">
      <c r="A394" t="s">
        <v>799</v>
      </c>
      <c r="B394" t="s">
        <v>800</v>
      </c>
      <c r="C394">
        <v>44</v>
      </c>
      <c r="D394" t="s">
        <v>12</v>
      </c>
      <c r="E394" t="s">
        <v>17</v>
      </c>
      <c r="F394" s="1">
        <v>45850</v>
      </c>
      <c r="G394" s="1">
        <v>46117</v>
      </c>
      <c r="H394">
        <v>32</v>
      </c>
      <c r="I394">
        <v>6</v>
      </c>
      <c r="J394">
        <v>0</v>
      </c>
      <c r="K394" t="str">
        <f t="shared" si="18"/>
        <v>Jul-2025</v>
      </c>
      <c r="L394" s="1">
        <f t="shared" ca="1" si="19"/>
        <v>41</v>
      </c>
      <c r="M394" t="str">
        <f t="shared" si="20"/>
        <v>36-45</v>
      </c>
    </row>
    <row r="395" spans="1:13" x14ac:dyDescent="0.2">
      <c r="A395" t="s">
        <v>801</v>
      </c>
      <c r="B395" t="s">
        <v>802</v>
      </c>
      <c r="C395">
        <v>40</v>
      </c>
      <c r="D395" t="s">
        <v>20</v>
      </c>
      <c r="E395" t="s">
        <v>13</v>
      </c>
      <c r="F395" s="1">
        <v>45937</v>
      </c>
      <c r="G395" s="1">
        <v>46116</v>
      </c>
      <c r="H395">
        <v>14</v>
      </c>
      <c r="I395">
        <v>1</v>
      </c>
      <c r="J395">
        <v>0</v>
      </c>
      <c r="K395" t="str">
        <f t="shared" si="18"/>
        <v>Oct-2025</v>
      </c>
      <c r="L395" s="1">
        <f t="shared" ca="1" si="19"/>
        <v>42</v>
      </c>
      <c r="M395" t="str">
        <f t="shared" si="20"/>
        <v>36-45</v>
      </c>
    </row>
    <row r="396" spans="1:13" x14ac:dyDescent="0.2">
      <c r="A396" t="s">
        <v>803</v>
      </c>
      <c r="B396" t="s">
        <v>804</v>
      </c>
      <c r="C396">
        <v>42</v>
      </c>
      <c r="D396" t="s">
        <v>20</v>
      </c>
      <c r="E396" t="s">
        <v>21</v>
      </c>
      <c r="F396" s="1">
        <v>45742</v>
      </c>
      <c r="G396" s="1">
        <v>46150</v>
      </c>
      <c r="H396">
        <v>1</v>
      </c>
      <c r="I396">
        <v>7</v>
      </c>
      <c r="J396">
        <v>0</v>
      </c>
      <c r="K396" t="str">
        <f t="shared" si="18"/>
        <v>Mar-2025</v>
      </c>
      <c r="L396" s="1">
        <f t="shared" ca="1" si="19"/>
        <v>8</v>
      </c>
      <c r="M396" t="str">
        <f t="shared" si="20"/>
        <v>36-45</v>
      </c>
    </row>
    <row r="397" spans="1:13" x14ac:dyDescent="0.2">
      <c r="A397" t="s">
        <v>805</v>
      </c>
      <c r="B397" t="s">
        <v>806</v>
      </c>
      <c r="C397">
        <v>29</v>
      </c>
      <c r="D397" t="s">
        <v>20</v>
      </c>
      <c r="E397" t="s">
        <v>21</v>
      </c>
      <c r="F397" s="1">
        <v>45412</v>
      </c>
      <c r="G397" s="1">
        <v>46074</v>
      </c>
      <c r="H397">
        <v>71</v>
      </c>
      <c r="I397">
        <v>9</v>
      </c>
      <c r="J397">
        <v>1</v>
      </c>
      <c r="K397" t="str">
        <f t="shared" si="18"/>
        <v>Apr-2024</v>
      </c>
      <c r="L397" s="1">
        <f t="shared" ca="1" si="19"/>
        <v>84</v>
      </c>
      <c r="M397" t="str">
        <f t="shared" si="20"/>
        <v>26-35</v>
      </c>
    </row>
    <row r="398" spans="1:13" x14ac:dyDescent="0.2">
      <c r="A398" t="s">
        <v>807</v>
      </c>
      <c r="B398" t="s">
        <v>808</v>
      </c>
      <c r="C398">
        <v>49</v>
      </c>
      <c r="D398" t="s">
        <v>20</v>
      </c>
      <c r="E398" t="s">
        <v>21</v>
      </c>
      <c r="F398" s="1">
        <v>45572</v>
      </c>
      <c r="G398" s="1">
        <v>46111</v>
      </c>
      <c r="H398">
        <v>31</v>
      </c>
      <c r="I398">
        <v>4</v>
      </c>
      <c r="J398">
        <v>1</v>
      </c>
      <c r="K398" t="str">
        <f t="shared" si="18"/>
        <v>Oct-2024</v>
      </c>
      <c r="L398" s="1">
        <f t="shared" ca="1" si="19"/>
        <v>47</v>
      </c>
      <c r="M398" t="str">
        <f t="shared" si="20"/>
        <v>46+</v>
      </c>
    </row>
    <row r="399" spans="1:13" x14ac:dyDescent="0.2">
      <c r="A399" t="s">
        <v>809</v>
      </c>
      <c r="B399" t="s">
        <v>810</v>
      </c>
      <c r="C399">
        <v>47</v>
      </c>
      <c r="D399" t="s">
        <v>12</v>
      </c>
      <c r="E399" t="s">
        <v>21</v>
      </c>
      <c r="F399" s="1">
        <v>45877</v>
      </c>
      <c r="G399" s="1">
        <v>46118</v>
      </c>
      <c r="H399">
        <v>42</v>
      </c>
      <c r="I399">
        <v>8</v>
      </c>
      <c r="J399">
        <v>0</v>
      </c>
      <c r="K399" t="str">
        <f t="shared" si="18"/>
        <v>Aug-2025</v>
      </c>
      <c r="L399" s="1">
        <f t="shared" ca="1" si="19"/>
        <v>40</v>
      </c>
      <c r="M399" t="str">
        <f t="shared" si="20"/>
        <v>46+</v>
      </c>
    </row>
    <row r="400" spans="1:13" x14ac:dyDescent="0.2">
      <c r="A400" t="s">
        <v>811</v>
      </c>
      <c r="B400" t="s">
        <v>812</v>
      </c>
      <c r="C400">
        <v>31</v>
      </c>
      <c r="D400" t="s">
        <v>20</v>
      </c>
      <c r="E400" t="s">
        <v>13</v>
      </c>
      <c r="F400" s="1">
        <v>45629</v>
      </c>
      <c r="G400" s="1">
        <v>46063</v>
      </c>
      <c r="H400">
        <v>34</v>
      </c>
      <c r="I400">
        <v>9</v>
      </c>
      <c r="J400">
        <v>0</v>
      </c>
      <c r="K400" t="str">
        <f t="shared" si="18"/>
        <v>Dec-2024</v>
      </c>
      <c r="L400" s="1">
        <f t="shared" ca="1" si="19"/>
        <v>95</v>
      </c>
      <c r="M400" t="str">
        <f t="shared" si="20"/>
        <v>26-35</v>
      </c>
    </row>
    <row r="401" spans="1:13" x14ac:dyDescent="0.2">
      <c r="A401" t="s">
        <v>813</v>
      </c>
      <c r="B401" t="s">
        <v>814</v>
      </c>
      <c r="C401">
        <v>22</v>
      </c>
      <c r="D401" t="s">
        <v>20</v>
      </c>
      <c r="E401" t="s">
        <v>17</v>
      </c>
      <c r="F401" s="1">
        <v>45593</v>
      </c>
      <c r="G401" s="1">
        <v>46065</v>
      </c>
      <c r="H401">
        <v>32</v>
      </c>
      <c r="I401">
        <v>1</v>
      </c>
      <c r="J401">
        <v>1</v>
      </c>
      <c r="K401" t="str">
        <f t="shared" si="18"/>
        <v>Oct-2024</v>
      </c>
      <c r="L401" s="1">
        <f t="shared" ca="1" si="19"/>
        <v>93</v>
      </c>
      <c r="M401" t="str">
        <f t="shared" si="20"/>
        <v>18-25</v>
      </c>
    </row>
    <row r="402" spans="1:13" x14ac:dyDescent="0.2">
      <c r="A402" t="s">
        <v>815</v>
      </c>
      <c r="B402" t="s">
        <v>816</v>
      </c>
      <c r="C402">
        <v>54</v>
      </c>
      <c r="D402" t="s">
        <v>12</v>
      </c>
      <c r="E402" t="s">
        <v>17</v>
      </c>
      <c r="F402" s="1">
        <v>45472</v>
      </c>
      <c r="G402" s="1">
        <v>46062</v>
      </c>
      <c r="H402">
        <v>63</v>
      </c>
      <c r="I402">
        <v>1</v>
      </c>
      <c r="J402">
        <v>1</v>
      </c>
      <c r="K402" t="str">
        <f t="shared" si="18"/>
        <v>Jun-2024</v>
      </c>
      <c r="L402" s="1">
        <f t="shared" ca="1" si="19"/>
        <v>96</v>
      </c>
      <c r="M402" t="str">
        <f t="shared" si="20"/>
        <v>46+</v>
      </c>
    </row>
    <row r="403" spans="1:13" x14ac:dyDescent="0.2">
      <c r="A403" t="s">
        <v>817</v>
      </c>
      <c r="B403" t="s">
        <v>818</v>
      </c>
      <c r="C403">
        <v>25</v>
      </c>
      <c r="D403" t="s">
        <v>16</v>
      </c>
      <c r="E403" t="s">
        <v>21</v>
      </c>
      <c r="F403" s="1">
        <v>45311</v>
      </c>
      <c r="G403" s="1">
        <v>46099</v>
      </c>
      <c r="H403">
        <v>76</v>
      </c>
      <c r="I403">
        <v>1</v>
      </c>
      <c r="J403">
        <v>1</v>
      </c>
      <c r="K403" t="str">
        <f t="shared" si="18"/>
        <v>Jan-2024</v>
      </c>
      <c r="L403" s="1">
        <f t="shared" ca="1" si="19"/>
        <v>59</v>
      </c>
      <c r="M403" t="str">
        <f t="shared" si="20"/>
        <v>18-25</v>
      </c>
    </row>
    <row r="404" spans="1:13" x14ac:dyDescent="0.2">
      <c r="A404" t="s">
        <v>819</v>
      </c>
      <c r="B404" t="s">
        <v>820</v>
      </c>
      <c r="C404">
        <v>19</v>
      </c>
      <c r="D404" t="s">
        <v>20</v>
      </c>
      <c r="E404" t="s">
        <v>17</v>
      </c>
      <c r="F404" s="1">
        <v>45264</v>
      </c>
      <c r="G404" s="1">
        <v>46093</v>
      </c>
      <c r="H404">
        <v>71</v>
      </c>
      <c r="I404">
        <v>6</v>
      </c>
      <c r="J404">
        <v>0</v>
      </c>
      <c r="K404" t="str">
        <f t="shared" si="18"/>
        <v>Dec-2023</v>
      </c>
      <c r="L404" s="1">
        <f t="shared" ca="1" si="19"/>
        <v>65</v>
      </c>
      <c r="M404" t="str">
        <f t="shared" si="20"/>
        <v>18-25</v>
      </c>
    </row>
    <row r="405" spans="1:13" x14ac:dyDescent="0.2">
      <c r="A405" t="s">
        <v>821</v>
      </c>
      <c r="B405" t="s">
        <v>822</v>
      </c>
      <c r="C405">
        <v>31</v>
      </c>
      <c r="D405" t="s">
        <v>12</v>
      </c>
      <c r="E405" t="s">
        <v>13</v>
      </c>
      <c r="F405" s="1">
        <v>45668</v>
      </c>
      <c r="G405" s="1">
        <v>46051</v>
      </c>
      <c r="H405">
        <v>16</v>
      </c>
      <c r="I405">
        <v>6</v>
      </c>
      <c r="J405">
        <v>0</v>
      </c>
      <c r="K405" t="str">
        <f t="shared" si="18"/>
        <v>Jan-2025</v>
      </c>
      <c r="L405" s="1">
        <f t="shared" ca="1" si="19"/>
        <v>107</v>
      </c>
      <c r="M405" t="str">
        <f t="shared" si="20"/>
        <v>26-35</v>
      </c>
    </row>
    <row r="406" spans="1:13" x14ac:dyDescent="0.2">
      <c r="A406" t="s">
        <v>823</v>
      </c>
      <c r="B406" t="s">
        <v>824</v>
      </c>
      <c r="C406">
        <v>52</v>
      </c>
      <c r="D406" t="s">
        <v>16</v>
      </c>
      <c r="E406" t="s">
        <v>17</v>
      </c>
      <c r="F406" s="1">
        <v>46038</v>
      </c>
      <c r="G406" s="1">
        <v>46047</v>
      </c>
      <c r="H406">
        <v>80</v>
      </c>
      <c r="I406">
        <v>10</v>
      </c>
      <c r="J406">
        <v>1</v>
      </c>
      <c r="K406" t="str">
        <f t="shared" si="18"/>
        <v>Jan-2026</v>
      </c>
      <c r="L406" s="1">
        <f t="shared" ca="1" si="19"/>
        <v>111</v>
      </c>
      <c r="M406" t="str">
        <f t="shared" si="20"/>
        <v>46+</v>
      </c>
    </row>
    <row r="407" spans="1:13" x14ac:dyDescent="0.2">
      <c r="A407" t="s">
        <v>825</v>
      </c>
      <c r="B407" t="s">
        <v>826</v>
      </c>
      <c r="C407">
        <v>36</v>
      </c>
      <c r="D407" t="s">
        <v>16</v>
      </c>
      <c r="E407" t="s">
        <v>17</v>
      </c>
      <c r="F407" s="1">
        <v>45720</v>
      </c>
      <c r="G407" s="1">
        <v>46093</v>
      </c>
      <c r="H407">
        <v>56</v>
      </c>
      <c r="I407">
        <v>2</v>
      </c>
      <c r="J407">
        <v>0</v>
      </c>
      <c r="K407" t="str">
        <f t="shared" si="18"/>
        <v>Mar-2025</v>
      </c>
      <c r="L407" s="1">
        <f t="shared" ca="1" si="19"/>
        <v>65</v>
      </c>
      <c r="M407" t="str">
        <f t="shared" si="20"/>
        <v>36-45</v>
      </c>
    </row>
    <row r="408" spans="1:13" x14ac:dyDescent="0.2">
      <c r="A408" t="s">
        <v>827</v>
      </c>
      <c r="B408" t="s">
        <v>828</v>
      </c>
      <c r="C408">
        <v>49</v>
      </c>
      <c r="D408" t="s">
        <v>20</v>
      </c>
      <c r="E408" t="s">
        <v>17</v>
      </c>
      <c r="F408" s="1">
        <v>45236</v>
      </c>
      <c r="G408" s="1">
        <v>46058</v>
      </c>
      <c r="H408">
        <v>59</v>
      </c>
      <c r="I408">
        <v>1</v>
      </c>
      <c r="J408">
        <v>1</v>
      </c>
      <c r="K408" t="str">
        <f t="shared" si="18"/>
        <v>Nov-2023</v>
      </c>
      <c r="L408" s="1">
        <f t="shared" ca="1" si="19"/>
        <v>100</v>
      </c>
      <c r="M408" t="str">
        <f t="shared" si="20"/>
        <v>46+</v>
      </c>
    </row>
    <row r="409" spans="1:13" x14ac:dyDescent="0.2">
      <c r="A409" t="s">
        <v>829</v>
      </c>
      <c r="B409" t="s">
        <v>830</v>
      </c>
      <c r="C409">
        <v>35</v>
      </c>
      <c r="D409" t="s">
        <v>20</v>
      </c>
      <c r="E409" t="s">
        <v>13</v>
      </c>
      <c r="F409" s="1">
        <v>45710</v>
      </c>
      <c r="G409" s="1">
        <v>46119</v>
      </c>
      <c r="H409">
        <v>18</v>
      </c>
      <c r="I409">
        <v>4</v>
      </c>
      <c r="J409">
        <v>0</v>
      </c>
      <c r="K409" t="str">
        <f t="shared" si="18"/>
        <v>Feb-2025</v>
      </c>
      <c r="L409" s="1">
        <f t="shared" ca="1" si="19"/>
        <v>39</v>
      </c>
      <c r="M409" t="str">
        <f t="shared" si="20"/>
        <v>26-35</v>
      </c>
    </row>
    <row r="410" spans="1:13" x14ac:dyDescent="0.2">
      <c r="A410" t="s">
        <v>831</v>
      </c>
      <c r="B410" t="s">
        <v>832</v>
      </c>
      <c r="C410">
        <v>52</v>
      </c>
      <c r="D410" t="s">
        <v>12</v>
      </c>
      <c r="E410" t="s">
        <v>21</v>
      </c>
      <c r="F410" s="1">
        <v>45944</v>
      </c>
      <c r="G410" s="1">
        <v>46043</v>
      </c>
      <c r="H410">
        <v>30</v>
      </c>
      <c r="I410">
        <v>3</v>
      </c>
      <c r="J410">
        <v>1</v>
      </c>
      <c r="K410" t="str">
        <f t="shared" si="18"/>
        <v>Oct-2025</v>
      </c>
      <c r="L410" s="1">
        <f t="shared" ca="1" si="19"/>
        <v>115</v>
      </c>
      <c r="M410" t="str">
        <f t="shared" si="20"/>
        <v>46+</v>
      </c>
    </row>
    <row r="411" spans="1:13" x14ac:dyDescent="0.2">
      <c r="A411" t="s">
        <v>833</v>
      </c>
      <c r="B411" t="s">
        <v>834</v>
      </c>
      <c r="C411">
        <v>22</v>
      </c>
      <c r="D411" t="s">
        <v>20</v>
      </c>
      <c r="E411" t="s">
        <v>21</v>
      </c>
      <c r="F411" s="1">
        <v>45685</v>
      </c>
      <c r="G411" s="1">
        <v>46092</v>
      </c>
      <c r="H411">
        <v>22</v>
      </c>
      <c r="I411">
        <v>5</v>
      </c>
      <c r="J411">
        <v>0</v>
      </c>
      <c r="K411" t="str">
        <f t="shared" si="18"/>
        <v>Jan-2025</v>
      </c>
      <c r="L411" s="1">
        <f t="shared" ca="1" si="19"/>
        <v>66</v>
      </c>
      <c r="M411" t="str">
        <f t="shared" si="20"/>
        <v>18-25</v>
      </c>
    </row>
    <row r="412" spans="1:13" x14ac:dyDescent="0.2">
      <c r="A412" t="s">
        <v>835</v>
      </c>
      <c r="B412" t="s">
        <v>836</v>
      </c>
      <c r="C412">
        <v>30</v>
      </c>
      <c r="D412" t="s">
        <v>20</v>
      </c>
      <c r="E412" t="s">
        <v>17</v>
      </c>
      <c r="F412" s="1">
        <v>45888</v>
      </c>
      <c r="G412" s="1">
        <v>46086</v>
      </c>
      <c r="H412">
        <v>29</v>
      </c>
      <c r="I412">
        <v>6</v>
      </c>
      <c r="J412">
        <v>0</v>
      </c>
      <c r="K412" t="str">
        <f t="shared" si="18"/>
        <v>Aug-2025</v>
      </c>
      <c r="L412" s="1">
        <f t="shared" ca="1" si="19"/>
        <v>72</v>
      </c>
      <c r="M412" t="str">
        <f t="shared" si="20"/>
        <v>26-35</v>
      </c>
    </row>
    <row r="413" spans="1:13" x14ac:dyDescent="0.2">
      <c r="A413" t="s">
        <v>837</v>
      </c>
      <c r="B413" t="s">
        <v>838</v>
      </c>
      <c r="C413">
        <v>39</v>
      </c>
      <c r="D413" t="s">
        <v>16</v>
      </c>
      <c r="E413" t="s">
        <v>21</v>
      </c>
      <c r="F413" s="1">
        <v>45593</v>
      </c>
      <c r="G413" s="1">
        <v>46061</v>
      </c>
      <c r="H413">
        <v>54</v>
      </c>
      <c r="I413">
        <v>10</v>
      </c>
      <c r="J413">
        <v>1</v>
      </c>
      <c r="K413" t="str">
        <f t="shared" si="18"/>
        <v>Oct-2024</v>
      </c>
      <c r="L413" s="1">
        <f t="shared" ca="1" si="19"/>
        <v>97</v>
      </c>
      <c r="M413" t="str">
        <f t="shared" si="20"/>
        <v>36-45</v>
      </c>
    </row>
    <row r="414" spans="1:13" x14ac:dyDescent="0.2">
      <c r="A414" t="s">
        <v>839</v>
      </c>
      <c r="B414" t="s">
        <v>840</v>
      </c>
      <c r="C414">
        <v>36</v>
      </c>
      <c r="D414" t="s">
        <v>12</v>
      </c>
      <c r="E414" t="s">
        <v>17</v>
      </c>
      <c r="F414" s="1">
        <v>45415</v>
      </c>
      <c r="G414" s="1">
        <v>46067</v>
      </c>
      <c r="H414">
        <v>71</v>
      </c>
      <c r="I414">
        <v>6</v>
      </c>
      <c r="J414">
        <v>0</v>
      </c>
      <c r="K414" t="str">
        <f t="shared" si="18"/>
        <v>May-2024</v>
      </c>
      <c r="L414" s="1">
        <f t="shared" ca="1" si="19"/>
        <v>91</v>
      </c>
      <c r="M414" t="str">
        <f t="shared" si="20"/>
        <v>36-45</v>
      </c>
    </row>
    <row r="415" spans="1:13" x14ac:dyDescent="0.2">
      <c r="A415" t="s">
        <v>841</v>
      </c>
      <c r="B415" t="s">
        <v>842</v>
      </c>
      <c r="C415">
        <v>37</v>
      </c>
      <c r="D415" t="s">
        <v>20</v>
      </c>
      <c r="E415" t="s">
        <v>17</v>
      </c>
      <c r="F415" s="1">
        <v>45821</v>
      </c>
      <c r="G415" s="1">
        <v>46086</v>
      </c>
      <c r="H415">
        <v>78</v>
      </c>
      <c r="I415">
        <v>9</v>
      </c>
      <c r="J415">
        <v>0</v>
      </c>
      <c r="K415" t="str">
        <f t="shared" si="18"/>
        <v>Jun-2025</v>
      </c>
      <c r="L415" s="1">
        <f t="shared" ca="1" si="19"/>
        <v>72</v>
      </c>
      <c r="M415" t="str">
        <f t="shared" si="20"/>
        <v>36-45</v>
      </c>
    </row>
    <row r="416" spans="1:13" x14ac:dyDescent="0.2">
      <c r="A416" t="s">
        <v>843</v>
      </c>
      <c r="B416" t="s">
        <v>844</v>
      </c>
      <c r="C416">
        <v>18</v>
      </c>
      <c r="D416" t="s">
        <v>16</v>
      </c>
      <c r="E416" t="s">
        <v>17</v>
      </c>
      <c r="F416" s="1">
        <v>45310</v>
      </c>
      <c r="G416" s="1">
        <v>46142</v>
      </c>
      <c r="H416">
        <v>26</v>
      </c>
      <c r="I416">
        <v>7</v>
      </c>
      <c r="J416">
        <v>0</v>
      </c>
      <c r="K416" t="str">
        <f t="shared" si="18"/>
        <v>Jan-2024</v>
      </c>
      <c r="L416" s="1">
        <f t="shared" ca="1" si="19"/>
        <v>16</v>
      </c>
      <c r="M416" t="str">
        <f t="shared" si="20"/>
        <v>18-25</v>
      </c>
    </row>
    <row r="417" spans="1:13" x14ac:dyDescent="0.2">
      <c r="A417" t="s">
        <v>845</v>
      </c>
      <c r="B417" t="s">
        <v>846</v>
      </c>
      <c r="C417">
        <v>29</v>
      </c>
      <c r="D417" t="s">
        <v>20</v>
      </c>
      <c r="E417" t="s">
        <v>21</v>
      </c>
      <c r="F417" s="1">
        <v>45571</v>
      </c>
      <c r="G417" s="1">
        <v>46074</v>
      </c>
      <c r="H417">
        <v>9</v>
      </c>
      <c r="I417">
        <v>2</v>
      </c>
      <c r="J417">
        <v>1</v>
      </c>
      <c r="K417" t="str">
        <f t="shared" si="18"/>
        <v>Oct-2024</v>
      </c>
      <c r="L417" s="1">
        <f t="shared" ca="1" si="19"/>
        <v>84</v>
      </c>
      <c r="M417" t="str">
        <f t="shared" si="20"/>
        <v>26-35</v>
      </c>
    </row>
    <row r="418" spans="1:13" x14ac:dyDescent="0.2">
      <c r="A418" t="s">
        <v>847</v>
      </c>
      <c r="B418" t="s">
        <v>848</v>
      </c>
      <c r="C418">
        <v>58</v>
      </c>
      <c r="D418" t="s">
        <v>20</v>
      </c>
      <c r="E418" t="s">
        <v>21</v>
      </c>
      <c r="F418" s="1">
        <v>45748</v>
      </c>
      <c r="G418" s="1">
        <v>46094</v>
      </c>
      <c r="H418">
        <v>63</v>
      </c>
      <c r="I418">
        <v>1</v>
      </c>
      <c r="J418">
        <v>0</v>
      </c>
      <c r="K418" t="str">
        <f t="shared" si="18"/>
        <v>Apr-2025</v>
      </c>
      <c r="L418" s="1">
        <f t="shared" ca="1" si="19"/>
        <v>64</v>
      </c>
      <c r="M418" t="str">
        <f t="shared" si="20"/>
        <v>46+</v>
      </c>
    </row>
    <row r="419" spans="1:13" x14ac:dyDescent="0.2">
      <c r="A419" t="s">
        <v>849</v>
      </c>
      <c r="B419" t="s">
        <v>850</v>
      </c>
      <c r="C419">
        <v>48</v>
      </c>
      <c r="D419" t="s">
        <v>16</v>
      </c>
      <c r="E419" t="s">
        <v>21</v>
      </c>
      <c r="F419" s="1">
        <v>46023</v>
      </c>
      <c r="G419" s="1">
        <v>46150</v>
      </c>
      <c r="H419">
        <v>55</v>
      </c>
      <c r="I419">
        <v>5</v>
      </c>
      <c r="J419">
        <v>0</v>
      </c>
      <c r="K419" t="str">
        <f t="shared" si="18"/>
        <v>Jan-2026</v>
      </c>
      <c r="L419" s="1">
        <f t="shared" ca="1" si="19"/>
        <v>8</v>
      </c>
      <c r="M419" t="str">
        <f t="shared" si="20"/>
        <v>46+</v>
      </c>
    </row>
    <row r="420" spans="1:13" x14ac:dyDescent="0.2">
      <c r="A420" t="s">
        <v>851</v>
      </c>
      <c r="B420" t="s">
        <v>852</v>
      </c>
      <c r="C420">
        <v>40</v>
      </c>
      <c r="D420" t="s">
        <v>16</v>
      </c>
      <c r="E420" t="s">
        <v>21</v>
      </c>
      <c r="F420" s="1">
        <v>45326</v>
      </c>
      <c r="G420" s="1">
        <v>46096</v>
      </c>
      <c r="H420">
        <v>7</v>
      </c>
      <c r="I420">
        <v>8</v>
      </c>
      <c r="J420">
        <v>0</v>
      </c>
      <c r="K420" t="str">
        <f t="shared" si="18"/>
        <v>Feb-2024</v>
      </c>
      <c r="L420" s="1">
        <f t="shared" ca="1" si="19"/>
        <v>62</v>
      </c>
      <c r="M420" t="str">
        <f t="shared" si="20"/>
        <v>36-45</v>
      </c>
    </row>
    <row r="421" spans="1:13" x14ac:dyDescent="0.2">
      <c r="A421" t="s">
        <v>853</v>
      </c>
      <c r="B421" t="s">
        <v>854</v>
      </c>
      <c r="C421">
        <v>39</v>
      </c>
      <c r="D421" t="s">
        <v>16</v>
      </c>
      <c r="E421" t="s">
        <v>21</v>
      </c>
      <c r="F421" s="1">
        <v>45440</v>
      </c>
      <c r="G421" s="1">
        <v>46054</v>
      </c>
      <c r="H421">
        <v>68</v>
      </c>
      <c r="I421">
        <v>6</v>
      </c>
      <c r="J421">
        <v>0</v>
      </c>
      <c r="K421" t="str">
        <f t="shared" si="18"/>
        <v>May-2024</v>
      </c>
      <c r="L421" s="1">
        <f t="shared" ca="1" si="19"/>
        <v>104</v>
      </c>
      <c r="M421" t="str">
        <f t="shared" si="20"/>
        <v>36-45</v>
      </c>
    </row>
    <row r="422" spans="1:13" x14ac:dyDescent="0.2">
      <c r="A422" t="s">
        <v>855</v>
      </c>
      <c r="B422" t="s">
        <v>856</v>
      </c>
      <c r="C422">
        <v>55</v>
      </c>
      <c r="D422" t="s">
        <v>12</v>
      </c>
      <c r="E422" t="s">
        <v>21</v>
      </c>
      <c r="F422" s="1">
        <v>45761</v>
      </c>
      <c r="G422" s="1">
        <v>46126</v>
      </c>
      <c r="H422">
        <v>46</v>
      </c>
      <c r="I422">
        <v>5</v>
      </c>
      <c r="J422">
        <v>1</v>
      </c>
      <c r="K422" t="str">
        <f t="shared" si="18"/>
        <v>Apr-2025</v>
      </c>
      <c r="L422" s="1">
        <f t="shared" ca="1" si="19"/>
        <v>32</v>
      </c>
      <c r="M422" t="str">
        <f t="shared" si="20"/>
        <v>46+</v>
      </c>
    </row>
    <row r="423" spans="1:13" x14ac:dyDescent="0.2">
      <c r="A423" t="s">
        <v>857</v>
      </c>
      <c r="B423" t="s">
        <v>858</v>
      </c>
      <c r="C423">
        <v>26</v>
      </c>
      <c r="D423" t="s">
        <v>16</v>
      </c>
      <c r="E423" t="s">
        <v>21</v>
      </c>
      <c r="F423" s="1">
        <v>45645</v>
      </c>
      <c r="G423" s="1">
        <v>46055</v>
      </c>
      <c r="H423">
        <v>49</v>
      </c>
      <c r="I423">
        <v>9</v>
      </c>
      <c r="J423">
        <v>1</v>
      </c>
      <c r="K423" t="str">
        <f t="shared" si="18"/>
        <v>Dec-2024</v>
      </c>
      <c r="L423" s="1">
        <f t="shared" ca="1" si="19"/>
        <v>103</v>
      </c>
      <c r="M423" t="str">
        <f t="shared" si="20"/>
        <v>26-35</v>
      </c>
    </row>
    <row r="424" spans="1:13" x14ac:dyDescent="0.2">
      <c r="A424" t="s">
        <v>859</v>
      </c>
      <c r="B424" t="s">
        <v>860</v>
      </c>
      <c r="C424">
        <v>42</v>
      </c>
      <c r="D424" t="s">
        <v>16</v>
      </c>
      <c r="E424" t="s">
        <v>17</v>
      </c>
      <c r="F424" s="1">
        <v>45639</v>
      </c>
      <c r="G424" s="1">
        <v>46051</v>
      </c>
      <c r="H424">
        <v>15</v>
      </c>
      <c r="I424">
        <v>9</v>
      </c>
      <c r="J424">
        <v>0</v>
      </c>
      <c r="K424" t="str">
        <f t="shared" si="18"/>
        <v>Dec-2024</v>
      </c>
      <c r="L424" s="1">
        <f t="shared" ca="1" si="19"/>
        <v>107</v>
      </c>
      <c r="M424" t="str">
        <f t="shared" si="20"/>
        <v>36-45</v>
      </c>
    </row>
    <row r="425" spans="1:13" x14ac:dyDescent="0.2">
      <c r="A425" t="s">
        <v>861</v>
      </c>
      <c r="B425" t="s">
        <v>862</v>
      </c>
      <c r="C425">
        <v>55</v>
      </c>
      <c r="D425" t="s">
        <v>16</v>
      </c>
      <c r="E425" t="s">
        <v>13</v>
      </c>
      <c r="F425" s="1">
        <v>45409</v>
      </c>
      <c r="G425" s="1">
        <v>46071</v>
      </c>
      <c r="H425">
        <v>0</v>
      </c>
      <c r="I425">
        <v>6</v>
      </c>
      <c r="J425">
        <v>0</v>
      </c>
      <c r="K425" t="str">
        <f t="shared" si="18"/>
        <v>Apr-2024</v>
      </c>
      <c r="L425" s="1">
        <f t="shared" ca="1" si="19"/>
        <v>87</v>
      </c>
      <c r="M425" t="str">
        <f t="shared" si="20"/>
        <v>46+</v>
      </c>
    </row>
    <row r="426" spans="1:13" x14ac:dyDescent="0.2">
      <c r="A426" t="s">
        <v>863</v>
      </c>
      <c r="B426" t="s">
        <v>864</v>
      </c>
      <c r="C426">
        <v>55</v>
      </c>
      <c r="D426" t="s">
        <v>20</v>
      </c>
      <c r="E426" t="s">
        <v>17</v>
      </c>
      <c r="F426" s="1">
        <v>45339</v>
      </c>
      <c r="G426" s="1">
        <v>46031</v>
      </c>
      <c r="H426">
        <v>10</v>
      </c>
      <c r="I426">
        <v>10</v>
      </c>
      <c r="J426">
        <v>0</v>
      </c>
      <c r="K426" t="str">
        <f t="shared" si="18"/>
        <v>Feb-2024</v>
      </c>
      <c r="L426" s="1">
        <f t="shared" ca="1" si="19"/>
        <v>127</v>
      </c>
      <c r="M426" t="str">
        <f t="shared" si="20"/>
        <v>46+</v>
      </c>
    </row>
    <row r="427" spans="1:13" x14ac:dyDescent="0.2">
      <c r="A427" t="s">
        <v>865</v>
      </c>
      <c r="B427" t="s">
        <v>866</v>
      </c>
      <c r="C427">
        <v>58</v>
      </c>
      <c r="D427" t="s">
        <v>12</v>
      </c>
      <c r="E427" t="s">
        <v>13</v>
      </c>
      <c r="F427" s="1">
        <v>45218</v>
      </c>
      <c r="G427" s="1">
        <v>46084</v>
      </c>
      <c r="H427">
        <v>32</v>
      </c>
      <c r="I427">
        <v>3</v>
      </c>
      <c r="J427">
        <v>0</v>
      </c>
      <c r="K427" t="str">
        <f t="shared" si="18"/>
        <v>Oct-2023</v>
      </c>
      <c r="L427" s="1">
        <f t="shared" ca="1" si="19"/>
        <v>74</v>
      </c>
      <c r="M427" t="str">
        <f t="shared" si="20"/>
        <v>46+</v>
      </c>
    </row>
    <row r="428" spans="1:13" x14ac:dyDescent="0.2">
      <c r="A428" t="s">
        <v>867</v>
      </c>
      <c r="B428" t="s">
        <v>868</v>
      </c>
      <c r="C428">
        <v>54</v>
      </c>
      <c r="D428" t="s">
        <v>16</v>
      </c>
      <c r="E428" t="s">
        <v>21</v>
      </c>
      <c r="F428" s="1">
        <v>45645</v>
      </c>
      <c r="G428" s="1">
        <v>46065</v>
      </c>
      <c r="H428">
        <v>69</v>
      </c>
      <c r="I428">
        <v>2</v>
      </c>
      <c r="J428">
        <v>1</v>
      </c>
      <c r="K428" t="str">
        <f t="shared" si="18"/>
        <v>Dec-2024</v>
      </c>
      <c r="L428" s="1">
        <f t="shared" ca="1" si="19"/>
        <v>93</v>
      </c>
      <c r="M428" t="str">
        <f t="shared" si="20"/>
        <v>46+</v>
      </c>
    </row>
    <row r="429" spans="1:13" x14ac:dyDescent="0.2">
      <c r="A429" t="s">
        <v>869</v>
      </c>
      <c r="B429" t="s">
        <v>870</v>
      </c>
      <c r="C429">
        <v>28</v>
      </c>
      <c r="D429" t="s">
        <v>12</v>
      </c>
      <c r="E429" t="s">
        <v>21</v>
      </c>
      <c r="F429" s="1">
        <v>45484</v>
      </c>
      <c r="G429" s="1">
        <v>46065</v>
      </c>
      <c r="H429">
        <v>56</v>
      </c>
      <c r="I429">
        <v>4</v>
      </c>
      <c r="J429">
        <v>1</v>
      </c>
      <c r="K429" t="str">
        <f t="shared" si="18"/>
        <v>Jul-2024</v>
      </c>
      <c r="L429" s="1">
        <f t="shared" ca="1" si="19"/>
        <v>93</v>
      </c>
      <c r="M429" t="str">
        <f t="shared" si="20"/>
        <v>26-35</v>
      </c>
    </row>
    <row r="430" spans="1:13" x14ac:dyDescent="0.2">
      <c r="A430" t="s">
        <v>871</v>
      </c>
      <c r="B430" t="s">
        <v>872</v>
      </c>
      <c r="C430">
        <v>18</v>
      </c>
      <c r="D430" t="s">
        <v>16</v>
      </c>
      <c r="E430" t="s">
        <v>17</v>
      </c>
      <c r="F430" s="1">
        <v>45966</v>
      </c>
      <c r="G430" s="1">
        <v>46130</v>
      </c>
      <c r="H430">
        <v>18</v>
      </c>
      <c r="I430">
        <v>3</v>
      </c>
      <c r="J430">
        <v>0</v>
      </c>
      <c r="K430" t="str">
        <f t="shared" si="18"/>
        <v>Nov-2025</v>
      </c>
      <c r="L430" s="1">
        <f t="shared" ca="1" si="19"/>
        <v>28</v>
      </c>
      <c r="M430" t="str">
        <f t="shared" si="20"/>
        <v>18-25</v>
      </c>
    </row>
    <row r="431" spans="1:13" x14ac:dyDescent="0.2">
      <c r="A431" t="s">
        <v>873</v>
      </c>
      <c r="B431" t="s">
        <v>874</v>
      </c>
      <c r="C431">
        <v>52</v>
      </c>
      <c r="D431" t="s">
        <v>16</v>
      </c>
      <c r="E431" t="s">
        <v>21</v>
      </c>
      <c r="F431" s="1">
        <v>45553</v>
      </c>
      <c r="G431" s="1">
        <v>46091</v>
      </c>
      <c r="H431">
        <v>18</v>
      </c>
      <c r="I431">
        <v>7</v>
      </c>
      <c r="J431">
        <v>0</v>
      </c>
      <c r="K431" t="str">
        <f t="shared" si="18"/>
        <v>Sep-2024</v>
      </c>
      <c r="L431" s="1">
        <f t="shared" ca="1" si="19"/>
        <v>67</v>
      </c>
      <c r="M431" t="str">
        <f t="shared" si="20"/>
        <v>46+</v>
      </c>
    </row>
    <row r="432" spans="1:13" x14ac:dyDescent="0.2">
      <c r="A432" t="s">
        <v>875</v>
      </c>
      <c r="B432" t="s">
        <v>876</v>
      </c>
      <c r="C432">
        <v>54</v>
      </c>
      <c r="D432" t="s">
        <v>16</v>
      </c>
      <c r="E432" t="s">
        <v>21</v>
      </c>
      <c r="F432" s="1">
        <v>46094</v>
      </c>
      <c r="G432" s="1">
        <v>46083</v>
      </c>
      <c r="H432">
        <v>69</v>
      </c>
      <c r="I432">
        <v>5</v>
      </c>
      <c r="J432">
        <v>1</v>
      </c>
      <c r="K432" t="str">
        <f t="shared" si="18"/>
        <v>Mar-2026</v>
      </c>
      <c r="L432" s="1">
        <f t="shared" ca="1" si="19"/>
        <v>75</v>
      </c>
      <c r="M432" t="str">
        <f t="shared" si="20"/>
        <v>46+</v>
      </c>
    </row>
    <row r="433" spans="1:13" x14ac:dyDescent="0.2">
      <c r="A433" t="s">
        <v>877</v>
      </c>
      <c r="B433" t="s">
        <v>878</v>
      </c>
      <c r="C433">
        <v>20</v>
      </c>
      <c r="D433" t="s">
        <v>12</v>
      </c>
      <c r="E433" t="s">
        <v>21</v>
      </c>
      <c r="F433" s="1">
        <v>46064</v>
      </c>
      <c r="G433" s="1">
        <v>46059</v>
      </c>
      <c r="H433">
        <v>73</v>
      </c>
      <c r="I433">
        <v>8</v>
      </c>
      <c r="J433">
        <v>0</v>
      </c>
      <c r="K433" t="str">
        <f t="shared" si="18"/>
        <v>Feb-2026</v>
      </c>
      <c r="L433" s="1">
        <f t="shared" ca="1" si="19"/>
        <v>99</v>
      </c>
      <c r="M433" t="str">
        <f t="shared" si="20"/>
        <v>18-25</v>
      </c>
    </row>
    <row r="434" spans="1:13" x14ac:dyDescent="0.2">
      <c r="A434" t="s">
        <v>879</v>
      </c>
      <c r="B434" t="s">
        <v>880</v>
      </c>
      <c r="C434">
        <v>45</v>
      </c>
      <c r="D434" t="s">
        <v>12</v>
      </c>
      <c r="E434" t="s">
        <v>21</v>
      </c>
      <c r="F434" s="1">
        <v>45981</v>
      </c>
      <c r="G434" s="1">
        <v>46116</v>
      </c>
      <c r="H434">
        <v>39</v>
      </c>
      <c r="I434">
        <v>6</v>
      </c>
      <c r="J434">
        <v>0</v>
      </c>
      <c r="K434" t="str">
        <f t="shared" si="18"/>
        <v>Nov-2025</v>
      </c>
      <c r="L434" s="1">
        <f t="shared" ca="1" si="19"/>
        <v>42</v>
      </c>
      <c r="M434" t="str">
        <f t="shared" si="20"/>
        <v>36-45</v>
      </c>
    </row>
    <row r="435" spans="1:13" x14ac:dyDescent="0.2">
      <c r="A435" t="s">
        <v>881</v>
      </c>
      <c r="B435" t="s">
        <v>882</v>
      </c>
      <c r="C435">
        <v>34</v>
      </c>
      <c r="D435" t="s">
        <v>12</v>
      </c>
      <c r="E435" t="s">
        <v>21</v>
      </c>
      <c r="F435" s="1">
        <v>45640</v>
      </c>
      <c r="G435" s="1">
        <v>46106</v>
      </c>
      <c r="H435">
        <v>40</v>
      </c>
      <c r="I435">
        <v>8</v>
      </c>
      <c r="J435">
        <v>1</v>
      </c>
      <c r="K435" t="str">
        <f t="shared" si="18"/>
        <v>Dec-2024</v>
      </c>
      <c r="L435" s="1">
        <f t="shared" ca="1" si="19"/>
        <v>52</v>
      </c>
      <c r="M435" t="str">
        <f t="shared" si="20"/>
        <v>26-35</v>
      </c>
    </row>
    <row r="436" spans="1:13" x14ac:dyDescent="0.2">
      <c r="A436" t="s">
        <v>883</v>
      </c>
      <c r="B436" t="s">
        <v>884</v>
      </c>
      <c r="C436">
        <v>51</v>
      </c>
      <c r="D436" t="s">
        <v>12</v>
      </c>
      <c r="E436" t="s">
        <v>13</v>
      </c>
      <c r="F436" s="1">
        <v>46059</v>
      </c>
      <c r="G436" s="1">
        <v>46119</v>
      </c>
      <c r="H436">
        <v>41</v>
      </c>
      <c r="I436">
        <v>7</v>
      </c>
      <c r="J436">
        <v>0</v>
      </c>
      <c r="K436" t="str">
        <f t="shared" si="18"/>
        <v>Feb-2026</v>
      </c>
      <c r="L436" s="1">
        <f t="shared" ca="1" si="19"/>
        <v>39</v>
      </c>
      <c r="M436" t="str">
        <f t="shared" si="20"/>
        <v>46+</v>
      </c>
    </row>
    <row r="437" spans="1:13" x14ac:dyDescent="0.2">
      <c r="A437" t="s">
        <v>885</v>
      </c>
      <c r="B437" t="s">
        <v>886</v>
      </c>
      <c r="C437">
        <v>28</v>
      </c>
      <c r="D437" t="s">
        <v>12</v>
      </c>
      <c r="E437" t="s">
        <v>21</v>
      </c>
      <c r="F437" s="1">
        <v>45388</v>
      </c>
      <c r="G437" s="1">
        <v>46054</v>
      </c>
      <c r="H437">
        <v>19</v>
      </c>
      <c r="I437">
        <v>9</v>
      </c>
      <c r="J437">
        <v>0</v>
      </c>
      <c r="K437" t="str">
        <f t="shared" si="18"/>
        <v>Apr-2024</v>
      </c>
      <c r="L437" s="1">
        <f t="shared" ca="1" si="19"/>
        <v>104</v>
      </c>
      <c r="M437" t="str">
        <f t="shared" si="20"/>
        <v>26-35</v>
      </c>
    </row>
    <row r="438" spans="1:13" x14ac:dyDescent="0.2">
      <c r="A438" t="s">
        <v>887</v>
      </c>
      <c r="B438" t="s">
        <v>888</v>
      </c>
      <c r="C438">
        <v>44</v>
      </c>
      <c r="D438" t="s">
        <v>12</v>
      </c>
      <c r="E438" t="s">
        <v>21</v>
      </c>
      <c r="F438" s="1">
        <v>45994</v>
      </c>
      <c r="G438" s="1">
        <v>46138</v>
      </c>
      <c r="H438">
        <v>39</v>
      </c>
      <c r="I438">
        <v>9</v>
      </c>
      <c r="J438">
        <v>0</v>
      </c>
      <c r="K438" t="str">
        <f t="shared" si="18"/>
        <v>Dec-2025</v>
      </c>
      <c r="L438" s="1">
        <f t="shared" ca="1" si="19"/>
        <v>20</v>
      </c>
      <c r="M438" t="str">
        <f t="shared" si="20"/>
        <v>36-45</v>
      </c>
    </row>
    <row r="439" spans="1:13" x14ac:dyDescent="0.2">
      <c r="A439" t="s">
        <v>889</v>
      </c>
      <c r="B439" t="s">
        <v>890</v>
      </c>
      <c r="C439">
        <v>56</v>
      </c>
      <c r="D439" t="s">
        <v>20</v>
      </c>
      <c r="E439" t="s">
        <v>21</v>
      </c>
      <c r="F439" s="1">
        <v>45806</v>
      </c>
      <c r="G439" s="1">
        <v>46098</v>
      </c>
      <c r="H439">
        <v>23</v>
      </c>
      <c r="I439">
        <v>10</v>
      </c>
      <c r="J439">
        <v>0</v>
      </c>
      <c r="K439" t="str">
        <f t="shared" si="18"/>
        <v>May-2025</v>
      </c>
      <c r="L439" s="1">
        <f t="shared" ca="1" si="19"/>
        <v>60</v>
      </c>
      <c r="M439" t="str">
        <f t="shared" si="20"/>
        <v>46+</v>
      </c>
    </row>
    <row r="440" spans="1:13" x14ac:dyDescent="0.2">
      <c r="A440" t="s">
        <v>891</v>
      </c>
      <c r="B440" t="s">
        <v>892</v>
      </c>
      <c r="C440">
        <v>60</v>
      </c>
      <c r="D440" t="s">
        <v>16</v>
      </c>
      <c r="E440" t="s">
        <v>17</v>
      </c>
      <c r="F440" s="1">
        <v>45408</v>
      </c>
      <c r="G440" s="1">
        <v>46100</v>
      </c>
      <c r="H440">
        <v>24</v>
      </c>
      <c r="I440">
        <v>5</v>
      </c>
      <c r="J440">
        <v>0</v>
      </c>
      <c r="K440" t="str">
        <f t="shared" si="18"/>
        <v>Apr-2024</v>
      </c>
      <c r="L440" s="1">
        <f t="shared" ca="1" si="19"/>
        <v>58</v>
      </c>
      <c r="M440" t="str">
        <f t="shared" si="20"/>
        <v>46+</v>
      </c>
    </row>
    <row r="441" spans="1:13" x14ac:dyDescent="0.2">
      <c r="A441" t="s">
        <v>893</v>
      </c>
      <c r="B441" t="s">
        <v>894</v>
      </c>
      <c r="C441">
        <v>43</v>
      </c>
      <c r="D441" t="s">
        <v>12</v>
      </c>
      <c r="E441" t="s">
        <v>13</v>
      </c>
      <c r="F441" s="1">
        <v>45690</v>
      </c>
      <c r="G441" s="1">
        <v>46145</v>
      </c>
      <c r="H441">
        <v>17</v>
      </c>
      <c r="I441">
        <v>2</v>
      </c>
      <c r="J441">
        <v>1</v>
      </c>
      <c r="K441" t="str">
        <f t="shared" si="18"/>
        <v>Feb-2025</v>
      </c>
      <c r="L441" s="1">
        <f t="shared" ca="1" si="19"/>
        <v>13</v>
      </c>
      <c r="M441" t="str">
        <f t="shared" si="20"/>
        <v>36-45</v>
      </c>
    </row>
    <row r="442" spans="1:13" x14ac:dyDescent="0.2">
      <c r="A442" t="s">
        <v>895</v>
      </c>
      <c r="B442" t="s">
        <v>896</v>
      </c>
      <c r="C442">
        <v>27</v>
      </c>
      <c r="D442" t="s">
        <v>20</v>
      </c>
      <c r="E442" t="s">
        <v>21</v>
      </c>
      <c r="F442" s="1">
        <v>45797</v>
      </c>
      <c r="G442" s="1">
        <v>46142</v>
      </c>
      <c r="H442">
        <v>14</v>
      </c>
      <c r="I442">
        <v>10</v>
      </c>
      <c r="J442">
        <v>1</v>
      </c>
      <c r="K442" t="str">
        <f t="shared" si="18"/>
        <v>May-2025</v>
      </c>
      <c r="L442" s="1">
        <f t="shared" ca="1" si="19"/>
        <v>16</v>
      </c>
      <c r="M442" t="str">
        <f t="shared" si="20"/>
        <v>26-35</v>
      </c>
    </row>
    <row r="443" spans="1:13" x14ac:dyDescent="0.2">
      <c r="A443" t="s">
        <v>897</v>
      </c>
      <c r="B443" t="s">
        <v>898</v>
      </c>
      <c r="C443">
        <v>53</v>
      </c>
      <c r="D443" t="s">
        <v>16</v>
      </c>
      <c r="E443" t="s">
        <v>21</v>
      </c>
      <c r="F443" s="1">
        <v>45495</v>
      </c>
      <c r="G443" s="1">
        <v>46131</v>
      </c>
      <c r="H443">
        <v>41</v>
      </c>
      <c r="I443">
        <v>3</v>
      </c>
      <c r="J443">
        <v>0</v>
      </c>
      <c r="K443" t="str">
        <f t="shared" si="18"/>
        <v>Jul-2024</v>
      </c>
      <c r="L443" s="1">
        <f t="shared" ca="1" si="19"/>
        <v>27</v>
      </c>
      <c r="M443" t="str">
        <f t="shared" si="20"/>
        <v>46+</v>
      </c>
    </row>
    <row r="444" spans="1:13" x14ac:dyDescent="0.2">
      <c r="A444" t="s">
        <v>899</v>
      </c>
      <c r="B444" t="s">
        <v>900</v>
      </c>
      <c r="C444">
        <v>53</v>
      </c>
      <c r="D444" t="s">
        <v>16</v>
      </c>
      <c r="E444" t="s">
        <v>17</v>
      </c>
      <c r="F444" s="1">
        <v>46058</v>
      </c>
      <c r="G444" s="1">
        <v>46065</v>
      </c>
      <c r="H444">
        <v>13</v>
      </c>
      <c r="I444">
        <v>8</v>
      </c>
      <c r="J444">
        <v>1</v>
      </c>
      <c r="K444" t="str">
        <f t="shared" si="18"/>
        <v>Feb-2026</v>
      </c>
      <c r="L444" s="1">
        <f t="shared" ca="1" si="19"/>
        <v>93</v>
      </c>
      <c r="M444" t="str">
        <f t="shared" si="20"/>
        <v>46+</v>
      </c>
    </row>
    <row r="445" spans="1:13" x14ac:dyDescent="0.2">
      <c r="A445" t="s">
        <v>901</v>
      </c>
      <c r="B445" t="s">
        <v>902</v>
      </c>
      <c r="C445">
        <v>42</v>
      </c>
      <c r="D445" t="s">
        <v>16</v>
      </c>
      <c r="E445" t="s">
        <v>17</v>
      </c>
      <c r="F445" s="1">
        <v>45987</v>
      </c>
      <c r="G445" s="1">
        <v>46094</v>
      </c>
      <c r="H445">
        <v>34</v>
      </c>
      <c r="I445">
        <v>10</v>
      </c>
      <c r="J445">
        <v>0</v>
      </c>
      <c r="K445" t="str">
        <f t="shared" si="18"/>
        <v>Nov-2025</v>
      </c>
      <c r="L445" s="1">
        <f t="shared" ca="1" si="19"/>
        <v>64</v>
      </c>
      <c r="M445" t="str">
        <f t="shared" si="20"/>
        <v>36-45</v>
      </c>
    </row>
    <row r="446" spans="1:13" x14ac:dyDescent="0.2">
      <c r="A446" t="s">
        <v>903</v>
      </c>
      <c r="B446" t="s">
        <v>904</v>
      </c>
      <c r="C446">
        <v>52</v>
      </c>
      <c r="D446" t="s">
        <v>20</v>
      </c>
      <c r="E446" t="s">
        <v>21</v>
      </c>
      <c r="F446" s="1">
        <v>45776</v>
      </c>
      <c r="G446" s="1">
        <v>46150</v>
      </c>
      <c r="H446">
        <v>38</v>
      </c>
      <c r="I446">
        <v>10</v>
      </c>
      <c r="J446">
        <v>0</v>
      </c>
      <c r="K446" t="str">
        <f t="shared" si="18"/>
        <v>Apr-2025</v>
      </c>
      <c r="L446" s="1">
        <f t="shared" ca="1" si="19"/>
        <v>8</v>
      </c>
      <c r="M446" t="str">
        <f t="shared" si="20"/>
        <v>46+</v>
      </c>
    </row>
    <row r="447" spans="1:13" x14ac:dyDescent="0.2">
      <c r="A447" t="s">
        <v>905</v>
      </c>
      <c r="B447" t="s">
        <v>906</v>
      </c>
      <c r="C447">
        <v>46</v>
      </c>
      <c r="D447" t="s">
        <v>16</v>
      </c>
      <c r="E447" t="s">
        <v>17</v>
      </c>
      <c r="F447" s="1">
        <v>45822</v>
      </c>
      <c r="G447" s="1">
        <v>46035</v>
      </c>
      <c r="H447">
        <v>5</v>
      </c>
      <c r="I447">
        <v>5</v>
      </c>
      <c r="J447">
        <v>0</v>
      </c>
      <c r="K447" t="str">
        <f t="shared" si="18"/>
        <v>Jun-2025</v>
      </c>
      <c r="L447" s="1">
        <f t="shared" ca="1" si="19"/>
        <v>123</v>
      </c>
      <c r="M447" t="str">
        <f t="shared" si="20"/>
        <v>46+</v>
      </c>
    </row>
    <row r="448" spans="1:13" x14ac:dyDescent="0.2">
      <c r="A448" t="s">
        <v>907</v>
      </c>
      <c r="B448" t="s">
        <v>908</v>
      </c>
      <c r="C448">
        <v>50</v>
      </c>
      <c r="D448" t="s">
        <v>20</v>
      </c>
      <c r="E448" t="s">
        <v>17</v>
      </c>
      <c r="F448" s="1">
        <v>46050</v>
      </c>
      <c r="G448" s="1">
        <v>46090</v>
      </c>
      <c r="H448">
        <v>18</v>
      </c>
      <c r="I448">
        <v>1</v>
      </c>
      <c r="J448">
        <v>0</v>
      </c>
      <c r="K448" t="str">
        <f t="shared" si="18"/>
        <v>Jan-2026</v>
      </c>
      <c r="L448" s="1">
        <f t="shared" ca="1" si="19"/>
        <v>68</v>
      </c>
      <c r="M448" t="str">
        <f t="shared" si="20"/>
        <v>46+</v>
      </c>
    </row>
    <row r="449" spans="1:13" x14ac:dyDescent="0.2">
      <c r="A449" t="s">
        <v>909</v>
      </c>
      <c r="B449" t="s">
        <v>910</v>
      </c>
      <c r="C449">
        <v>53</v>
      </c>
      <c r="D449" t="s">
        <v>16</v>
      </c>
      <c r="E449" t="s">
        <v>21</v>
      </c>
      <c r="F449" s="1">
        <v>46039</v>
      </c>
      <c r="G449" s="1">
        <v>46083</v>
      </c>
      <c r="H449">
        <v>27</v>
      </c>
      <c r="I449">
        <v>5</v>
      </c>
      <c r="J449">
        <v>0</v>
      </c>
      <c r="K449" t="str">
        <f t="shared" si="18"/>
        <v>Jan-2026</v>
      </c>
      <c r="L449" s="1">
        <f t="shared" ca="1" si="19"/>
        <v>75</v>
      </c>
      <c r="M449" t="str">
        <f t="shared" si="20"/>
        <v>46+</v>
      </c>
    </row>
    <row r="450" spans="1:13" x14ac:dyDescent="0.2">
      <c r="A450" t="s">
        <v>911</v>
      </c>
      <c r="B450" t="s">
        <v>912</v>
      </c>
      <c r="C450">
        <v>21</v>
      </c>
      <c r="D450" t="s">
        <v>12</v>
      </c>
      <c r="E450" t="s">
        <v>21</v>
      </c>
      <c r="F450" s="1">
        <v>45494</v>
      </c>
      <c r="G450" s="1">
        <v>46071</v>
      </c>
      <c r="H450">
        <v>43</v>
      </c>
      <c r="I450">
        <v>6</v>
      </c>
      <c r="J450">
        <v>0</v>
      </c>
      <c r="K450" t="str">
        <f t="shared" si="18"/>
        <v>Jul-2024</v>
      </c>
      <c r="L450" s="1">
        <f t="shared" ca="1" si="19"/>
        <v>87</v>
      </c>
      <c r="M450" t="str">
        <f t="shared" si="20"/>
        <v>18-25</v>
      </c>
    </row>
    <row r="451" spans="1:13" x14ac:dyDescent="0.2">
      <c r="A451" t="s">
        <v>913</v>
      </c>
      <c r="B451" t="s">
        <v>914</v>
      </c>
      <c r="C451">
        <v>42</v>
      </c>
      <c r="D451" t="s">
        <v>12</v>
      </c>
      <c r="E451" t="s">
        <v>21</v>
      </c>
      <c r="F451" s="1">
        <v>46003</v>
      </c>
      <c r="G451" s="1">
        <v>46110</v>
      </c>
      <c r="H451">
        <v>3</v>
      </c>
      <c r="I451">
        <v>4</v>
      </c>
      <c r="J451">
        <v>1</v>
      </c>
      <c r="K451" t="str">
        <f t="shared" ref="K451:K514" si="21">TEXT(F451,"MMM-YYYY")</f>
        <v>Dec-2025</v>
      </c>
      <c r="L451" s="1">
        <f t="shared" ref="L451:L514" ca="1" si="22">TODAY()-G451</f>
        <v>48</v>
      </c>
      <c r="M451" t="str">
        <f t="shared" ref="M451:M514" si="23">IF(C451&lt;=25,"18-25",IF(C451&lt;=35,"26-35",IF(C451&lt;=45,"36-45","46+")))</f>
        <v>36-45</v>
      </c>
    </row>
    <row r="452" spans="1:13" x14ac:dyDescent="0.2">
      <c r="A452" t="s">
        <v>915</v>
      </c>
      <c r="B452" t="s">
        <v>916</v>
      </c>
      <c r="C452">
        <v>23</v>
      </c>
      <c r="D452" t="s">
        <v>12</v>
      </c>
      <c r="E452" t="s">
        <v>13</v>
      </c>
      <c r="F452" s="1">
        <v>45733</v>
      </c>
      <c r="G452" s="1">
        <v>46050</v>
      </c>
      <c r="H452">
        <v>3</v>
      </c>
      <c r="I452">
        <v>9</v>
      </c>
      <c r="J452">
        <v>1</v>
      </c>
      <c r="K452" t="str">
        <f t="shared" si="21"/>
        <v>Mar-2025</v>
      </c>
      <c r="L452" s="1">
        <f t="shared" ca="1" si="22"/>
        <v>108</v>
      </c>
      <c r="M452" t="str">
        <f t="shared" si="23"/>
        <v>18-25</v>
      </c>
    </row>
    <row r="453" spans="1:13" x14ac:dyDescent="0.2">
      <c r="A453" t="s">
        <v>917</v>
      </c>
      <c r="B453" t="s">
        <v>918</v>
      </c>
      <c r="C453">
        <v>55</v>
      </c>
      <c r="D453" t="s">
        <v>16</v>
      </c>
      <c r="E453" t="s">
        <v>13</v>
      </c>
      <c r="F453" s="1">
        <v>45514</v>
      </c>
      <c r="G453" s="1">
        <v>46118</v>
      </c>
      <c r="H453">
        <v>46</v>
      </c>
      <c r="I453">
        <v>1</v>
      </c>
      <c r="J453">
        <v>0</v>
      </c>
      <c r="K453" t="str">
        <f t="shared" si="21"/>
        <v>Aug-2024</v>
      </c>
      <c r="L453" s="1">
        <f t="shared" ca="1" si="22"/>
        <v>40</v>
      </c>
      <c r="M453" t="str">
        <f t="shared" si="23"/>
        <v>46+</v>
      </c>
    </row>
    <row r="454" spans="1:13" x14ac:dyDescent="0.2">
      <c r="A454" t="s">
        <v>919</v>
      </c>
      <c r="B454" t="s">
        <v>920</v>
      </c>
      <c r="C454">
        <v>50</v>
      </c>
      <c r="D454" t="s">
        <v>20</v>
      </c>
      <c r="E454" t="s">
        <v>17</v>
      </c>
      <c r="F454" s="1">
        <v>45415</v>
      </c>
      <c r="G454" s="1">
        <v>46113</v>
      </c>
      <c r="H454">
        <v>33</v>
      </c>
      <c r="I454">
        <v>1</v>
      </c>
      <c r="J454">
        <v>0</v>
      </c>
      <c r="K454" t="str">
        <f t="shared" si="21"/>
        <v>May-2024</v>
      </c>
      <c r="L454" s="1">
        <f t="shared" ca="1" si="22"/>
        <v>45</v>
      </c>
      <c r="M454" t="str">
        <f t="shared" si="23"/>
        <v>46+</v>
      </c>
    </row>
    <row r="455" spans="1:13" x14ac:dyDescent="0.2">
      <c r="A455" t="s">
        <v>921</v>
      </c>
      <c r="B455" t="s">
        <v>922</v>
      </c>
      <c r="C455">
        <v>48</v>
      </c>
      <c r="D455" t="s">
        <v>12</v>
      </c>
      <c r="E455" t="s">
        <v>21</v>
      </c>
      <c r="F455" s="1">
        <v>46060</v>
      </c>
      <c r="G455" s="1">
        <v>46089</v>
      </c>
      <c r="H455">
        <v>76</v>
      </c>
      <c r="I455">
        <v>3</v>
      </c>
      <c r="J455">
        <v>0</v>
      </c>
      <c r="K455" t="str">
        <f t="shared" si="21"/>
        <v>Feb-2026</v>
      </c>
      <c r="L455" s="1">
        <f t="shared" ca="1" si="22"/>
        <v>69</v>
      </c>
      <c r="M455" t="str">
        <f t="shared" si="23"/>
        <v>46+</v>
      </c>
    </row>
    <row r="456" spans="1:13" x14ac:dyDescent="0.2">
      <c r="A456" t="s">
        <v>923</v>
      </c>
      <c r="B456" t="s">
        <v>924</v>
      </c>
      <c r="C456">
        <v>35</v>
      </c>
      <c r="D456" t="s">
        <v>16</v>
      </c>
      <c r="E456" t="s">
        <v>13</v>
      </c>
      <c r="F456" s="1">
        <v>46078</v>
      </c>
      <c r="G456" s="1">
        <v>46052</v>
      </c>
      <c r="H456">
        <v>44</v>
      </c>
      <c r="I456">
        <v>8</v>
      </c>
      <c r="J456">
        <v>1</v>
      </c>
      <c r="K456" t="str">
        <f t="shared" si="21"/>
        <v>Feb-2026</v>
      </c>
      <c r="L456" s="1">
        <f t="shared" ca="1" si="22"/>
        <v>106</v>
      </c>
      <c r="M456" t="str">
        <f t="shared" si="23"/>
        <v>26-35</v>
      </c>
    </row>
    <row r="457" spans="1:13" x14ac:dyDescent="0.2">
      <c r="A457" t="s">
        <v>925</v>
      </c>
      <c r="B457" t="s">
        <v>926</v>
      </c>
      <c r="C457">
        <v>35</v>
      </c>
      <c r="D457" t="s">
        <v>16</v>
      </c>
      <c r="E457" t="s">
        <v>21</v>
      </c>
      <c r="F457" s="1">
        <v>45162</v>
      </c>
      <c r="G457" s="1">
        <v>46064</v>
      </c>
      <c r="H457">
        <v>35</v>
      </c>
      <c r="I457">
        <v>5</v>
      </c>
      <c r="J457">
        <v>1</v>
      </c>
      <c r="K457" t="str">
        <f t="shared" si="21"/>
        <v>Aug-2023</v>
      </c>
      <c r="L457" s="1">
        <f t="shared" ca="1" si="22"/>
        <v>94</v>
      </c>
      <c r="M457" t="str">
        <f t="shared" si="23"/>
        <v>26-35</v>
      </c>
    </row>
    <row r="458" spans="1:13" x14ac:dyDescent="0.2">
      <c r="A458" t="s">
        <v>927</v>
      </c>
      <c r="B458" t="s">
        <v>928</v>
      </c>
      <c r="C458">
        <v>54</v>
      </c>
      <c r="D458" t="s">
        <v>20</v>
      </c>
      <c r="E458" t="s">
        <v>17</v>
      </c>
      <c r="F458" s="1">
        <v>45616</v>
      </c>
      <c r="G458" s="1">
        <v>46136</v>
      </c>
      <c r="H458">
        <v>1</v>
      </c>
      <c r="I458">
        <v>9</v>
      </c>
      <c r="J458">
        <v>1</v>
      </c>
      <c r="K458" t="str">
        <f t="shared" si="21"/>
        <v>Nov-2024</v>
      </c>
      <c r="L458" s="1">
        <f t="shared" ca="1" si="22"/>
        <v>22</v>
      </c>
      <c r="M458" t="str">
        <f t="shared" si="23"/>
        <v>46+</v>
      </c>
    </row>
    <row r="459" spans="1:13" x14ac:dyDescent="0.2">
      <c r="A459" t="s">
        <v>929</v>
      </c>
      <c r="B459" t="s">
        <v>930</v>
      </c>
      <c r="C459">
        <v>54</v>
      </c>
      <c r="D459" t="s">
        <v>16</v>
      </c>
      <c r="E459" t="s">
        <v>21</v>
      </c>
      <c r="F459" s="1">
        <v>45839</v>
      </c>
      <c r="G459" s="1">
        <v>46128</v>
      </c>
      <c r="H459">
        <v>51</v>
      </c>
      <c r="I459">
        <v>1</v>
      </c>
      <c r="J459">
        <v>0</v>
      </c>
      <c r="K459" t="str">
        <f t="shared" si="21"/>
        <v>Jul-2025</v>
      </c>
      <c r="L459" s="1">
        <f t="shared" ca="1" si="22"/>
        <v>30</v>
      </c>
      <c r="M459" t="str">
        <f t="shared" si="23"/>
        <v>46+</v>
      </c>
    </row>
    <row r="460" spans="1:13" x14ac:dyDescent="0.2">
      <c r="A460" t="s">
        <v>931</v>
      </c>
      <c r="B460" t="s">
        <v>932</v>
      </c>
      <c r="C460">
        <v>44</v>
      </c>
      <c r="D460" t="s">
        <v>16</v>
      </c>
      <c r="E460" t="s">
        <v>17</v>
      </c>
      <c r="F460" s="1">
        <v>45651</v>
      </c>
      <c r="G460" s="1">
        <v>46070</v>
      </c>
      <c r="H460">
        <v>3</v>
      </c>
      <c r="I460">
        <v>2</v>
      </c>
      <c r="J460">
        <v>1</v>
      </c>
      <c r="K460" t="str">
        <f t="shared" si="21"/>
        <v>Dec-2024</v>
      </c>
      <c r="L460" s="1">
        <f t="shared" ca="1" si="22"/>
        <v>88</v>
      </c>
      <c r="M460" t="str">
        <f t="shared" si="23"/>
        <v>36-45</v>
      </c>
    </row>
    <row r="461" spans="1:13" x14ac:dyDescent="0.2">
      <c r="A461" t="s">
        <v>933</v>
      </c>
      <c r="B461" t="s">
        <v>934</v>
      </c>
      <c r="C461">
        <v>40</v>
      </c>
      <c r="D461" t="s">
        <v>16</v>
      </c>
      <c r="E461" t="s">
        <v>21</v>
      </c>
      <c r="F461" s="1">
        <v>46090</v>
      </c>
      <c r="G461" s="1">
        <v>46147</v>
      </c>
      <c r="H461">
        <v>19</v>
      </c>
      <c r="I461">
        <v>5</v>
      </c>
      <c r="J461">
        <v>0</v>
      </c>
      <c r="K461" t="str">
        <f t="shared" si="21"/>
        <v>Mar-2026</v>
      </c>
      <c r="L461" s="1">
        <f t="shared" ca="1" si="22"/>
        <v>11</v>
      </c>
      <c r="M461" t="str">
        <f t="shared" si="23"/>
        <v>36-45</v>
      </c>
    </row>
    <row r="462" spans="1:13" x14ac:dyDescent="0.2">
      <c r="A462" t="s">
        <v>935</v>
      </c>
      <c r="B462" t="s">
        <v>936</v>
      </c>
      <c r="C462">
        <v>22</v>
      </c>
      <c r="D462" t="s">
        <v>12</v>
      </c>
      <c r="E462" t="s">
        <v>21</v>
      </c>
      <c r="F462" s="1">
        <v>45702</v>
      </c>
      <c r="G462" s="1">
        <v>46038</v>
      </c>
      <c r="H462">
        <v>65</v>
      </c>
      <c r="I462">
        <v>6</v>
      </c>
      <c r="J462">
        <v>0</v>
      </c>
      <c r="K462" t="str">
        <f t="shared" si="21"/>
        <v>Feb-2025</v>
      </c>
      <c r="L462" s="1">
        <f t="shared" ca="1" si="22"/>
        <v>120</v>
      </c>
      <c r="M462" t="str">
        <f t="shared" si="23"/>
        <v>18-25</v>
      </c>
    </row>
    <row r="463" spans="1:13" x14ac:dyDescent="0.2">
      <c r="A463" t="s">
        <v>937</v>
      </c>
      <c r="B463" t="s">
        <v>938</v>
      </c>
      <c r="C463">
        <v>18</v>
      </c>
      <c r="D463" t="s">
        <v>20</v>
      </c>
      <c r="E463" t="s">
        <v>21</v>
      </c>
      <c r="F463" s="1">
        <v>45770</v>
      </c>
      <c r="G463" s="1">
        <v>46121</v>
      </c>
      <c r="H463">
        <v>79</v>
      </c>
      <c r="I463">
        <v>7</v>
      </c>
      <c r="J463">
        <v>1</v>
      </c>
      <c r="K463" t="str">
        <f t="shared" si="21"/>
        <v>Apr-2025</v>
      </c>
      <c r="L463" s="1">
        <f t="shared" ca="1" si="22"/>
        <v>37</v>
      </c>
      <c r="M463" t="str">
        <f t="shared" si="23"/>
        <v>18-25</v>
      </c>
    </row>
    <row r="464" spans="1:13" x14ac:dyDescent="0.2">
      <c r="A464" t="s">
        <v>939</v>
      </c>
      <c r="B464" t="s">
        <v>940</v>
      </c>
      <c r="C464">
        <v>31</v>
      </c>
      <c r="D464" t="s">
        <v>12</v>
      </c>
      <c r="E464" t="s">
        <v>21</v>
      </c>
      <c r="F464" s="1">
        <v>45960</v>
      </c>
      <c r="G464" s="1">
        <v>46034</v>
      </c>
      <c r="H464">
        <v>42</v>
      </c>
      <c r="I464">
        <v>5</v>
      </c>
      <c r="J464">
        <v>0</v>
      </c>
      <c r="K464" t="str">
        <f t="shared" si="21"/>
        <v>Oct-2025</v>
      </c>
      <c r="L464" s="1">
        <f t="shared" ca="1" si="22"/>
        <v>124</v>
      </c>
      <c r="M464" t="str">
        <f t="shared" si="23"/>
        <v>26-35</v>
      </c>
    </row>
    <row r="465" spans="1:13" x14ac:dyDescent="0.2">
      <c r="A465" t="s">
        <v>941</v>
      </c>
      <c r="B465" t="s">
        <v>942</v>
      </c>
      <c r="C465">
        <v>51</v>
      </c>
      <c r="D465" t="s">
        <v>16</v>
      </c>
      <c r="E465" t="s">
        <v>17</v>
      </c>
      <c r="F465" s="1">
        <v>45581</v>
      </c>
      <c r="G465" s="1">
        <v>46071</v>
      </c>
      <c r="H465">
        <v>68</v>
      </c>
      <c r="I465">
        <v>2</v>
      </c>
      <c r="J465">
        <v>1</v>
      </c>
      <c r="K465" t="str">
        <f t="shared" si="21"/>
        <v>Oct-2024</v>
      </c>
      <c r="L465" s="1">
        <f t="shared" ca="1" si="22"/>
        <v>87</v>
      </c>
      <c r="M465" t="str">
        <f t="shared" si="23"/>
        <v>46+</v>
      </c>
    </row>
    <row r="466" spans="1:13" x14ac:dyDescent="0.2">
      <c r="A466" t="s">
        <v>943</v>
      </c>
      <c r="B466" t="s">
        <v>944</v>
      </c>
      <c r="C466">
        <v>40</v>
      </c>
      <c r="D466" t="s">
        <v>20</v>
      </c>
      <c r="E466" t="s">
        <v>13</v>
      </c>
      <c r="F466" s="1">
        <v>45315</v>
      </c>
      <c r="G466" s="1">
        <v>46124</v>
      </c>
      <c r="H466">
        <v>4</v>
      </c>
      <c r="I466">
        <v>3</v>
      </c>
      <c r="J466">
        <v>0</v>
      </c>
      <c r="K466" t="str">
        <f t="shared" si="21"/>
        <v>Jan-2024</v>
      </c>
      <c r="L466" s="1">
        <f t="shared" ca="1" si="22"/>
        <v>34</v>
      </c>
      <c r="M466" t="str">
        <f t="shared" si="23"/>
        <v>36-45</v>
      </c>
    </row>
    <row r="467" spans="1:13" x14ac:dyDescent="0.2">
      <c r="A467" t="s">
        <v>945</v>
      </c>
      <c r="B467" t="s">
        <v>946</v>
      </c>
      <c r="C467">
        <v>53</v>
      </c>
      <c r="D467" t="s">
        <v>16</v>
      </c>
      <c r="E467" t="s">
        <v>21</v>
      </c>
      <c r="F467" s="1">
        <v>46038</v>
      </c>
      <c r="G467" s="1">
        <v>46087</v>
      </c>
      <c r="H467">
        <v>51</v>
      </c>
      <c r="I467">
        <v>7</v>
      </c>
      <c r="J467">
        <v>1</v>
      </c>
      <c r="K467" t="str">
        <f t="shared" si="21"/>
        <v>Jan-2026</v>
      </c>
      <c r="L467" s="1">
        <f t="shared" ca="1" si="22"/>
        <v>71</v>
      </c>
      <c r="M467" t="str">
        <f t="shared" si="23"/>
        <v>46+</v>
      </c>
    </row>
    <row r="468" spans="1:13" x14ac:dyDescent="0.2">
      <c r="A468" t="s">
        <v>947</v>
      </c>
      <c r="B468" t="s">
        <v>948</v>
      </c>
      <c r="C468">
        <v>34</v>
      </c>
      <c r="D468" t="s">
        <v>12</v>
      </c>
      <c r="E468" t="s">
        <v>17</v>
      </c>
      <c r="F468" s="1">
        <v>45820</v>
      </c>
      <c r="G468" s="1">
        <v>46096</v>
      </c>
      <c r="H468">
        <v>61</v>
      </c>
      <c r="I468">
        <v>4</v>
      </c>
      <c r="J468">
        <v>0</v>
      </c>
      <c r="K468" t="str">
        <f t="shared" si="21"/>
        <v>Jun-2025</v>
      </c>
      <c r="L468" s="1">
        <f t="shared" ca="1" si="22"/>
        <v>62</v>
      </c>
      <c r="M468" t="str">
        <f t="shared" si="23"/>
        <v>26-35</v>
      </c>
    </row>
    <row r="469" spans="1:13" x14ac:dyDescent="0.2">
      <c r="A469" t="s">
        <v>949</v>
      </c>
      <c r="B469" t="s">
        <v>950</v>
      </c>
      <c r="C469">
        <v>22</v>
      </c>
      <c r="D469" t="s">
        <v>20</v>
      </c>
      <c r="E469" t="s">
        <v>17</v>
      </c>
      <c r="F469" s="1">
        <v>45247</v>
      </c>
      <c r="G469" s="1">
        <v>46071</v>
      </c>
      <c r="H469">
        <v>39</v>
      </c>
      <c r="I469">
        <v>6</v>
      </c>
      <c r="J469">
        <v>0</v>
      </c>
      <c r="K469" t="str">
        <f t="shared" si="21"/>
        <v>Nov-2023</v>
      </c>
      <c r="L469" s="1">
        <f t="shared" ca="1" si="22"/>
        <v>87</v>
      </c>
      <c r="M469" t="str">
        <f t="shared" si="23"/>
        <v>18-25</v>
      </c>
    </row>
    <row r="470" spans="1:13" x14ac:dyDescent="0.2">
      <c r="A470" t="s">
        <v>951</v>
      </c>
      <c r="B470" t="s">
        <v>952</v>
      </c>
      <c r="C470">
        <v>43</v>
      </c>
      <c r="D470" t="s">
        <v>16</v>
      </c>
      <c r="E470" t="s">
        <v>17</v>
      </c>
      <c r="F470" s="1">
        <v>45558</v>
      </c>
      <c r="G470" s="1">
        <v>46072</v>
      </c>
      <c r="H470">
        <v>38</v>
      </c>
      <c r="I470">
        <v>10</v>
      </c>
      <c r="J470">
        <v>0</v>
      </c>
      <c r="K470" t="str">
        <f t="shared" si="21"/>
        <v>Sep-2024</v>
      </c>
      <c r="L470" s="1">
        <f t="shared" ca="1" si="22"/>
        <v>86</v>
      </c>
      <c r="M470" t="str">
        <f t="shared" si="23"/>
        <v>36-45</v>
      </c>
    </row>
    <row r="471" spans="1:13" x14ac:dyDescent="0.2">
      <c r="A471" t="s">
        <v>953</v>
      </c>
      <c r="B471" t="s">
        <v>954</v>
      </c>
      <c r="C471">
        <v>49</v>
      </c>
      <c r="D471" t="s">
        <v>20</v>
      </c>
      <c r="E471" t="s">
        <v>21</v>
      </c>
      <c r="F471" s="1">
        <v>45165</v>
      </c>
      <c r="G471" s="1">
        <v>46109</v>
      </c>
      <c r="H471">
        <v>73</v>
      </c>
      <c r="I471">
        <v>4</v>
      </c>
      <c r="J471">
        <v>0</v>
      </c>
      <c r="K471" t="str">
        <f t="shared" si="21"/>
        <v>Aug-2023</v>
      </c>
      <c r="L471" s="1">
        <f t="shared" ca="1" si="22"/>
        <v>49</v>
      </c>
      <c r="M471" t="str">
        <f t="shared" si="23"/>
        <v>46+</v>
      </c>
    </row>
    <row r="472" spans="1:13" x14ac:dyDescent="0.2">
      <c r="A472" t="s">
        <v>955</v>
      </c>
      <c r="B472" t="s">
        <v>956</v>
      </c>
      <c r="C472">
        <v>38</v>
      </c>
      <c r="D472" t="s">
        <v>12</v>
      </c>
      <c r="E472" t="s">
        <v>13</v>
      </c>
      <c r="F472" s="1">
        <v>45217</v>
      </c>
      <c r="G472" s="1">
        <v>46058</v>
      </c>
      <c r="H472">
        <v>67</v>
      </c>
      <c r="I472">
        <v>10</v>
      </c>
      <c r="J472">
        <v>1</v>
      </c>
      <c r="K472" t="str">
        <f t="shared" si="21"/>
        <v>Oct-2023</v>
      </c>
      <c r="L472" s="1">
        <f t="shared" ca="1" si="22"/>
        <v>100</v>
      </c>
      <c r="M472" t="str">
        <f t="shared" si="23"/>
        <v>36-45</v>
      </c>
    </row>
    <row r="473" spans="1:13" x14ac:dyDescent="0.2">
      <c r="A473" t="s">
        <v>957</v>
      </c>
      <c r="B473" t="s">
        <v>958</v>
      </c>
      <c r="C473">
        <v>20</v>
      </c>
      <c r="D473" t="s">
        <v>16</v>
      </c>
      <c r="E473" t="s">
        <v>21</v>
      </c>
      <c r="F473" s="1">
        <v>45926</v>
      </c>
      <c r="G473" s="1">
        <v>46069</v>
      </c>
      <c r="H473">
        <v>7</v>
      </c>
      <c r="I473">
        <v>1</v>
      </c>
      <c r="J473">
        <v>1</v>
      </c>
      <c r="K473" t="str">
        <f t="shared" si="21"/>
        <v>Sep-2025</v>
      </c>
      <c r="L473" s="1">
        <f t="shared" ca="1" si="22"/>
        <v>89</v>
      </c>
      <c r="M473" t="str">
        <f t="shared" si="23"/>
        <v>18-25</v>
      </c>
    </row>
    <row r="474" spans="1:13" x14ac:dyDescent="0.2">
      <c r="A474" t="s">
        <v>959</v>
      </c>
      <c r="B474" t="s">
        <v>960</v>
      </c>
      <c r="C474">
        <v>20</v>
      </c>
      <c r="D474" t="s">
        <v>16</v>
      </c>
      <c r="E474" t="s">
        <v>21</v>
      </c>
      <c r="F474" s="1">
        <v>45461</v>
      </c>
      <c r="G474" s="1">
        <v>46142</v>
      </c>
      <c r="H474">
        <v>62</v>
      </c>
      <c r="I474">
        <v>5</v>
      </c>
      <c r="J474">
        <v>0</v>
      </c>
      <c r="K474" t="str">
        <f t="shared" si="21"/>
        <v>Jun-2024</v>
      </c>
      <c r="L474" s="1">
        <f t="shared" ca="1" si="22"/>
        <v>16</v>
      </c>
      <c r="M474" t="str">
        <f t="shared" si="23"/>
        <v>18-25</v>
      </c>
    </row>
    <row r="475" spans="1:13" x14ac:dyDescent="0.2">
      <c r="A475" t="s">
        <v>961</v>
      </c>
      <c r="B475" t="s">
        <v>962</v>
      </c>
      <c r="C475">
        <v>30</v>
      </c>
      <c r="D475" t="s">
        <v>20</v>
      </c>
      <c r="E475" t="s">
        <v>21</v>
      </c>
      <c r="F475" s="1">
        <v>45519</v>
      </c>
      <c r="G475" s="1">
        <v>46127</v>
      </c>
      <c r="H475">
        <v>50</v>
      </c>
      <c r="I475">
        <v>3</v>
      </c>
      <c r="J475">
        <v>1</v>
      </c>
      <c r="K475" t="str">
        <f t="shared" si="21"/>
        <v>Aug-2024</v>
      </c>
      <c r="L475" s="1">
        <f t="shared" ca="1" si="22"/>
        <v>31</v>
      </c>
      <c r="M475" t="str">
        <f t="shared" si="23"/>
        <v>26-35</v>
      </c>
    </row>
    <row r="476" spans="1:13" x14ac:dyDescent="0.2">
      <c r="A476" t="s">
        <v>963</v>
      </c>
      <c r="B476" t="s">
        <v>964</v>
      </c>
      <c r="C476">
        <v>41</v>
      </c>
      <c r="D476" t="s">
        <v>16</v>
      </c>
      <c r="E476" t="s">
        <v>21</v>
      </c>
      <c r="F476" s="1">
        <v>45702</v>
      </c>
      <c r="G476" s="1">
        <v>46067</v>
      </c>
      <c r="H476">
        <v>42</v>
      </c>
      <c r="I476">
        <v>8</v>
      </c>
      <c r="J476">
        <v>1</v>
      </c>
      <c r="K476" t="str">
        <f t="shared" si="21"/>
        <v>Feb-2025</v>
      </c>
      <c r="L476" s="1">
        <f t="shared" ca="1" si="22"/>
        <v>91</v>
      </c>
      <c r="M476" t="str">
        <f t="shared" si="23"/>
        <v>36-45</v>
      </c>
    </row>
    <row r="477" spans="1:13" x14ac:dyDescent="0.2">
      <c r="A477" t="s">
        <v>965</v>
      </c>
      <c r="B477" t="s">
        <v>966</v>
      </c>
      <c r="C477">
        <v>59</v>
      </c>
      <c r="D477" t="s">
        <v>12</v>
      </c>
      <c r="E477" t="s">
        <v>17</v>
      </c>
      <c r="F477" s="1">
        <v>45418</v>
      </c>
      <c r="G477" s="1">
        <v>46125</v>
      </c>
      <c r="H477">
        <v>12</v>
      </c>
      <c r="I477">
        <v>3</v>
      </c>
      <c r="J477">
        <v>1</v>
      </c>
      <c r="K477" t="str">
        <f t="shared" si="21"/>
        <v>May-2024</v>
      </c>
      <c r="L477" s="1">
        <f t="shared" ca="1" si="22"/>
        <v>33</v>
      </c>
      <c r="M477" t="str">
        <f t="shared" si="23"/>
        <v>46+</v>
      </c>
    </row>
    <row r="478" spans="1:13" x14ac:dyDescent="0.2">
      <c r="A478" t="s">
        <v>967</v>
      </c>
      <c r="B478" t="s">
        <v>968</v>
      </c>
      <c r="C478">
        <v>29</v>
      </c>
      <c r="D478" t="s">
        <v>12</v>
      </c>
      <c r="E478" t="s">
        <v>21</v>
      </c>
      <c r="F478" s="1">
        <v>45338</v>
      </c>
      <c r="G478" s="1">
        <v>46042</v>
      </c>
      <c r="H478">
        <v>1</v>
      </c>
      <c r="I478">
        <v>5</v>
      </c>
      <c r="J478">
        <v>0</v>
      </c>
      <c r="K478" t="str">
        <f t="shared" si="21"/>
        <v>Feb-2024</v>
      </c>
      <c r="L478" s="1">
        <f t="shared" ca="1" si="22"/>
        <v>116</v>
      </c>
      <c r="M478" t="str">
        <f t="shared" si="23"/>
        <v>26-35</v>
      </c>
    </row>
    <row r="479" spans="1:13" x14ac:dyDescent="0.2">
      <c r="A479" t="s">
        <v>969</v>
      </c>
      <c r="B479" t="s">
        <v>970</v>
      </c>
      <c r="C479">
        <v>34</v>
      </c>
      <c r="D479" t="s">
        <v>20</v>
      </c>
      <c r="E479" t="s">
        <v>21</v>
      </c>
      <c r="F479" s="1">
        <v>45160</v>
      </c>
      <c r="G479" s="1">
        <v>46084</v>
      </c>
      <c r="H479">
        <v>30</v>
      </c>
      <c r="I479">
        <v>7</v>
      </c>
      <c r="J479">
        <v>1</v>
      </c>
      <c r="K479" t="str">
        <f t="shared" si="21"/>
        <v>Aug-2023</v>
      </c>
      <c r="L479" s="1">
        <f t="shared" ca="1" si="22"/>
        <v>74</v>
      </c>
      <c r="M479" t="str">
        <f t="shared" si="23"/>
        <v>26-35</v>
      </c>
    </row>
    <row r="480" spans="1:13" x14ac:dyDescent="0.2">
      <c r="A480" t="s">
        <v>971</v>
      </c>
      <c r="B480" t="s">
        <v>972</v>
      </c>
      <c r="C480">
        <v>35</v>
      </c>
      <c r="D480" t="s">
        <v>16</v>
      </c>
      <c r="E480" t="s">
        <v>21</v>
      </c>
      <c r="F480" s="1">
        <v>45283</v>
      </c>
      <c r="G480" s="1">
        <v>46132</v>
      </c>
      <c r="H480">
        <v>17</v>
      </c>
      <c r="I480">
        <v>9</v>
      </c>
      <c r="J480">
        <v>0</v>
      </c>
      <c r="K480" t="str">
        <f t="shared" si="21"/>
        <v>Dec-2023</v>
      </c>
      <c r="L480" s="1">
        <f t="shared" ca="1" si="22"/>
        <v>26</v>
      </c>
      <c r="M480" t="str">
        <f t="shared" si="23"/>
        <v>26-35</v>
      </c>
    </row>
    <row r="481" spans="1:13" x14ac:dyDescent="0.2">
      <c r="A481" t="s">
        <v>973</v>
      </c>
      <c r="B481" t="s">
        <v>974</v>
      </c>
      <c r="C481">
        <v>36</v>
      </c>
      <c r="D481" t="s">
        <v>20</v>
      </c>
      <c r="E481" t="s">
        <v>21</v>
      </c>
      <c r="F481" s="1">
        <v>45307</v>
      </c>
      <c r="G481" s="1">
        <v>46081</v>
      </c>
      <c r="H481">
        <v>35</v>
      </c>
      <c r="I481">
        <v>9</v>
      </c>
      <c r="J481">
        <v>0</v>
      </c>
      <c r="K481" t="str">
        <f t="shared" si="21"/>
        <v>Jan-2024</v>
      </c>
      <c r="L481" s="1">
        <f t="shared" ca="1" si="22"/>
        <v>77</v>
      </c>
      <c r="M481" t="str">
        <f t="shared" si="23"/>
        <v>36-45</v>
      </c>
    </row>
    <row r="482" spans="1:13" x14ac:dyDescent="0.2">
      <c r="A482" t="s">
        <v>975</v>
      </c>
      <c r="B482" t="s">
        <v>976</v>
      </c>
      <c r="C482">
        <v>28</v>
      </c>
      <c r="D482" t="s">
        <v>12</v>
      </c>
      <c r="E482" t="s">
        <v>21</v>
      </c>
      <c r="F482" s="1">
        <v>45656</v>
      </c>
      <c r="G482" s="1">
        <v>46048</v>
      </c>
      <c r="H482">
        <v>35</v>
      </c>
      <c r="I482">
        <v>7</v>
      </c>
      <c r="J482">
        <v>0</v>
      </c>
      <c r="K482" t="str">
        <f t="shared" si="21"/>
        <v>Dec-2024</v>
      </c>
      <c r="L482" s="1">
        <f t="shared" ca="1" si="22"/>
        <v>110</v>
      </c>
      <c r="M482" t="str">
        <f t="shared" si="23"/>
        <v>26-35</v>
      </c>
    </row>
    <row r="483" spans="1:13" x14ac:dyDescent="0.2">
      <c r="A483" t="s">
        <v>977</v>
      </c>
      <c r="B483" t="s">
        <v>978</v>
      </c>
      <c r="C483">
        <v>39</v>
      </c>
      <c r="D483" t="s">
        <v>16</v>
      </c>
      <c r="E483" t="s">
        <v>13</v>
      </c>
      <c r="F483" s="1">
        <v>45993</v>
      </c>
      <c r="G483" s="1">
        <v>46084</v>
      </c>
      <c r="H483">
        <v>65</v>
      </c>
      <c r="I483">
        <v>10</v>
      </c>
      <c r="J483">
        <v>1</v>
      </c>
      <c r="K483" t="str">
        <f t="shared" si="21"/>
        <v>Dec-2025</v>
      </c>
      <c r="L483" s="1">
        <f t="shared" ca="1" si="22"/>
        <v>74</v>
      </c>
      <c r="M483" t="str">
        <f t="shared" si="23"/>
        <v>36-45</v>
      </c>
    </row>
    <row r="484" spans="1:13" x14ac:dyDescent="0.2">
      <c r="A484" t="s">
        <v>979</v>
      </c>
      <c r="B484" t="s">
        <v>980</v>
      </c>
      <c r="C484">
        <v>24</v>
      </c>
      <c r="D484" t="s">
        <v>12</v>
      </c>
      <c r="E484" t="s">
        <v>21</v>
      </c>
      <c r="F484" s="1">
        <v>45767</v>
      </c>
      <c r="G484" s="1">
        <v>46131</v>
      </c>
      <c r="H484">
        <v>6</v>
      </c>
      <c r="I484">
        <v>10</v>
      </c>
      <c r="J484">
        <v>1</v>
      </c>
      <c r="K484" t="str">
        <f t="shared" si="21"/>
        <v>Apr-2025</v>
      </c>
      <c r="L484" s="1">
        <f t="shared" ca="1" si="22"/>
        <v>27</v>
      </c>
      <c r="M484" t="str">
        <f t="shared" si="23"/>
        <v>18-25</v>
      </c>
    </row>
    <row r="485" spans="1:13" x14ac:dyDescent="0.2">
      <c r="A485" t="s">
        <v>981</v>
      </c>
      <c r="B485" t="s">
        <v>982</v>
      </c>
      <c r="C485">
        <v>47</v>
      </c>
      <c r="D485" t="s">
        <v>12</v>
      </c>
      <c r="E485" t="s">
        <v>21</v>
      </c>
      <c r="F485" s="1">
        <v>45467</v>
      </c>
      <c r="G485" s="1">
        <v>46117</v>
      </c>
      <c r="H485">
        <v>0</v>
      </c>
      <c r="I485">
        <v>6</v>
      </c>
      <c r="J485">
        <v>0</v>
      </c>
      <c r="K485" t="str">
        <f t="shared" si="21"/>
        <v>Jun-2024</v>
      </c>
      <c r="L485" s="1">
        <f t="shared" ca="1" si="22"/>
        <v>41</v>
      </c>
      <c r="M485" t="str">
        <f t="shared" si="23"/>
        <v>46+</v>
      </c>
    </row>
    <row r="486" spans="1:13" x14ac:dyDescent="0.2">
      <c r="A486" t="s">
        <v>983</v>
      </c>
      <c r="B486" t="s">
        <v>984</v>
      </c>
      <c r="C486">
        <v>47</v>
      </c>
      <c r="D486" t="s">
        <v>12</v>
      </c>
      <c r="E486" t="s">
        <v>21</v>
      </c>
      <c r="F486" s="1">
        <v>45897</v>
      </c>
      <c r="G486" s="1">
        <v>46041</v>
      </c>
      <c r="H486">
        <v>27</v>
      </c>
      <c r="I486">
        <v>7</v>
      </c>
      <c r="J486">
        <v>0</v>
      </c>
      <c r="K486" t="str">
        <f t="shared" si="21"/>
        <v>Aug-2025</v>
      </c>
      <c r="L486" s="1">
        <f t="shared" ca="1" si="22"/>
        <v>117</v>
      </c>
      <c r="M486" t="str">
        <f t="shared" si="23"/>
        <v>46+</v>
      </c>
    </row>
    <row r="487" spans="1:13" x14ac:dyDescent="0.2">
      <c r="A487" t="s">
        <v>985</v>
      </c>
      <c r="B487" t="s">
        <v>986</v>
      </c>
      <c r="C487">
        <v>44</v>
      </c>
      <c r="D487" t="s">
        <v>16</v>
      </c>
      <c r="E487" t="s">
        <v>21</v>
      </c>
      <c r="F487" s="1">
        <v>45306</v>
      </c>
      <c r="G487" s="1">
        <v>46063</v>
      </c>
      <c r="H487">
        <v>25</v>
      </c>
      <c r="I487">
        <v>2</v>
      </c>
      <c r="J487">
        <v>0</v>
      </c>
      <c r="K487" t="str">
        <f t="shared" si="21"/>
        <v>Jan-2024</v>
      </c>
      <c r="L487" s="1">
        <f t="shared" ca="1" si="22"/>
        <v>95</v>
      </c>
      <c r="M487" t="str">
        <f t="shared" si="23"/>
        <v>36-45</v>
      </c>
    </row>
    <row r="488" spans="1:13" x14ac:dyDescent="0.2">
      <c r="A488" t="s">
        <v>987</v>
      </c>
      <c r="B488" t="s">
        <v>988</v>
      </c>
      <c r="C488">
        <v>28</v>
      </c>
      <c r="D488" t="s">
        <v>20</v>
      </c>
      <c r="E488" t="s">
        <v>13</v>
      </c>
      <c r="F488" s="1">
        <v>45985</v>
      </c>
      <c r="G488" s="1">
        <v>46103</v>
      </c>
      <c r="H488">
        <v>75</v>
      </c>
      <c r="I488">
        <v>9</v>
      </c>
      <c r="J488">
        <v>0</v>
      </c>
      <c r="K488" t="str">
        <f t="shared" si="21"/>
        <v>Nov-2025</v>
      </c>
      <c r="L488" s="1">
        <f t="shared" ca="1" si="22"/>
        <v>55</v>
      </c>
      <c r="M488" t="str">
        <f t="shared" si="23"/>
        <v>26-35</v>
      </c>
    </row>
    <row r="489" spans="1:13" x14ac:dyDescent="0.2">
      <c r="A489" t="s">
        <v>989</v>
      </c>
      <c r="B489" t="s">
        <v>990</v>
      </c>
      <c r="C489">
        <v>25</v>
      </c>
      <c r="D489" t="s">
        <v>16</v>
      </c>
      <c r="E489" t="s">
        <v>21</v>
      </c>
      <c r="F489" s="1">
        <v>45313</v>
      </c>
      <c r="G489" s="1">
        <v>46109</v>
      </c>
      <c r="H489">
        <v>62</v>
      </c>
      <c r="I489">
        <v>7</v>
      </c>
      <c r="J489">
        <v>1</v>
      </c>
      <c r="K489" t="str">
        <f t="shared" si="21"/>
        <v>Jan-2024</v>
      </c>
      <c r="L489" s="1">
        <f t="shared" ca="1" si="22"/>
        <v>49</v>
      </c>
      <c r="M489" t="str">
        <f t="shared" si="23"/>
        <v>18-25</v>
      </c>
    </row>
    <row r="490" spans="1:13" x14ac:dyDescent="0.2">
      <c r="A490" t="s">
        <v>991</v>
      </c>
      <c r="B490" t="s">
        <v>992</v>
      </c>
      <c r="C490">
        <v>54</v>
      </c>
      <c r="D490" t="s">
        <v>16</v>
      </c>
      <c r="E490" t="s">
        <v>21</v>
      </c>
      <c r="F490" s="1">
        <v>45387</v>
      </c>
      <c r="G490" s="1">
        <v>46136</v>
      </c>
      <c r="H490">
        <v>17</v>
      </c>
      <c r="I490">
        <v>7</v>
      </c>
      <c r="J490">
        <v>1</v>
      </c>
      <c r="K490" t="str">
        <f t="shared" si="21"/>
        <v>Apr-2024</v>
      </c>
      <c r="L490" s="1">
        <f t="shared" ca="1" si="22"/>
        <v>22</v>
      </c>
      <c r="M490" t="str">
        <f t="shared" si="23"/>
        <v>46+</v>
      </c>
    </row>
    <row r="491" spans="1:13" x14ac:dyDescent="0.2">
      <c r="A491" t="s">
        <v>993</v>
      </c>
      <c r="B491" t="s">
        <v>994</v>
      </c>
      <c r="C491">
        <v>45</v>
      </c>
      <c r="D491" t="s">
        <v>12</v>
      </c>
      <c r="E491" t="s">
        <v>17</v>
      </c>
      <c r="F491" s="1">
        <v>45764</v>
      </c>
      <c r="G491" s="1">
        <v>46101</v>
      </c>
      <c r="H491">
        <v>7</v>
      </c>
      <c r="I491">
        <v>3</v>
      </c>
      <c r="J491">
        <v>0</v>
      </c>
      <c r="K491" t="str">
        <f t="shared" si="21"/>
        <v>Apr-2025</v>
      </c>
      <c r="L491" s="1">
        <f t="shared" ca="1" si="22"/>
        <v>57</v>
      </c>
      <c r="M491" t="str">
        <f t="shared" si="23"/>
        <v>36-45</v>
      </c>
    </row>
    <row r="492" spans="1:13" x14ac:dyDescent="0.2">
      <c r="A492" t="s">
        <v>995</v>
      </c>
      <c r="B492" t="s">
        <v>996</v>
      </c>
      <c r="C492">
        <v>29</v>
      </c>
      <c r="D492" t="s">
        <v>12</v>
      </c>
      <c r="E492" t="s">
        <v>21</v>
      </c>
      <c r="F492" s="1">
        <v>45513</v>
      </c>
      <c r="G492" s="1">
        <v>46067</v>
      </c>
      <c r="H492">
        <v>11</v>
      </c>
      <c r="I492">
        <v>5</v>
      </c>
      <c r="J492">
        <v>0</v>
      </c>
      <c r="K492" t="str">
        <f t="shared" si="21"/>
        <v>Aug-2024</v>
      </c>
      <c r="L492" s="1">
        <f t="shared" ca="1" si="22"/>
        <v>91</v>
      </c>
      <c r="M492" t="str">
        <f t="shared" si="23"/>
        <v>26-35</v>
      </c>
    </row>
    <row r="493" spans="1:13" x14ac:dyDescent="0.2">
      <c r="A493" t="s">
        <v>997</v>
      </c>
      <c r="B493" t="s">
        <v>998</v>
      </c>
      <c r="C493">
        <v>41</v>
      </c>
      <c r="D493" t="s">
        <v>20</v>
      </c>
      <c r="E493" t="s">
        <v>21</v>
      </c>
      <c r="F493" s="1">
        <v>46110</v>
      </c>
      <c r="G493" s="1">
        <v>46080</v>
      </c>
      <c r="H493">
        <v>65</v>
      </c>
      <c r="I493">
        <v>7</v>
      </c>
      <c r="J493">
        <v>0</v>
      </c>
      <c r="K493" t="str">
        <f t="shared" si="21"/>
        <v>Mar-2026</v>
      </c>
      <c r="L493" s="1">
        <f t="shared" ca="1" si="22"/>
        <v>78</v>
      </c>
      <c r="M493" t="str">
        <f t="shared" si="23"/>
        <v>36-45</v>
      </c>
    </row>
    <row r="494" spans="1:13" x14ac:dyDescent="0.2">
      <c r="A494" t="s">
        <v>999</v>
      </c>
      <c r="B494" t="s">
        <v>1000</v>
      </c>
      <c r="C494">
        <v>46</v>
      </c>
      <c r="D494" t="s">
        <v>12</v>
      </c>
      <c r="E494" t="s">
        <v>17</v>
      </c>
      <c r="F494" s="1">
        <v>45229</v>
      </c>
      <c r="G494" s="1">
        <v>46068</v>
      </c>
      <c r="H494">
        <v>7</v>
      </c>
      <c r="I494">
        <v>8</v>
      </c>
      <c r="J494">
        <v>0</v>
      </c>
      <c r="K494" t="str">
        <f t="shared" si="21"/>
        <v>Oct-2023</v>
      </c>
      <c r="L494" s="1">
        <f t="shared" ca="1" si="22"/>
        <v>90</v>
      </c>
      <c r="M494" t="str">
        <f t="shared" si="23"/>
        <v>46+</v>
      </c>
    </row>
    <row r="495" spans="1:13" x14ac:dyDescent="0.2">
      <c r="A495" t="s">
        <v>1001</v>
      </c>
      <c r="B495" t="s">
        <v>1002</v>
      </c>
      <c r="C495">
        <v>36</v>
      </c>
      <c r="D495" t="s">
        <v>20</v>
      </c>
      <c r="E495" t="s">
        <v>17</v>
      </c>
      <c r="F495" s="1">
        <v>45281</v>
      </c>
      <c r="G495" s="1">
        <v>46082</v>
      </c>
      <c r="H495">
        <v>9</v>
      </c>
      <c r="I495">
        <v>1</v>
      </c>
      <c r="J495">
        <v>0</v>
      </c>
      <c r="K495" t="str">
        <f t="shared" si="21"/>
        <v>Dec-2023</v>
      </c>
      <c r="L495" s="1">
        <f t="shared" ca="1" si="22"/>
        <v>76</v>
      </c>
      <c r="M495" t="str">
        <f t="shared" si="23"/>
        <v>36-45</v>
      </c>
    </row>
    <row r="496" spans="1:13" x14ac:dyDescent="0.2">
      <c r="A496" t="s">
        <v>1003</v>
      </c>
      <c r="B496" t="s">
        <v>1004</v>
      </c>
      <c r="C496">
        <v>39</v>
      </c>
      <c r="D496" t="s">
        <v>20</v>
      </c>
      <c r="E496" t="s">
        <v>21</v>
      </c>
      <c r="F496" s="1">
        <v>45448</v>
      </c>
      <c r="G496" s="1">
        <v>46039</v>
      </c>
      <c r="H496">
        <v>20</v>
      </c>
      <c r="I496">
        <v>5</v>
      </c>
      <c r="J496">
        <v>1</v>
      </c>
      <c r="K496" t="str">
        <f t="shared" si="21"/>
        <v>Jun-2024</v>
      </c>
      <c r="L496" s="1">
        <f t="shared" ca="1" si="22"/>
        <v>119</v>
      </c>
      <c r="M496" t="str">
        <f t="shared" si="23"/>
        <v>36-45</v>
      </c>
    </row>
    <row r="497" spans="1:13" x14ac:dyDescent="0.2">
      <c r="A497" t="s">
        <v>1005</v>
      </c>
      <c r="B497" t="s">
        <v>1006</v>
      </c>
      <c r="C497">
        <v>59</v>
      </c>
      <c r="D497" t="s">
        <v>16</v>
      </c>
      <c r="E497" t="s">
        <v>13</v>
      </c>
      <c r="F497" s="1">
        <v>45714</v>
      </c>
      <c r="G497" s="1">
        <v>46050</v>
      </c>
      <c r="H497">
        <v>50</v>
      </c>
      <c r="I497">
        <v>7</v>
      </c>
      <c r="J497">
        <v>1</v>
      </c>
      <c r="K497" t="str">
        <f t="shared" si="21"/>
        <v>Feb-2025</v>
      </c>
      <c r="L497" s="1">
        <f t="shared" ca="1" si="22"/>
        <v>108</v>
      </c>
      <c r="M497" t="str">
        <f t="shared" si="23"/>
        <v>46+</v>
      </c>
    </row>
    <row r="498" spans="1:13" x14ac:dyDescent="0.2">
      <c r="A498" t="s">
        <v>1007</v>
      </c>
      <c r="B498" t="s">
        <v>1008</v>
      </c>
      <c r="C498">
        <v>34</v>
      </c>
      <c r="D498" t="s">
        <v>20</v>
      </c>
      <c r="E498" t="s">
        <v>17</v>
      </c>
      <c r="F498" s="1">
        <v>45254</v>
      </c>
      <c r="G498" s="1">
        <v>46110</v>
      </c>
      <c r="H498">
        <v>32</v>
      </c>
      <c r="I498">
        <v>7</v>
      </c>
      <c r="J498">
        <v>0</v>
      </c>
      <c r="K498" t="str">
        <f t="shared" si="21"/>
        <v>Nov-2023</v>
      </c>
      <c r="L498" s="1">
        <f t="shared" ca="1" si="22"/>
        <v>48</v>
      </c>
      <c r="M498" t="str">
        <f t="shared" si="23"/>
        <v>26-35</v>
      </c>
    </row>
    <row r="499" spans="1:13" x14ac:dyDescent="0.2">
      <c r="A499" t="s">
        <v>1009</v>
      </c>
      <c r="B499" t="s">
        <v>1010</v>
      </c>
      <c r="C499">
        <v>56</v>
      </c>
      <c r="D499" t="s">
        <v>12</v>
      </c>
      <c r="E499" t="s">
        <v>17</v>
      </c>
      <c r="F499" s="1">
        <v>45643</v>
      </c>
      <c r="G499" s="1">
        <v>46043</v>
      </c>
      <c r="H499">
        <v>5</v>
      </c>
      <c r="I499">
        <v>4</v>
      </c>
      <c r="J499">
        <v>0</v>
      </c>
      <c r="K499" t="str">
        <f t="shared" si="21"/>
        <v>Dec-2024</v>
      </c>
      <c r="L499" s="1">
        <f t="shared" ca="1" si="22"/>
        <v>115</v>
      </c>
      <c r="M499" t="str">
        <f t="shared" si="23"/>
        <v>46+</v>
      </c>
    </row>
    <row r="500" spans="1:13" x14ac:dyDescent="0.2">
      <c r="A500" t="s">
        <v>1011</v>
      </c>
      <c r="B500" t="s">
        <v>1012</v>
      </c>
      <c r="C500">
        <v>22</v>
      </c>
      <c r="D500" t="s">
        <v>16</v>
      </c>
      <c r="E500" t="s">
        <v>21</v>
      </c>
      <c r="F500" s="1">
        <v>45521</v>
      </c>
      <c r="G500" s="1">
        <v>46142</v>
      </c>
      <c r="H500">
        <v>25</v>
      </c>
      <c r="I500">
        <v>10</v>
      </c>
      <c r="J500">
        <v>0</v>
      </c>
      <c r="K500" t="str">
        <f t="shared" si="21"/>
        <v>Aug-2024</v>
      </c>
      <c r="L500" s="1">
        <f t="shared" ca="1" si="22"/>
        <v>16</v>
      </c>
      <c r="M500" t="str">
        <f t="shared" si="23"/>
        <v>18-25</v>
      </c>
    </row>
    <row r="501" spans="1:13" x14ac:dyDescent="0.2">
      <c r="A501" t="s">
        <v>1013</v>
      </c>
      <c r="B501" t="s">
        <v>1014</v>
      </c>
      <c r="C501">
        <v>30</v>
      </c>
      <c r="D501" t="s">
        <v>16</v>
      </c>
      <c r="E501" t="s">
        <v>21</v>
      </c>
      <c r="F501" s="1">
        <v>45260</v>
      </c>
      <c r="G501" s="1">
        <v>46102</v>
      </c>
      <c r="H501">
        <v>31</v>
      </c>
      <c r="I501">
        <v>9</v>
      </c>
      <c r="J501">
        <v>0</v>
      </c>
      <c r="K501" t="str">
        <f t="shared" si="21"/>
        <v>Nov-2023</v>
      </c>
      <c r="L501" s="1">
        <f t="shared" ca="1" si="22"/>
        <v>56</v>
      </c>
      <c r="M501" t="str">
        <f t="shared" si="23"/>
        <v>26-35</v>
      </c>
    </row>
    <row r="502" spans="1:13" x14ac:dyDescent="0.2">
      <c r="A502" t="s">
        <v>1015</v>
      </c>
      <c r="B502" t="s">
        <v>1016</v>
      </c>
      <c r="C502">
        <v>28</v>
      </c>
      <c r="D502" t="s">
        <v>12</v>
      </c>
      <c r="E502" t="s">
        <v>17</v>
      </c>
      <c r="F502" s="1">
        <v>45182</v>
      </c>
      <c r="G502" s="1">
        <v>46131</v>
      </c>
      <c r="H502">
        <v>45</v>
      </c>
      <c r="I502">
        <v>4</v>
      </c>
      <c r="J502">
        <v>1</v>
      </c>
      <c r="K502" t="str">
        <f t="shared" si="21"/>
        <v>Sep-2023</v>
      </c>
      <c r="L502" s="1">
        <f t="shared" ca="1" si="22"/>
        <v>27</v>
      </c>
      <c r="M502" t="str">
        <f t="shared" si="23"/>
        <v>26-35</v>
      </c>
    </row>
    <row r="503" spans="1:13" x14ac:dyDescent="0.2">
      <c r="A503" t="s">
        <v>1017</v>
      </c>
      <c r="B503" t="s">
        <v>1018</v>
      </c>
      <c r="C503">
        <v>38</v>
      </c>
      <c r="D503" t="s">
        <v>16</v>
      </c>
      <c r="E503" t="s">
        <v>13</v>
      </c>
      <c r="F503" s="1">
        <v>46109</v>
      </c>
      <c r="G503" s="1">
        <v>46067</v>
      </c>
      <c r="H503">
        <v>13</v>
      </c>
      <c r="I503">
        <v>1</v>
      </c>
      <c r="J503">
        <v>0</v>
      </c>
      <c r="K503" t="str">
        <f t="shared" si="21"/>
        <v>Mar-2026</v>
      </c>
      <c r="L503" s="1">
        <f t="shared" ca="1" si="22"/>
        <v>91</v>
      </c>
      <c r="M503" t="str">
        <f t="shared" si="23"/>
        <v>36-45</v>
      </c>
    </row>
    <row r="504" spans="1:13" x14ac:dyDescent="0.2">
      <c r="A504" t="s">
        <v>1019</v>
      </c>
      <c r="B504" t="s">
        <v>1020</v>
      </c>
      <c r="C504">
        <v>34</v>
      </c>
      <c r="D504" t="s">
        <v>12</v>
      </c>
      <c r="E504" t="s">
        <v>13</v>
      </c>
      <c r="F504" s="1">
        <v>45846</v>
      </c>
      <c r="G504" s="1">
        <v>46034</v>
      </c>
      <c r="H504">
        <v>53</v>
      </c>
      <c r="I504">
        <v>7</v>
      </c>
      <c r="J504">
        <v>1</v>
      </c>
      <c r="K504" t="str">
        <f t="shared" si="21"/>
        <v>Jul-2025</v>
      </c>
      <c r="L504" s="1">
        <f t="shared" ca="1" si="22"/>
        <v>124</v>
      </c>
      <c r="M504" t="str">
        <f t="shared" si="23"/>
        <v>26-35</v>
      </c>
    </row>
    <row r="505" spans="1:13" x14ac:dyDescent="0.2">
      <c r="A505" t="s">
        <v>1021</v>
      </c>
      <c r="B505" t="s">
        <v>1022</v>
      </c>
      <c r="C505">
        <v>33</v>
      </c>
      <c r="D505" t="s">
        <v>20</v>
      </c>
      <c r="E505" t="s">
        <v>13</v>
      </c>
      <c r="F505" s="1">
        <v>45290</v>
      </c>
      <c r="G505" s="1">
        <v>46071</v>
      </c>
      <c r="H505">
        <v>28</v>
      </c>
      <c r="I505">
        <v>5</v>
      </c>
      <c r="J505">
        <v>1</v>
      </c>
      <c r="K505" t="str">
        <f t="shared" si="21"/>
        <v>Dec-2023</v>
      </c>
      <c r="L505" s="1">
        <f t="shared" ca="1" si="22"/>
        <v>87</v>
      </c>
      <c r="M505" t="str">
        <f t="shared" si="23"/>
        <v>26-35</v>
      </c>
    </row>
    <row r="506" spans="1:13" x14ac:dyDescent="0.2">
      <c r="A506" t="s">
        <v>1023</v>
      </c>
      <c r="B506" t="s">
        <v>1024</v>
      </c>
      <c r="C506">
        <v>29</v>
      </c>
      <c r="D506" t="s">
        <v>16</v>
      </c>
      <c r="E506" t="s">
        <v>21</v>
      </c>
      <c r="F506" s="1">
        <v>45415</v>
      </c>
      <c r="G506" s="1">
        <v>46147</v>
      </c>
      <c r="H506">
        <v>23</v>
      </c>
      <c r="I506">
        <v>2</v>
      </c>
      <c r="J506">
        <v>1</v>
      </c>
      <c r="K506" t="str">
        <f t="shared" si="21"/>
        <v>May-2024</v>
      </c>
      <c r="L506" s="1">
        <f t="shared" ca="1" si="22"/>
        <v>11</v>
      </c>
      <c r="M506" t="str">
        <f t="shared" si="23"/>
        <v>26-35</v>
      </c>
    </row>
    <row r="507" spans="1:13" x14ac:dyDescent="0.2">
      <c r="A507" t="s">
        <v>1025</v>
      </c>
      <c r="B507" t="s">
        <v>1026</v>
      </c>
      <c r="C507">
        <v>29</v>
      </c>
      <c r="D507" t="s">
        <v>20</v>
      </c>
      <c r="E507" t="s">
        <v>21</v>
      </c>
      <c r="F507" s="1">
        <v>45855</v>
      </c>
      <c r="G507" s="1">
        <v>46032</v>
      </c>
      <c r="H507">
        <v>32</v>
      </c>
      <c r="I507">
        <v>5</v>
      </c>
      <c r="J507">
        <v>0</v>
      </c>
      <c r="K507" t="str">
        <f t="shared" si="21"/>
        <v>Jul-2025</v>
      </c>
      <c r="L507" s="1">
        <f t="shared" ca="1" si="22"/>
        <v>126</v>
      </c>
      <c r="M507" t="str">
        <f t="shared" si="23"/>
        <v>26-35</v>
      </c>
    </row>
    <row r="508" spans="1:13" x14ac:dyDescent="0.2">
      <c r="A508" t="s">
        <v>1027</v>
      </c>
      <c r="B508" t="s">
        <v>1028</v>
      </c>
      <c r="C508">
        <v>45</v>
      </c>
      <c r="D508" t="s">
        <v>20</v>
      </c>
      <c r="E508" t="s">
        <v>21</v>
      </c>
      <c r="F508" s="1">
        <v>45618</v>
      </c>
      <c r="G508" s="1">
        <v>46067</v>
      </c>
      <c r="H508">
        <v>42</v>
      </c>
      <c r="I508">
        <v>2</v>
      </c>
      <c r="J508">
        <v>1</v>
      </c>
      <c r="K508" t="str">
        <f t="shared" si="21"/>
        <v>Nov-2024</v>
      </c>
      <c r="L508" s="1">
        <f t="shared" ca="1" si="22"/>
        <v>91</v>
      </c>
      <c r="M508" t="str">
        <f t="shared" si="23"/>
        <v>36-45</v>
      </c>
    </row>
    <row r="509" spans="1:13" x14ac:dyDescent="0.2">
      <c r="A509" t="s">
        <v>1029</v>
      </c>
      <c r="B509" t="s">
        <v>1030</v>
      </c>
      <c r="C509">
        <v>26</v>
      </c>
      <c r="D509" t="s">
        <v>16</v>
      </c>
      <c r="E509" t="s">
        <v>13</v>
      </c>
      <c r="F509" s="1">
        <v>45814</v>
      </c>
      <c r="G509" s="1">
        <v>46135</v>
      </c>
      <c r="H509">
        <v>6</v>
      </c>
      <c r="I509">
        <v>10</v>
      </c>
      <c r="J509">
        <v>0</v>
      </c>
      <c r="K509" t="str">
        <f t="shared" si="21"/>
        <v>Jun-2025</v>
      </c>
      <c r="L509" s="1">
        <f t="shared" ca="1" si="22"/>
        <v>23</v>
      </c>
      <c r="M509" t="str">
        <f t="shared" si="23"/>
        <v>26-35</v>
      </c>
    </row>
    <row r="510" spans="1:13" x14ac:dyDescent="0.2">
      <c r="A510" t="s">
        <v>1031</v>
      </c>
      <c r="B510" t="s">
        <v>1032</v>
      </c>
      <c r="C510">
        <v>56</v>
      </c>
      <c r="D510" t="s">
        <v>16</v>
      </c>
      <c r="E510" t="s">
        <v>13</v>
      </c>
      <c r="F510" s="1">
        <v>45993</v>
      </c>
      <c r="G510" s="1">
        <v>46096</v>
      </c>
      <c r="H510">
        <v>75</v>
      </c>
      <c r="I510">
        <v>1</v>
      </c>
      <c r="J510">
        <v>0</v>
      </c>
      <c r="K510" t="str">
        <f t="shared" si="21"/>
        <v>Dec-2025</v>
      </c>
      <c r="L510" s="1">
        <f t="shared" ca="1" si="22"/>
        <v>62</v>
      </c>
      <c r="M510" t="str">
        <f t="shared" si="23"/>
        <v>46+</v>
      </c>
    </row>
    <row r="511" spans="1:13" x14ac:dyDescent="0.2">
      <c r="A511" t="s">
        <v>1033</v>
      </c>
      <c r="B511" t="s">
        <v>1034</v>
      </c>
      <c r="C511">
        <v>26</v>
      </c>
      <c r="D511" t="s">
        <v>20</v>
      </c>
      <c r="E511" t="s">
        <v>13</v>
      </c>
      <c r="F511" s="1">
        <v>45869</v>
      </c>
      <c r="G511" s="1">
        <v>46062</v>
      </c>
      <c r="H511">
        <v>29</v>
      </c>
      <c r="I511">
        <v>9</v>
      </c>
      <c r="J511">
        <v>0</v>
      </c>
      <c r="K511" t="str">
        <f t="shared" si="21"/>
        <v>Jul-2025</v>
      </c>
      <c r="L511" s="1">
        <f t="shared" ca="1" si="22"/>
        <v>96</v>
      </c>
      <c r="M511" t="str">
        <f t="shared" si="23"/>
        <v>26-35</v>
      </c>
    </row>
    <row r="512" spans="1:13" x14ac:dyDescent="0.2">
      <c r="A512" t="s">
        <v>1035</v>
      </c>
      <c r="B512" t="s">
        <v>1036</v>
      </c>
      <c r="C512">
        <v>45</v>
      </c>
      <c r="D512" t="s">
        <v>16</v>
      </c>
      <c r="E512" t="s">
        <v>21</v>
      </c>
      <c r="F512" s="1">
        <v>45201</v>
      </c>
      <c r="G512" s="1">
        <v>46147</v>
      </c>
      <c r="H512">
        <v>78</v>
      </c>
      <c r="I512">
        <v>10</v>
      </c>
      <c r="J512">
        <v>0</v>
      </c>
      <c r="K512" t="str">
        <f t="shared" si="21"/>
        <v>Oct-2023</v>
      </c>
      <c r="L512" s="1">
        <f t="shared" ca="1" si="22"/>
        <v>11</v>
      </c>
      <c r="M512" t="str">
        <f t="shared" si="23"/>
        <v>36-45</v>
      </c>
    </row>
    <row r="513" spans="1:13" x14ac:dyDescent="0.2">
      <c r="A513" t="s">
        <v>1037</v>
      </c>
      <c r="B513" t="s">
        <v>1038</v>
      </c>
      <c r="C513">
        <v>25</v>
      </c>
      <c r="D513" t="s">
        <v>12</v>
      </c>
      <c r="E513" t="s">
        <v>21</v>
      </c>
      <c r="F513" s="1">
        <v>45813</v>
      </c>
      <c r="G513" s="1">
        <v>46133</v>
      </c>
      <c r="H513">
        <v>13</v>
      </c>
      <c r="I513">
        <v>10</v>
      </c>
      <c r="J513">
        <v>0</v>
      </c>
      <c r="K513" t="str">
        <f t="shared" si="21"/>
        <v>Jun-2025</v>
      </c>
      <c r="L513" s="1">
        <f t="shared" ca="1" si="22"/>
        <v>25</v>
      </c>
      <c r="M513" t="str">
        <f t="shared" si="23"/>
        <v>18-25</v>
      </c>
    </row>
    <row r="514" spans="1:13" x14ac:dyDescent="0.2">
      <c r="A514" t="s">
        <v>1039</v>
      </c>
      <c r="B514" t="s">
        <v>1040</v>
      </c>
      <c r="C514">
        <v>56</v>
      </c>
      <c r="D514" t="s">
        <v>12</v>
      </c>
      <c r="E514" t="s">
        <v>17</v>
      </c>
      <c r="F514" s="1">
        <v>45661</v>
      </c>
      <c r="G514" s="1">
        <v>46090</v>
      </c>
      <c r="H514">
        <v>41</v>
      </c>
      <c r="I514">
        <v>3</v>
      </c>
      <c r="J514">
        <v>1</v>
      </c>
      <c r="K514" t="str">
        <f t="shared" si="21"/>
        <v>Jan-2025</v>
      </c>
      <c r="L514" s="1">
        <f t="shared" ca="1" si="22"/>
        <v>68</v>
      </c>
      <c r="M514" t="str">
        <f t="shared" si="23"/>
        <v>46+</v>
      </c>
    </row>
    <row r="515" spans="1:13" x14ac:dyDescent="0.2">
      <c r="A515" t="s">
        <v>1041</v>
      </c>
      <c r="B515" t="s">
        <v>1042</v>
      </c>
      <c r="C515">
        <v>35</v>
      </c>
      <c r="D515" t="s">
        <v>16</v>
      </c>
      <c r="E515" t="s">
        <v>13</v>
      </c>
      <c r="F515" s="1">
        <v>45564</v>
      </c>
      <c r="G515" s="1">
        <v>46065</v>
      </c>
      <c r="H515">
        <v>62</v>
      </c>
      <c r="I515">
        <v>8</v>
      </c>
      <c r="J515">
        <v>0</v>
      </c>
      <c r="K515" t="str">
        <f t="shared" ref="K515:K578" si="24">TEXT(F515,"MMM-YYYY")</f>
        <v>Sep-2024</v>
      </c>
      <c r="L515" s="1">
        <f t="shared" ref="L515:L578" ca="1" si="25">TODAY()-G515</f>
        <v>93</v>
      </c>
      <c r="M515" t="str">
        <f t="shared" ref="M515:M578" si="26">IF(C515&lt;=25,"18-25",IF(C515&lt;=35,"26-35",IF(C515&lt;=45,"36-45","46+")))</f>
        <v>26-35</v>
      </c>
    </row>
    <row r="516" spans="1:13" x14ac:dyDescent="0.2">
      <c r="A516" t="s">
        <v>1043</v>
      </c>
      <c r="B516" t="s">
        <v>1044</v>
      </c>
      <c r="C516">
        <v>51</v>
      </c>
      <c r="D516" t="s">
        <v>20</v>
      </c>
      <c r="E516" t="s">
        <v>21</v>
      </c>
      <c r="F516" s="1">
        <v>45332</v>
      </c>
      <c r="G516" s="1">
        <v>46094</v>
      </c>
      <c r="H516">
        <v>58</v>
      </c>
      <c r="I516">
        <v>6</v>
      </c>
      <c r="J516">
        <v>0</v>
      </c>
      <c r="K516" t="str">
        <f t="shared" si="24"/>
        <v>Feb-2024</v>
      </c>
      <c r="L516" s="1">
        <f t="shared" ca="1" si="25"/>
        <v>64</v>
      </c>
      <c r="M516" t="str">
        <f t="shared" si="26"/>
        <v>46+</v>
      </c>
    </row>
    <row r="517" spans="1:13" x14ac:dyDescent="0.2">
      <c r="A517" t="s">
        <v>1045</v>
      </c>
      <c r="B517" t="s">
        <v>1046</v>
      </c>
      <c r="C517">
        <v>38</v>
      </c>
      <c r="D517" t="s">
        <v>20</v>
      </c>
      <c r="E517" t="s">
        <v>21</v>
      </c>
      <c r="F517" s="1">
        <v>45448</v>
      </c>
      <c r="G517" s="1">
        <v>46108</v>
      </c>
      <c r="H517">
        <v>68</v>
      </c>
      <c r="I517">
        <v>1</v>
      </c>
      <c r="J517">
        <v>0</v>
      </c>
      <c r="K517" t="str">
        <f t="shared" si="24"/>
        <v>Jun-2024</v>
      </c>
      <c r="L517" s="1">
        <f t="shared" ca="1" si="25"/>
        <v>50</v>
      </c>
      <c r="M517" t="str">
        <f t="shared" si="26"/>
        <v>36-45</v>
      </c>
    </row>
    <row r="518" spans="1:13" x14ac:dyDescent="0.2">
      <c r="A518" t="s">
        <v>1047</v>
      </c>
      <c r="B518" t="s">
        <v>1048</v>
      </c>
      <c r="C518">
        <v>46</v>
      </c>
      <c r="D518" t="s">
        <v>16</v>
      </c>
      <c r="E518" t="s">
        <v>17</v>
      </c>
      <c r="F518" s="1">
        <v>46054</v>
      </c>
      <c r="G518" s="1">
        <v>46106</v>
      </c>
      <c r="H518">
        <v>39</v>
      </c>
      <c r="I518">
        <v>1</v>
      </c>
      <c r="J518">
        <v>1</v>
      </c>
      <c r="K518" t="str">
        <f t="shared" si="24"/>
        <v>Feb-2026</v>
      </c>
      <c r="L518" s="1">
        <f t="shared" ca="1" si="25"/>
        <v>52</v>
      </c>
      <c r="M518" t="str">
        <f t="shared" si="26"/>
        <v>46+</v>
      </c>
    </row>
    <row r="519" spans="1:13" x14ac:dyDescent="0.2">
      <c r="A519" t="s">
        <v>1049</v>
      </c>
      <c r="B519" t="s">
        <v>1050</v>
      </c>
      <c r="C519">
        <v>35</v>
      </c>
      <c r="D519" t="s">
        <v>16</v>
      </c>
      <c r="E519" t="s">
        <v>17</v>
      </c>
      <c r="F519" s="1">
        <v>45551</v>
      </c>
      <c r="G519" s="1">
        <v>46032</v>
      </c>
      <c r="H519">
        <v>33</v>
      </c>
      <c r="I519">
        <v>8</v>
      </c>
      <c r="J519">
        <v>0</v>
      </c>
      <c r="K519" t="str">
        <f t="shared" si="24"/>
        <v>Sep-2024</v>
      </c>
      <c r="L519" s="1">
        <f t="shared" ca="1" si="25"/>
        <v>126</v>
      </c>
      <c r="M519" t="str">
        <f t="shared" si="26"/>
        <v>26-35</v>
      </c>
    </row>
    <row r="520" spans="1:13" x14ac:dyDescent="0.2">
      <c r="A520" t="s">
        <v>1051</v>
      </c>
      <c r="B520" t="s">
        <v>1052</v>
      </c>
      <c r="C520">
        <v>35</v>
      </c>
      <c r="D520" t="s">
        <v>12</v>
      </c>
      <c r="E520" t="s">
        <v>21</v>
      </c>
      <c r="F520" s="1">
        <v>45226</v>
      </c>
      <c r="G520" s="1">
        <v>46096</v>
      </c>
      <c r="H520">
        <v>41</v>
      </c>
      <c r="I520">
        <v>10</v>
      </c>
      <c r="J520">
        <v>0</v>
      </c>
      <c r="K520" t="str">
        <f t="shared" si="24"/>
        <v>Oct-2023</v>
      </c>
      <c r="L520" s="1">
        <f t="shared" ca="1" si="25"/>
        <v>62</v>
      </c>
      <c r="M520" t="str">
        <f t="shared" si="26"/>
        <v>26-35</v>
      </c>
    </row>
    <row r="521" spans="1:13" x14ac:dyDescent="0.2">
      <c r="A521" t="s">
        <v>1053</v>
      </c>
      <c r="B521" t="s">
        <v>1054</v>
      </c>
      <c r="C521">
        <v>60</v>
      </c>
      <c r="D521" t="s">
        <v>12</v>
      </c>
      <c r="E521" t="s">
        <v>17</v>
      </c>
      <c r="F521" s="1">
        <v>45731</v>
      </c>
      <c r="G521" s="1">
        <v>46150</v>
      </c>
      <c r="H521">
        <v>78</v>
      </c>
      <c r="I521">
        <v>5</v>
      </c>
      <c r="J521">
        <v>0</v>
      </c>
      <c r="K521" t="str">
        <f t="shared" si="24"/>
        <v>Mar-2025</v>
      </c>
      <c r="L521" s="1">
        <f t="shared" ca="1" si="25"/>
        <v>8</v>
      </c>
      <c r="M521" t="str">
        <f t="shared" si="26"/>
        <v>46+</v>
      </c>
    </row>
    <row r="522" spans="1:13" x14ac:dyDescent="0.2">
      <c r="A522" t="s">
        <v>1055</v>
      </c>
      <c r="B522" t="s">
        <v>1056</v>
      </c>
      <c r="C522">
        <v>34</v>
      </c>
      <c r="D522" t="s">
        <v>20</v>
      </c>
      <c r="E522" t="s">
        <v>21</v>
      </c>
      <c r="F522" s="1">
        <v>45989</v>
      </c>
      <c r="G522" s="1">
        <v>46141</v>
      </c>
      <c r="H522">
        <v>39</v>
      </c>
      <c r="I522">
        <v>6</v>
      </c>
      <c r="J522">
        <v>1</v>
      </c>
      <c r="K522" t="str">
        <f t="shared" si="24"/>
        <v>Nov-2025</v>
      </c>
      <c r="L522" s="1">
        <f t="shared" ca="1" si="25"/>
        <v>17</v>
      </c>
      <c r="M522" t="str">
        <f t="shared" si="26"/>
        <v>26-35</v>
      </c>
    </row>
    <row r="523" spans="1:13" x14ac:dyDescent="0.2">
      <c r="A523" t="s">
        <v>1057</v>
      </c>
      <c r="B523" t="s">
        <v>1058</v>
      </c>
      <c r="C523">
        <v>21</v>
      </c>
      <c r="D523" t="s">
        <v>16</v>
      </c>
      <c r="E523" t="s">
        <v>21</v>
      </c>
      <c r="F523" s="1">
        <v>45483</v>
      </c>
      <c r="G523" s="1">
        <v>46146</v>
      </c>
      <c r="H523">
        <v>70</v>
      </c>
      <c r="I523">
        <v>9</v>
      </c>
      <c r="J523">
        <v>0</v>
      </c>
      <c r="K523" t="str">
        <f t="shared" si="24"/>
        <v>Jul-2024</v>
      </c>
      <c r="L523" s="1">
        <f t="shared" ca="1" si="25"/>
        <v>12</v>
      </c>
      <c r="M523" t="str">
        <f t="shared" si="26"/>
        <v>18-25</v>
      </c>
    </row>
    <row r="524" spans="1:13" x14ac:dyDescent="0.2">
      <c r="A524" t="s">
        <v>1059</v>
      </c>
      <c r="B524" t="s">
        <v>1060</v>
      </c>
      <c r="C524">
        <v>34</v>
      </c>
      <c r="D524" t="s">
        <v>16</v>
      </c>
      <c r="E524" t="s">
        <v>21</v>
      </c>
      <c r="F524" s="1">
        <v>45957</v>
      </c>
      <c r="G524" s="1">
        <v>46131</v>
      </c>
      <c r="H524">
        <v>39</v>
      </c>
      <c r="I524">
        <v>8</v>
      </c>
      <c r="J524">
        <v>0</v>
      </c>
      <c r="K524" t="str">
        <f t="shared" si="24"/>
        <v>Oct-2025</v>
      </c>
      <c r="L524" s="1">
        <f t="shared" ca="1" si="25"/>
        <v>27</v>
      </c>
      <c r="M524" t="str">
        <f t="shared" si="26"/>
        <v>26-35</v>
      </c>
    </row>
    <row r="525" spans="1:13" x14ac:dyDescent="0.2">
      <c r="A525" t="s">
        <v>1061</v>
      </c>
      <c r="B525" t="s">
        <v>1062</v>
      </c>
      <c r="C525">
        <v>38</v>
      </c>
      <c r="D525" t="s">
        <v>12</v>
      </c>
      <c r="E525" t="s">
        <v>17</v>
      </c>
      <c r="F525" s="1">
        <v>45991</v>
      </c>
      <c r="G525" s="1">
        <v>46051</v>
      </c>
      <c r="H525">
        <v>39</v>
      </c>
      <c r="I525">
        <v>9</v>
      </c>
      <c r="J525">
        <v>0</v>
      </c>
      <c r="K525" t="str">
        <f t="shared" si="24"/>
        <v>Nov-2025</v>
      </c>
      <c r="L525" s="1">
        <f t="shared" ca="1" si="25"/>
        <v>107</v>
      </c>
      <c r="M525" t="str">
        <f t="shared" si="26"/>
        <v>36-45</v>
      </c>
    </row>
    <row r="526" spans="1:13" x14ac:dyDescent="0.2">
      <c r="A526" t="s">
        <v>1063</v>
      </c>
      <c r="B526" t="s">
        <v>1064</v>
      </c>
      <c r="C526">
        <v>41</v>
      </c>
      <c r="D526" t="s">
        <v>12</v>
      </c>
      <c r="E526" t="s">
        <v>13</v>
      </c>
      <c r="F526" s="1">
        <v>46100</v>
      </c>
      <c r="G526" s="1">
        <v>46034</v>
      </c>
      <c r="H526">
        <v>24</v>
      </c>
      <c r="I526">
        <v>3</v>
      </c>
      <c r="J526">
        <v>1</v>
      </c>
      <c r="K526" t="str">
        <f t="shared" si="24"/>
        <v>Mar-2026</v>
      </c>
      <c r="L526" s="1">
        <f t="shared" ca="1" si="25"/>
        <v>124</v>
      </c>
      <c r="M526" t="str">
        <f t="shared" si="26"/>
        <v>36-45</v>
      </c>
    </row>
    <row r="527" spans="1:13" x14ac:dyDescent="0.2">
      <c r="A527" t="s">
        <v>1065</v>
      </c>
      <c r="B527" t="s">
        <v>1066</v>
      </c>
      <c r="C527">
        <v>22</v>
      </c>
      <c r="D527" t="s">
        <v>16</v>
      </c>
      <c r="E527" t="s">
        <v>17</v>
      </c>
      <c r="F527" s="1">
        <v>45554</v>
      </c>
      <c r="G527" s="1">
        <v>46108</v>
      </c>
      <c r="H527">
        <v>58</v>
      </c>
      <c r="I527">
        <v>1</v>
      </c>
      <c r="J527">
        <v>1</v>
      </c>
      <c r="K527" t="str">
        <f t="shared" si="24"/>
        <v>Sep-2024</v>
      </c>
      <c r="L527" s="1">
        <f t="shared" ca="1" si="25"/>
        <v>50</v>
      </c>
      <c r="M527" t="str">
        <f t="shared" si="26"/>
        <v>18-25</v>
      </c>
    </row>
    <row r="528" spans="1:13" x14ac:dyDescent="0.2">
      <c r="A528" t="s">
        <v>1067</v>
      </c>
      <c r="B528" t="s">
        <v>1068</v>
      </c>
      <c r="C528">
        <v>37</v>
      </c>
      <c r="D528" t="s">
        <v>16</v>
      </c>
      <c r="E528" t="s">
        <v>13</v>
      </c>
      <c r="F528" s="1">
        <v>45367</v>
      </c>
      <c r="G528" s="1">
        <v>46142</v>
      </c>
      <c r="H528">
        <v>77</v>
      </c>
      <c r="I528">
        <v>8</v>
      </c>
      <c r="J528">
        <v>0</v>
      </c>
      <c r="K528" t="str">
        <f t="shared" si="24"/>
        <v>Mar-2024</v>
      </c>
      <c r="L528" s="1">
        <f t="shared" ca="1" si="25"/>
        <v>16</v>
      </c>
      <c r="M528" t="str">
        <f t="shared" si="26"/>
        <v>36-45</v>
      </c>
    </row>
    <row r="529" spans="1:13" x14ac:dyDescent="0.2">
      <c r="A529" t="s">
        <v>1069</v>
      </c>
      <c r="B529" t="s">
        <v>1070</v>
      </c>
      <c r="C529">
        <v>33</v>
      </c>
      <c r="D529" t="s">
        <v>20</v>
      </c>
      <c r="E529" t="s">
        <v>17</v>
      </c>
      <c r="F529" s="1">
        <v>46061</v>
      </c>
      <c r="G529" s="1">
        <v>46044</v>
      </c>
      <c r="H529">
        <v>76</v>
      </c>
      <c r="I529">
        <v>2</v>
      </c>
      <c r="J529">
        <v>0</v>
      </c>
      <c r="K529" t="str">
        <f t="shared" si="24"/>
        <v>Feb-2026</v>
      </c>
      <c r="L529" s="1">
        <f t="shared" ca="1" si="25"/>
        <v>114</v>
      </c>
      <c r="M529" t="str">
        <f t="shared" si="26"/>
        <v>26-35</v>
      </c>
    </row>
    <row r="530" spans="1:13" x14ac:dyDescent="0.2">
      <c r="A530" t="s">
        <v>1071</v>
      </c>
      <c r="B530" t="s">
        <v>1072</v>
      </c>
      <c r="C530">
        <v>52</v>
      </c>
      <c r="D530" t="s">
        <v>16</v>
      </c>
      <c r="E530" t="s">
        <v>17</v>
      </c>
      <c r="F530" s="1">
        <v>45858</v>
      </c>
      <c r="G530" s="1">
        <v>46145</v>
      </c>
      <c r="H530">
        <v>78</v>
      </c>
      <c r="I530">
        <v>8</v>
      </c>
      <c r="J530">
        <v>0</v>
      </c>
      <c r="K530" t="str">
        <f t="shared" si="24"/>
        <v>Jul-2025</v>
      </c>
      <c r="L530" s="1">
        <f t="shared" ca="1" si="25"/>
        <v>13</v>
      </c>
      <c r="M530" t="str">
        <f t="shared" si="26"/>
        <v>46+</v>
      </c>
    </row>
    <row r="531" spans="1:13" x14ac:dyDescent="0.2">
      <c r="A531" t="s">
        <v>1073</v>
      </c>
      <c r="B531" t="s">
        <v>1074</v>
      </c>
      <c r="C531">
        <v>57</v>
      </c>
      <c r="D531" t="s">
        <v>20</v>
      </c>
      <c r="E531" t="s">
        <v>17</v>
      </c>
      <c r="F531" s="1">
        <v>45589</v>
      </c>
      <c r="G531" s="1">
        <v>46140</v>
      </c>
      <c r="H531">
        <v>73</v>
      </c>
      <c r="I531">
        <v>3</v>
      </c>
      <c r="J531">
        <v>0</v>
      </c>
      <c r="K531" t="str">
        <f t="shared" si="24"/>
        <v>Oct-2024</v>
      </c>
      <c r="L531" s="1">
        <f t="shared" ca="1" si="25"/>
        <v>18</v>
      </c>
      <c r="M531" t="str">
        <f t="shared" si="26"/>
        <v>46+</v>
      </c>
    </row>
    <row r="532" spans="1:13" x14ac:dyDescent="0.2">
      <c r="A532" t="s">
        <v>1075</v>
      </c>
      <c r="B532" t="s">
        <v>1076</v>
      </c>
      <c r="C532">
        <v>41</v>
      </c>
      <c r="D532" t="s">
        <v>12</v>
      </c>
      <c r="E532" t="s">
        <v>21</v>
      </c>
      <c r="F532" s="1">
        <v>45868</v>
      </c>
      <c r="G532" s="1">
        <v>46043</v>
      </c>
      <c r="H532">
        <v>58</v>
      </c>
      <c r="I532">
        <v>9</v>
      </c>
      <c r="J532">
        <v>0</v>
      </c>
      <c r="K532" t="str">
        <f t="shared" si="24"/>
        <v>Jul-2025</v>
      </c>
      <c r="L532" s="1">
        <f t="shared" ca="1" si="25"/>
        <v>115</v>
      </c>
      <c r="M532" t="str">
        <f t="shared" si="26"/>
        <v>36-45</v>
      </c>
    </row>
    <row r="533" spans="1:13" x14ac:dyDescent="0.2">
      <c r="A533" t="s">
        <v>1077</v>
      </c>
      <c r="B533" t="s">
        <v>1078</v>
      </c>
      <c r="C533">
        <v>38</v>
      </c>
      <c r="D533" t="s">
        <v>20</v>
      </c>
      <c r="E533" t="s">
        <v>21</v>
      </c>
      <c r="F533" s="1">
        <v>45519</v>
      </c>
      <c r="G533" s="1">
        <v>46146</v>
      </c>
      <c r="H533">
        <v>8</v>
      </c>
      <c r="I533">
        <v>7</v>
      </c>
      <c r="J533">
        <v>0</v>
      </c>
      <c r="K533" t="str">
        <f t="shared" si="24"/>
        <v>Aug-2024</v>
      </c>
      <c r="L533" s="1">
        <f t="shared" ca="1" si="25"/>
        <v>12</v>
      </c>
      <c r="M533" t="str">
        <f t="shared" si="26"/>
        <v>36-45</v>
      </c>
    </row>
    <row r="534" spans="1:13" x14ac:dyDescent="0.2">
      <c r="A534" t="s">
        <v>1079</v>
      </c>
      <c r="B534" t="s">
        <v>1080</v>
      </c>
      <c r="C534">
        <v>32</v>
      </c>
      <c r="D534" t="s">
        <v>16</v>
      </c>
      <c r="E534" t="s">
        <v>13</v>
      </c>
      <c r="F534" s="1">
        <v>46117</v>
      </c>
      <c r="G534" s="1">
        <v>46139</v>
      </c>
      <c r="H534">
        <v>5</v>
      </c>
      <c r="I534">
        <v>2</v>
      </c>
      <c r="J534">
        <v>1</v>
      </c>
      <c r="K534" t="str">
        <f t="shared" si="24"/>
        <v>Apr-2026</v>
      </c>
      <c r="L534" s="1">
        <f t="shared" ca="1" si="25"/>
        <v>19</v>
      </c>
      <c r="M534" t="str">
        <f t="shared" si="26"/>
        <v>26-35</v>
      </c>
    </row>
    <row r="535" spans="1:13" x14ac:dyDescent="0.2">
      <c r="A535" t="s">
        <v>1081</v>
      </c>
      <c r="B535" t="s">
        <v>1082</v>
      </c>
      <c r="C535">
        <v>34</v>
      </c>
      <c r="D535" t="s">
        <v>12</v>
      </c>
      <c r="E535" t="s">
        <v>21</v>
      </c>
      <c r="F535" s="1">
        <v>45682</v>
      </c>
      <c r="G535" s="1">
        <v>46038</v>
      </c>
      <c r="H535">
        <v>56</v>
      </c>
      <c r="I535">
        <v>3</v>
      </c>
      <c r="J535">
        <v>1</v>
      </c>
      <c r="K535" t="str">
        <f t="shared" si="24"/>
        <v>Jan-2025</v>
      </c>
      <c r="L535" s="1">
        <f t="shared" ca="1" si="25"/>
        <v>120</v>
      </c>
      <c r="M535" t="str">
        <f t="shared" si="26"/>
        <v>26-35</v>
      </c>
    </row>
    <row r="536" spans="1:13" x14ac:dyDescent="0.2">
      <c r="A536" t="s">
        <v>1083</v>
      </c>
      <c r="B536" t="s">
        <v>1084</v>
      </c>
      <c r="C536">
        <v>56</v>
      </c>
      <c r="D536" t="s">
        <v>16</v>
      </c>
      <c r="E536" t="s">
        <v>21</v>
      </c>
      <c r="F536" s="1">
        <v>45221</v>
      </c>
      <c r="G536" s="1">
        <v>46047</v>
      </c>
      <c r="H536">
        <v>48</v>
      </c>
      <c r="I536">
        <v>5</v>
      </c>
      <c r="J536">
        <v>0</v>
      </c>
      <c r="K536" t="str">
        <f t="shared" si="24"/>
        <v>Oct-2023</v>
      </c>
      <c r="L536" s="1">
        <f t="shared" ca="1" si="25"/>
        <v>111</v>
      </c>
      <c r="M536" t="str">
        <f t="shared" si="26"/>
        <v>46+</v>
      </c>
    </row>
    <row r="537" spans="1:13" x14ac:dyDescent="0.2">
      <c r="A537" t="s">
        <v>1085</v>
      </c>
      <c r="B537" t="s">
        <v>1086</v>
      </c>
      <c r="C537">
        <v>40</v>
      </c>
      <c r="D537" t="s">
        <v>20</v>
      </c>
      <c r="E537" t="s">
        <v>17</v>
      </c>
      <c r="F537" s="1">
        <v>45303</v>
      </c>
      <c r="G537" s="1">
        <v>46064</v>
      </c>
      <c r="H537">
        <v>75</v>
      </c>
      <c r="I537">
        <v>6</v>
      </c>
      <c r="J537">
        <v>0</v>
      </c>
      <c r="K537" t="str">
        <f t="shared" si="24"/>
        <v>Jan-2024</v>
      </c>
      <c r="L537" s="1">
        <f t="shared" ca="1" si="25"/>
        <v>94</v>
      </c>
      <c r="M537" t="str">
        <f t="shared" si="26"/>
        <v>36-45</v>
      </c>
    </row>
    <row r="538" spans="1:13" x14ac:dyDescent="0.2">
      <c r="A538" t="s">
        <v>1087</v>
      </c>
      <c r="B538" t="s">
        <v>1088</v>
      </c>
      <c r="C538">
        <v>23</v>
      </c>
      <c r="D538" t="s">
        <v>20</v>
      </c>
      <c r="E538" t="s">
        <v>17</v>
      </c>
      <c r="F538" s="1">
        <v>45794</v>
      </c>
      <c r="G538" s="1">
        <v>46107</v>
      </c>
      <c r="H538">
        <v>76</v>
      </c>
      <c r="I538">
        <v>3</v>
      </c>
      <c r="J538">
        <v>0</v>
      </c>
      <c r="K538" t="str">
        <f t="shared" si="24"/>
        <v>May-2025</v>
      </c>
      <c r="L538" s="1">
        <f t="shared" ca="1" si="25"/>
        <v>51</v>
      </c>
      <c r="M538" t="str">
        <f t="shared" si="26"/>
        <v>18-25</v>
      </c>
    </row>
    <row r="539" spans="1:13" x14ac:dyDescent="0.2">
      <c r="A539" t="s">
        <v>1089</v>
      </c>
      <c r="B539" t="s">
        <v>1090</v>
      </c>
      <c r="C539">
        <v>31</v>
      </c>
      <c r="D539" t="s">
        <v>20</v>
      </c>
      <c r="E539" t="s">
        <v>21</v>
      </c>
      <c r="F539" s="1">
        <v>45906</v>
      </c>
      <c r="G539" s="1">
        <v>46044</v>
      </c>
      <c r="H539">
        <v>80</v>
      </c>
      <c r="I539">
        <v>2</v>
      </c>
      <c r="J539">
        <v>1</v>
      </c>
      <c r="K539" t="str">
        <f t="shared" si="24"/>
        <v>Sep-2025</v>
      </c>
      <c r="L539" s="1">
        <f t="shared" ca="1" si="25"/>
        <v>114</v>
      </c>
      <c r="M539" t="str">
        <f t="shared" si="26"/>
        <v>26-35</v>
      </c>
    </row>
    <row r="540" spans="1:13" x14ac:dyDescent="0.2">
      <c r="A540" t="s">
        <v>1091</v>
      </c>
      <c r="B540" t="s">
        <v>1092</v>
      </c>
      <c r="C540">
        <v>59</v>
      </c>
      <c r="D540" t="s">
        <v>12</v>
      </c>
      <c r="E540" t="s">
        <v>17</v>
      </c>
      <c r="F540" s="1">
        <v>45661</v>
      </c>
      <c r="G540" s="1">
        <v>46109</v>
      </c>
      <c r="H540">
        <v>30</v>
      </c>
      <c r="I540">
        <v>10</v>
      </c>
      <c r="J540">
        <v>0</v>
      </c>
      <c r="K540" t="str">
        <f t="shared" si="24"/>
        <v>Jan-2025</v>
      </c>
      <c r="L540" s="1">
        <f t="shared" ca="1" si="25"/>
        <v>49</v>
      </c>
      <c r="M540" t="str">
        <f t="shared" si="26"/>
        <v>46+</v>
      </c>
    </row>
    <row r="541" spans="1:13" x14ac:dyDescent="0.2">
      <c r="A541" t="s">
        <v>1093</v>
      </c>
      <c r="B541" t="s">
        <v>1094</v>
      </c>
      <c r="C541">
        <v>50</v>
      </c>
      <c r="D541" t="s">
        <v>12</v>
      </c>
      <c r="E541" t="s">
        <v>21</v>
      </c>
      <c r="F541" s="1">
        <v>45459</v>
      </c>
      <c r="G541" s="1">
        <v>46056</v>
      </c>
      <c r="H541">
        <v>69</v>
      </c>
      <c r="I541">
        <v>6</v>
      </c>
      <c r="J541">
        <v>1</v>
      </c>
      <c r="K541" t="str">
        <f t="shared" si="24"/>
        <v>Jun-2024</v>
      </c>
      <c r="L541" s="1">
        <f t="shared" ca="1" si="25"/>
        <v>102</v>
      </c>
      <c r="M541" t="str">
        <f t="shared" si="26"/>
        <v>46+</v>
      </c>
    </row>
    <row r="542" spans="1:13" x14ac:dyDescent="0.2">
      <c r="A542" t="s">
        <v>1095</v>
      </c>
      <c r="B542" t="s">
        <v>1096</v>
      </c>
      <c r="C542">
        <v>45</v>
      </c>
      <c r="D542" t="s">
        <v>12</v>
      </c>
      <c r="E542" t="s">
        <v>13</v>
      </c>
      <c r="F542" s="1">
        <v>45837</v>
      </c>
      <c r="G542" s="1">
        <v>46111</v>
      </c>
      <c r="H542">
        <v>34</v>
      </c>
      <c r="I542">
        <v>6</v>
      </c>
      <c r="J542">
        <v>0</v>
      </c>
      <c r="K542" t="str">
        <f t="shared" si="24"/>
        <v>Jun-2025</v>
      </c>
      <c r="L542" s="1">
        <f t="shared" ca="1" si="25"/>
        <v>47</v>
      </c>
      <c r="M542" t="str">
        <f t="shared" si="26"/>
        <v>36-45</v>
      </c>
    </row>
    <row r="543" spans="1:13" x14ac:dyDescent="0.2">
      <c r="A543" t="s">
        <v>1097</v>
      </c>
      <c r="B543" t="s">
        <v>1098</v>
      </c>
      <c r="C543">
        <v>40</v>
      </c>
      <c r="D543" t="s">
        <v>20</v>
      </c>
      <c r="E543" t="s">
        <v>17</v>
      </c>
      <c r="F543" s="1">
        <v>45557</v>
      </c>
      <c r="G543" s="1">
        <v>46130</v>
      </c>
      <c r="H543">
        <v>11</v>
      </c>
      <c r="I543">
        <v>6</v>
      </c>
      <c r="J543">
        <v>0</v>
      </c>
      <c r="K543" t="str">
        <f t="shared" si="24"/>
        <v>Sep-2024</v>
      </c>
      <c r="L543" s="1">
        <f t="shared" ca="1" si="25"/>
        <v>28</v>
      </c>
      <c r="M543" t="str">
        <f t="shared" si="26"/>
        <v>36-45</v>
      </c>
    </row>
    <row r="544" spans="1:13" x14ac:dyDescent="0.2">
      <c r="A544" t="s">
        <v>1099</v>
      </c>
      <c r="B544" t="s">
        <v>1100</v>
      </c>
      <c r="C544">
        <v>38</v>
      </c>
      <c r="D544" t="s">
        <v>12</v>
      </c>
      <c r="E544" t="s">
        <v>17</v>
      </c>
      <c r="F544" s="1">
        <v>45693</v>
      </c>
      <c r="G544" s="1">
        <v>46128</v>
      </c>
      <c r="H544">
        <v>68</v>
      </c>
      <c r="I544">
        <v>9</v>
      </c>
      <c r="J544">
        <v>0</v>
      </c>
      <c r="K544" t="str">
        <f t="shared" si="24"/>
        <v>Feb-2025</v>
      </c>
      <c r="L544" s="1">
        <f t="shared" ca="1" si="25"/>
        <v>30</v>
      </c>
      <c r="M544" t="str">
        <f t="shared" si="26"/>
        <v>36-45</v>
      </c>
    </row>
    <row r="545" spans="1:13" x14ac:dyDescent="0.2">
      <c r="A545" t="s">
        <v>1101</v>
      </c>
      <c r="B545" t="s">
        <v>1102</v>
      </c>
      <c r="C545">
        <v>35</v>
      </c>
      <c r="D545" t="s">
        <v>16</v>
      </c>
      <c r="E545" t="s">
        <v>13</v>
      </c>
      <c r="F545" s="1">
        <v>45577</v>
      </c>
      <c r="G545" s="1">
        <v>46065</v>
      </c>
      <c r="H545">
        <v>22</v>
      </c>
      <c r="I545">
        <v>6</v>
      </c>
      <c r="J545">
        <v>1</v>
      </c>
      <c r="K545" t="str">
        <f t="shared" si="24"/>
        <v>Oct-2024</v>
      </c>
      <c r="L545" s="1">
        <f t="shared" ca="1" si="25"/>
        <v>93</v>
      </c>
      <c r="M545" t="str">
        <f t="shared" si="26"/>
        <v>26-35</v>
      </c>
    </row>
    <row r="546" spans="1:13" x14ac:dyDescent="0.2">
      <c r="A546" t="s">
        <v>1103</v>
      </c>
      <c r="B546" t="s">
        <v>1104</v>
      </c>
      <c r="C546">
        <v>31</v>
      </c>
      <c r="D546" t="s">
        <v>16</v>
      </c>
      <c r="E546" t="s">
        <v>21</v>
      </c>
      <c r="F546" s="1">
        <v>45664</v>
      </c>
      <c r="G546" s="1">
        <v>46059</v>
      </c>
      <c r="H546">
        <v>70</v>
      </c>
      <c r="I546">
        <v>7</v>
      </c>
      <c r="J546">
        <v>1</v>
      </c>
      <c r="K546" t="str">
        <f t="shared" si="24"/>
        <v>Jan-2025</v>
      </c>
      <c r="L546" s="1">
        <f t="shared" ca="1" si="25"/>
        <v>99</v>
      </c>
      <c r="M546" t="str">
        <f t="shared" si="26"/>
        <v>26-35</v>
      </c>
    </row>
    <row r="547" spans="1:13" x14ac:dyDescent="0.2">
      <c r="A547" t="s">
        <v>1105</v>
      </c>
      <c r="B547" t="s">
        <v>1106</v>
      </c>
      <c r="C547">
        <v>18</v>
      </c>
      <c r="D547" t="s">
        <v>12</v>
      </c>
      <c r="E547" t="s">
        <v>17</v>
      </c>
      <c r="F547" s="1">
        <v>45198</v>
      </c>
      <c r="G547" s="1">
        <v>46146</v>
      </c>
      <c r="H547">
        <v>80</v>
      </c>
      <c r="I547">
        <v>2</v>
      </c>
      <c r="J547">
        <v>0</v>
      </c>
      <c r="K547" t="str">
        <f t="shared" si="24"/>
        <v>Sep-2023</v>
      </c>
      <c r="L547" s="1">
        <f t="shared" ca="1" si="25"/>
        <v>12</v>
      </c>
      <c r="M547" t="str">
        <f t="shared" si="26"/>
        <v>18-25</v>
      </c>
    </row>
    <row r="548" spans="1:13" x14ac:dyDescent="0.2">
      <c r="A548" t="s">
        <v>1107</v>
      </c>
      <c r="B548" t="s">
        <v>1108</v>
      </c>
      <c r="C548">
        <v>29</v>
      </c>
      <c r="D548" t="s">
        <v>16</v>
      </c>
      <c r="E548" t="s">
        <v>17</v>
      </c>
      <c r="F548" s="1">
        <v>45244</v>
      </c>
      <c r="G548" s="1">
        <v>46076</v>
      </c>
      <c r="H548">
        <v>29</v>
      </c>
      <c r="I548">
        <v>3</v>
      </c>
      <c r="J548">
        <v>1</v>
      </c>
      <c r="K548" t="str">
        <f t="shared" si="24"/>
        <v>Nov-2023</v>
      </c>
      <c r="L548" s="1">
        <f t="shared" ca="1" si="25"/>
        <v>82</v>
      </c>
      <c r="M548" t="str">
        <f t="shared" si="26"/>
        <v>26-35</v>
      </c>
    </row>
    <row r="549" spans="1:13" x14ac:dyDescent="0.2">
      <c r="A549" t="s">
        <v>1109</v>
      </c>
      <c r="B549" t="s">
        <v>1110</v>
      </c>
      <c r="C549">
        <v>51</v>
      </c>
      <c r="D549" t="s">
        <v>20</v>
      </c>
      <c r="E549" t="s">
        <v>17</v>
      </c>
      <c r="F549" s="1">
        <v>45153</v>
      </c>
      <c r="G549" s="1">
        <v>46081</v>
      </c>
      <c r="H549">
        <v>68</v>
      </c>
      <c r="I549">
        <v>8</v>
      </c>
      <c r="J549">
        <v>1</v>
      </c>
      <c r="K549" t="str">
        <f t="shared" si="24"/>
        <v>Aug-2023</v>
      </c>
      <c r="L549" s="1">
        <f t="shared" ca="1" si="25"/>
        <v>77</v>
      </c>
      <c r="M549" t="str">
        <f t="shared" si="26"/>
        <v>46+</v>
      </c>
    </row>
    <row r="550" spans="1:13" x14ac:dyDescent="0.2">
      <c r="A550" t="s">
        <v>1111</v>
      </c>
      <c r="B550" t="s">
        <v>1112</v>
      </c>
      <c r="C550">
        <v>35</v>
      </c>
      <c r="D550" t="s">
        <v>12</v>
      </c>
      <c r="E550" t="s">
        <v>21</v>
      </c>
      <c r="F550" s="1">
        <v>45438</v>
      </c>
      <c r="G550" s="1">
        <v>46052</v>
      </c>
      <c r="H550">
        <v>33</v>
      </c>
      <c r="I550">
        <v>5</v>
      </c>
      <c r="J550">
        <v>0</v>
      </c>
      <c r="K550" t="str">
        <f t="shared" si="24"/>
        <v>May-2024</v>
      </c>
      <c r="L550" s="1">
        <f t="shared" ca="1" si="25"/>
        <v>106</v>
      </c>
      <c r="M550" t="str">
        <f t="shared" si="26"/>
        <v>26-35</v>
      </c>
    </row>
    <row r="551" spans="1:13" x14ac:dyDescent="0.2">
      <c r="A551" t="s">
        <v>1113</v>
      </c>
      <c r="B551" t="s">
        <v>1114</v>
      </c>
      <c r="C551">
        <v>54</v>
      </c>
      <c r="D551" t="s">
        <v>12</v>
      </c>
      <c r="E551" t="s">
        <v>13</v>
      </c>
      <c r="F551" s="1">
        <v>45369</v>
      </c>
      <c r="G551" s="1">
        <v>46052</v>
      </c>
      <c r="H551">
        <v>73</v>
      </c>
      <c r="I551">
        <v>1</v>
      </c>
      <c r="J551">
        <v>1</v>
      </c>
      <c r="K551" t="str">
        <f t="shared" si="24"/>
        <v>Mar-2024</v>
      </c>
      <c r="L551" s="1">
        <f t="shared" ca="1" si="25"/>
        <v>106</v>
      </c>
      <c r="M551" t="str">
        <f t="shared" si="26"/>
        <v>46+</v>
      </c>
    </row>
    <row r="552" spans="1:13" x14ac:dyDescent="0.2">
      <c r="A552" t="s">
        <v>1115</v>
      </c>
      <c r="B552" t="s">
        <v>1116</v>
      </c>
      <c r="C552">
        <v>43</v>
      </c>
      <c r="D552" t="s">
        <v>16</v>
      </c>
      <c r="E552" t="s">
        <v>17</v>
      </c>
      <c r="F552" s="1">
        <v>45362</v>
      </c>
      <c r="G552" s="1">
        <v>46142</v>
      </c>
      <c r="H552">
        <v>77</v>
      </c>
      <c r="I552">
        <v>8</v>
      </c>
      <c r="J552">
        <v>0</v>
      </c>
      <c r="K552" t="str">
        <f t="shared" si="24"/>
        <v>Mar-2024</v>
      </c>
      <c r="L552" s="1">
        <f t="shared" ca="1" si="25"/>
        <v>16</v>
      </c>
      <c r="M552" t="str">
        <f t="shared" si="26"/>
        <v>36-45</v>
      </c>
    </row>
    <row r="553" spans="1:13" x14ac:dyDescent="0.2">
      <c r="A553" t="s">
        <v>1117</v>
      </c>
      <c r="B553" t="s">
        <v>1118</v>
      </c>
      <c r="C553">
        <v>36</v>
      </c>
      <c r="D553" t="s">
        <v>12</v>
      </c>
      <c r="E553" t="s">
        <v>17</v>
      </c>
      <c r="F553" s="1">
        <v>46076</v>
      </c>
      <c r="G553" s="1">
        <v>46149</v>
      </c>
      <c r="H553">
        <v>45</v>
      </c>
      <c r="I553">
        <v>2</v>
      </c>
      <c r="J553">
        <v>1</v>
      </c>
      <c r="K553" t="str">
        <f t="shared" si="24"/>
        <v>Feb-2026</v>
      </c>
      <c r="L553" s="1">
        <f t="shared" ca="1" si="25"/>
        <v>9</v>
      </c>
      <c r="M553" t="str">
        <f t="shared" si="26"/>
        <v>36-45</v>
      </c>
    </row>
    <row r="554" spans="1:13" x14ac:dyDescent="0.2">
      <c r="A554" t="s">
        <v>1119</v>
      </c>
      <c r="B554" t="s">
        <v>1120</v>
      </c>
      <c r="C554">
        <v>22</v>
      </c>
      <c r="D554" t="s">
        <v>20</v>
      </c>
      <c r="E554" t="s">
        <v>13</v>
      </c>
      <c r="F554" s="1">
        <v>45241</v>
      </c>
      <c r="G554" s="1">
        <v>46137</v>
      </c>
      <c r="H554">
        <v>4</v>
      </c>
      <c r="I554">
        <v>1</v>
      </c>
      <c r="J554">
        <v>0</v>
      </c>
      <c r="K554" t="str">
        <f t="shared" si="24"/>
        <v>Nov-2023</v>
      </c>
      <c r="L554" s="1">
        <f t="shared" ca="1" si="25"/>
        <v>21</v>
      </c>
      <c r="M554" t="str">
        <f t="shared" si="26"/>
        <v>18-25</v>
      </c>
    </row>
    <row r="555" spans="1:13" x14ac:dyDescent="0.2">
      <c r="A555" t="s">
        <v>1121</v>
      </c>
      <c r="B555" t="s">
        <v>1122</v>
      </c>
      <c r="C555">
        <v>49</v>
      </c>
      <c r="D555" t="s">
        <v>16</v>
      </c>
      <c r="E555" t="s">
        <v>21</v>
      </c>
      <c r="F555" s="1">
        <v>45948</v>
      </c>
      <c r="G555" s="1">
        <v>46149</v>
      </c>
      <c r="H555">
        <v>57</v>
      </c>
      <c r="I555">
        <v>3</v>
      </c>
      <c r="J555">
        <v>0</v>
      </c>
      <c r="K555" t="str">
        <f t="shared" si="24"/>
        <v>Oct-2025</v>
      </c>
      <c r="L555" s="1">
        <f t="shared" ca="1" si="25"/>
        <v>9</v>
      </c>
      <c r="M555" t="str">
        <f t="shared" si="26"/>
        <v>46+</v>
      </c>
    </row>
    <row r="556" spans="1:13" x14ac:dyDescent="0.2">
      <c r="A556" t="s">
        <v>1123</v>
      </c>
      <c r="B556" t="s">
        <v>1124</v>
      </c>
      <c r="C556">
        <v>44</v>
      </c>
      <c r="D556" t="s">
        <v>20</v>
      </c>
      <c r="E556" t="s">
        <v>17</v>
      </c>
      <c r="F556" s="1">
        <v>46014</v>
      </c>
      <c r="G556" s="1">
        <v>46126</v>
      </c>
      <c r="H556">
        <v>12</v>
      </c>
      <c r="I556">
        <v>5</v>
      </c>
      <c r="J556">
        <v>0</v>
      </c>
      <c r="K556" t="str">
        <f t="shared" si="24"/>
        <v>Dec-2025</v>
      </c>
      <c r="L556" s="1">
        <f t="shared" ca="1" si="25"/>
        <v>32</v>
      </c>
      <c r="M556" t="str">
        <f t="shared" si="26"/>
        <v>36-45</v>
      </c>
    </row>
    <row r="557" spans="1:13" x14ac:dyDescent="0.2">
      <c r="A557" t="s">
        <v>1125</v>
      </c>
      <c r="B557" t="s">
        <v>1126</v>
      </c>
      <c r="C557">
        <v>60</v>
      </c>
      <c r="D557" t="s">
        <v>16</v>
      </c>
      <c r="E557" t="s">
        <v>17</v>
      </c>
      <c r="F557" s="1">
        <v>45704</v>
      </c>
      <c r="G557" s="1">
        <v>46061</v>
      </c>
      <c r="H557">
        <v>49</v>
      </c>
      <c r="I557">
        <v>6</v>
      </c>
      <c r="J557">
        <v>0</v>
      </c>
      <c r="K557" t="str">
        <f t="shared" si="24"/>
        <v>Feb-2025</v>
      </c>
      <c r="L557" s="1">
        <f t="shared" ca="1" si="25"/>
        <v>97</v>
      </c>
      <c r="M557" t="str">
        <f t="shared" si="26"/>
        <v>46+</v>
      </c>
    </row>
    <row r="558" spans="1:13" x14ac:dyDescent="0.2">
      <c r="A558" t="s">
        <v>1127</v>
      </c>
      <c r="B558" t="s">
        <v>1128</v>
      </c>
      <c r="C558">
        <v>41</v>
      </c>
      <c r="D558" t="s">
        <v>12</v>
      </c>
      <c r="E558" t="s">
        <v>13</v>
      </c>
      <c r="F558" s="1">
        <v>45856</v>
      </c>
      <c r="G558" s="1">
        <v>46089</v>
      </c>
      <c r="H558">
        <v>70</v>
      </c>
      <c r="I558">
        <v>9</v>
      </c>
      <c r="J558">
        <v>0</v>
      </c>
      <c r="K558" t="str">
        <f t="shared" si="24"/>
        <v>Jul-2025</v>
      </c>
      <c r="L558" s="1">
        <f t="shared" ca="1" si="25"/>
        <v>69</v>
      </c>
      <c r="M558" t="str">
        <f t="shared" si="26"/>
        <v>36-45</v>
      </c>
    </row>
    <row r="559" spans="1:13" x14ac:dyDescent="0.2">
      <c r="A559" t="s">
        <v>1129</v>
      </c>
      <c r="B559" t="s">
        <v>1130</v>
      </c>
      <c r="C559">
        <v>20</v>
      </c>
      <c r="D559" t="s">
        <v>20</v>
      </c>
      <c r="E559" t="s">
        <v>21</v>
      </c>
      <c r="F559" s="1">
        <v>45968</v>
      </c>
      <c r="G559" s="1">
        <v>46062</v>
      </c>
      <c r="H559">
        <v>12</v>
      </c>
      <c r="I559">
        <v>2</v>
      </c>
      <c r="J559">
        <v>1</v>
      </c>
      <c r="K559" t="str">
        <f t="shared" si="24"/>
        <v>Nov-2025</v>
      </c>
      <c r="L559" s="1">
        <f t="shared" ca="1" si="25"/>
        <v>96</v>
      </c>
      <c r="M559" t="str">
        <f t="shared" si="26"/>
        <v>18-25</v>
      </c>
    </row>
    <row r="560" spans="1:13" x14ac:dyDescent="0.2">
      <c r="A560" t="s">
        <v>1131</v>
      </c>
      <c r="B560" t="s">
        <v>1132</v>
      </c>
      <c r="C560">
        <v>49</v>
      </c>
      <c r="D560" t="s">
        <v>16</v>
      </c>
      <c r="E560" t="s">
        <v>13</v>
      </c>
      <c r="F560" s="1">
        <v>46013</v>
      </c>
      <c r="G560" s="1">
        <v>46139</v>
      </c>
      <c r="H560">
        <v>55</v>
      </c>
      <c r="I560">
        <v>8</v>
      </c>
      <c r="J560">
        <v>0</v>
      </c>
      <c r="K560" t="str">
        <f t="shared" si="24"/>
        <v>Dec-2025</v>
      </c>
      <c r="L560" s="1">
        <f t="shared" ca="1" si="25"/>
        <v>19</v>
      </c>
      <c r="M560" t="str">
        <f t="shared" si="26"/>
        <v>46+</v>
      </c>
    </row>
    <row r="561" spans="1:13" x14ac:dyDescent="0.2">
      <c r="A561" t="s">
        <v>1133</v>
      </c>
      <c r="B561" t="s">
        <v>1134</v>
      </c>
      <c r="C561">
        <v>38</v>
      </c>
      <c r="D561" t="s">
        <v>16</v>
      </c>
      <c r="E561" t="s">
        <v>21</v>
      </c>
      <c r="F561" s="1">
        <v>45384</v>
      </c>
      <c r="G561" s="1">
        <v>46073</v>
      </c>
      <c r="H561">
        <v>37</v>
      </c>
      <c r="I561">
        <v>6</v>
      </c>
      <c r="J561">
        <v>1</v>
      </c>
      <c r="K561" t="str">
        <f t="shared" si="24"/>
        <v>Apr-2024</v>
      </c>
      <c r="L561" s="1">
        <f t="shared" ca="1" si="25"/>
        <v>85</v>
      </c>
      <c r="M561" t="str">
        <f t="shared" si="26"/>
        <v>36-45</v>
      </c>
    </row>
    <row r="562" spans="1:13" x14ac:dyDescent="0.2">
      <c r="A562" t="s">
        <v>1135</v>
      </c>
      <c r="B562" t="s">
        <v>1136</v>
      </c>
      <c r="C562">
        <v>40</v>
      </c>
      <c r="D562" t="s">
        <v>20</v>
      </c>
      <c r="E562" t="s">
        <v>21</v>
      </c>
      <c r="F562" s="1">
        <v>45970</v>
      </c>
      <c r="G562" s="1">
        <v>46112</v>
      </c>
      <c r="H562">
        <v>34</v>
      </c>
      <c r="I562">
        <v>5</v>
      </c>
      <c r="J562">
        <v>1</v>
      </c>
      <c r="K562" t="str">
        <f t="shared" si="24"/>
        <v>Nov-2025</v>
      </c>
      <c r="L562" s="1">
        <f t="shared" ca="1" si="25"/>
        <v>46</v>
      </c>
      <c r="M562" t="str">
        <f t="shared" si="26"/>
        <v>36-45</v>
      </c>
    </row>
    <row r="563" spans="1:13" x14ac:dyDescent="0.2">
      <c r="A563" t="s">
        <v>1137</v>
      </c>
      <c r="B563" t="s">
        <v>1138</v>
      </c>
      <c r="C563">
        <v>44</v>
      </c>
      <c r="D563" t="s">
        <v>20</v>
      </c>
      <c r="E563" t="s">
        <v>17</v>
      </c>
      <c r="F563" s="1">
        <v>46118</v>
      </c>
      <c r="G563" s="1">
        <v>46099</v>
      </c>
      <c r="H563">
        <v>14</v>
      </c>
      <c r="I563">
        <v>8</v>
      </c>
      <c r="J563">
        <v>0</v>
      </c>
      <c r="K563" t="str">
        <f t="shared" si="24"/>
        <v>Apr-2026</v>
      </c>
      <c r="L563" s="1">
        <f t="shared" ca="1" si="25"/>
        <v>59</v>
      </c>
      <c r="M563" t="str">
        <f t="shared" si="26"/>
        <v>36-45</v>
      </c>
    </row>
    <row r="564" spans="1:13" x14ac:dyDescent="0.2">
      <c r="A564" t="s">
        <v>1139</v>
      </c>
      <c r="B564" t="s">
        <v>1140</v>
      </c>
      <c r="C564">
        <v>58</v>
      </c>
      <c r="D564" t="s">
        <v>16</v>
      </c>
      <c r="E564" t="s">
        <v>13</v>
      </c>
      <c r="F564" s="1">
        <v>45844</v>
      </c>
      <c r="G564" s="1">
        <v>46040</v>
      </c>
      <c r="H564">
        <v>49</v>
      </c>
      <c r="I564">
        <v>1</v>
      </c>
      <c r="J564">
        <v>0</v>
      </c>
      <c r="K564" t="str">
        <f t="shared" si="24"/>
        <v>Jul-2025</v>
      </c>
      <c r="L564" s="1">
        <f t="shared" ca="1" si="25"/>
        <v>118</v>
      </c>
      <c r="M564" t="str">
        <f t="shared" si="26"/>
        <v>46+</v>
      </c>
    </row>
    <row r="565" spans="1:13" x14ac:dyDescent="0.2">
      <c r="A565" t="s">
        <v>1141</v>
      </c>
      <c r="B565" t="s">
        <v>1142</v>
      </c>
      <c r="C565">
        <v>48</v>
      </c>
      <c r="D565" t="s">
        <v>12</v>
      </c>
      <c r="E565" t="s">
        <v>21</v>
      </c>
      <c r="F565" s="1">
        <v>45547</v>
      </c>
      <c r="G565" s="1">
        <v>46132</v>
      </c>
      <c r="H565">
        <v>70</v>
      </c>
      <c r="I565">
        <v>3</v>
      </c>
      <c r="J565">
        <v>0</v>
      </c>
      <c r="K565" t="str">
        <f t="shared" si="24"/>
        <v>Sep-2024</v>
      </c>
      <c r="L565" s="1">
        <f t="shared" ca="1" si="25"/>
        <v>26</v>
      </c>
      <c r="M565" t="str">
        <f t="shared" si="26"/>
        <v>46+</v>
      </c>
    </row>
    <row r="566" spans="1:13" x14ac:dyDescent="0.2">
      <c r="A566" t="s">
        <v>1143</v>
      </c>
      <c r="B566" t="s">
        <v>1144</v>
      </c>
      <c r="C566">
        <v>59</v>
      </c>
      <c r="D566" t="s">
        <v>12</v>
      </c>
      <c r="E566" t="s">
        <v>17</v>
      </c>
      <c r="F566" s="1">
        <v>45788</v>
      </c>
      <c r="G566" s="1">
        <v>46144</v>
      </c>
      <c r="H566">
        <v>61</v>
      </c>
      <c r="I566">
        <v>3</v>
      </c>
      <c r="J566">
        <v>1</v>
      </c>
      <c r="K566" t="str">
        <f t="shared" si="24"/>
        <v>May-2025</v>
      </c>
      <c r="L566" s="1">
        <f t="shared" ca="1" si="25"/>
        <v>14</v>
      </c>
      <c r="M566" t="str">
        <f t="shared" si="26"/>
        <v>46+</v>
      </c>
    </row>
    <row r="567" spans="1:13" x14ac:dyDescent="0.2">
      <c r="A567" t="s">
        <v>1145</v>
      </c>
      <c r="B567" t="s">
        <v>1146</v>
      </c>
      <c r="C567">
        <v>34</v>
      </c>
      <c r="D567" t="s">
        <v>12</v>
      </c>
      <c r="E567" t="s">
        <v>21</v>
      </c>
      <c r="F567" s="1">
        <v>45201</v>
      </c>
      <c r="G567" s="1">
        <v>46127</v>
      </c>
      <c r="H567">
        <v>3</v>
      </c>
      <c r="I567">
        <v>8</v>
      </c>
      <c r="J567">
        <v>0</v>
      </c>
      <c r="K567" t="str">
        <f t="shared" si="24"/>
        <v>Oct-2023</v>
      </c>
      <c r="L567" s="1">
        <f t="shared" ca="1" si="25"/>
        <v>31</v>
      </c>
      <c r="M567" t="str">
        <f t="shared" si="26"/>
        <v>26-35</v>
      </c>
    </row>
    <row r="568" spans="1:13" x14ac:dyDescent="0.2">
      <c r="A568" t="s">
        <v>1147</v>
      </c>
      <c r="B568" t="s">
        <v>1148</v>
      </c>
      <c r="C568">
        <v>59</v>
      </c>
      <c r="D568" t="s">
        <v>16</v>
      </c>
      <c r="E568" t="s">
        <v>21</v>
      </c>
      <c r="F568" s="1">
        <v>45208</v>
      </c>
      <c r="G568" s="1">
        <v>46111</v>
      </c>
      <c r="H568">
        <v>8</v>
      </c>
      <c r="I568">
        <v>9</v>
      </c>
      <c r="J568">
        <v>0</v>
      </c>
      <c r="K568" t="str">
        <f t="shared" si="24"/>
        <v>Oct-2023</v>
      </c>
      <c r="L568" s="1">
        <f t="shared" ca="1" si="25"/>
        <v>47</v>
      </c>
      <c r="M568" t="str">
        <f t="shared" si="26"/>
        <v>46+</v>
      </c>
    </row>
    <row r="569" spans="1:13" x14ac:dyDescent="0.2">
      <c r="A569" t="s">
        <v>1149</v>
      </c>
      <c r="B569" t="s">
        <v>1150</v>
      </c>
      <c r="C569">
        <v>57</v>
      </c>
      <c r="D569" t="s">
        <v>12</v>
      </c>
      <c r="E569" t="s">
        <v>21</v>
      </c>
      <c r="F569" s="1">
        <v>45467</v>
      </c>
      <c r="G569" s="1">
        <v>46041</v>
      </c>
      <c r="H569">
        <v>14</v>
      </c>
      <c r="I569">
        <v>6</v>
      </c>
      <c r="J569">
        <v>1</v>
      </c>
      <c r="K569" t="str">
        <f t="shared" si="24"/>
        <v>Jun-2024</v>
      </c>
      <c r="L569" s="1">
        <f t="shared" ca="1" si="25"/>
        <v>117</v>
      </c>
      <c r="M569" t="str">
        <f t="shared" si="26"/>
        <v>46+</v>
      </c>
    </row>
    <row r="570" spans="1:13" x14ac:dyDescent="0.2">
      <c r="A570" t="s">
        <v>1151</v>
      </c>
      <c r="B570" t="s">
        <v>1152</v>
      </c>
      <c r="C570">
        <v>60</v>
      </c>
      <c r="D570" t="s">
        <v>16</v>
      </c>
      <c r="E570" t="s">
        <v>21</v>
      </c>
      <c r="F570" s="1">
        <v>45234</v>
      </c>
      <c r="G570" s="1">
        <v>46110</v>
      </c>
      <c r="H570">
        <v>14</v>
      </c>
      <c r="I570">
        <v>7</v>
      </c>
      <c r="J570">
        <v>0</v>
      </c>
      <c r="K570" t="str">
        <f t="shared" si="24"/>
        <v>Nov-2023</v>
      </c>
      <c r="L570" s="1">
        <f t="shared" ca="1" si="25"/>
        <v>48</v>
      </c>
      <c r="M570" t="str">
        <f t="shared" si="26"/>
        <v>46+</v>
      </c>
    </row>
    <row r="571" spans="1:13" x14ac:dyDescent="0.2">
      <c r="A571" t="s">
        <v>1153</v>
      </c>
      <c r="B571" t="s">
        <v>1154</v>
      </c>
      <c r="C571">
        <v>57</v>
      </c>
      <c r="D571" t="s">
        <v>16</v>
      </c>
      <c r="E571" t="s">
        <v>17</v>
      </c>
      <c r="F571" s="1">
        <v>45756</v>
      </c>
      <c r="G571" s="1">
        <v>46073</v>
      </c>
      <c r="H571">
        <v>74</v>
      </c>
      <c r="I571">
        <v>7</v>
      </c>
      <c r="J571">
        <v>1</v>
      </c>
      <c r="K571" t="str">
        <f t="shared" si="24"/>
        <v>Apr-2025</v>
      </c>
      <c r="L571" s="1">
        <f t="shared" ca="1" si="25"/>
        <v>85</v>
      </c>
      <c r="M571" t="str">
        <f t="shared" si="26"/>
        <v>46+</v>
      </c>
    </row>
    <row r="572" spans="1:13" x14ac:dyDescent="0.2">
      <c r="A572" t="s">
        <v>1155</v>
      </c>
      <c r="B572" t="s">
        <v>1156</v>
      </c>
      <c r="C572">
        <v>39</v>
      </c>
      <c r="D572" t="s">
        <v>16</v>
      </c>
      <c r="E572" t="s">
        <v>21</v>
      </c>
      <c r="F572" s="1">
        <v>45932</v>
      </c>
      <c r="G572" s="1">
        <v>46073</v>
      </c>
      <c r="H572">
        <v>72</v>
      </c>
      <c r="I572">
        <v>4</v>
      </c>
      <c r="J572">
        <v>1</v>
      </c>
      <c r="K572" t="str">
        <f t="shared" si="24"/>
        <v>Oct-2025</v>
      </c>
      <c r="L572" s="1">
        <f t="shared" ca="1" si="25"/>
        <v>85</v>
      </c>
      <c r="M572" t="str">
        <f t="shared" si="26"/>
        <v>36-45</v>
      </c>
    </row>
    <row r="573" spans="1:13" x14ac:dyDescent="0.2">
      <c r="A573" t="s">
        <v>1157</v>
      </c>
      <c r="B573" t="s">
        <v>1158</v>
      </c>
      <c r="C573">
        <v>18</v>
      </c>
      <c r="D573" t="s">
        <v>20</v>
      </c>
      <c r="E573" t="s">
        <v>17</v>
      </c>
      <c r="F573" s="1">
        <v>45385</v>
      </c>
      <c r="G573" s="1">
        <v>46127</v>
      </c>
      <c r="H573">
        <v>71</v>
      </c>
      <c r="I573">
        <v>2</v>
      </c>
      <c r="J573">
        <v>1</v>
      </c>
      <c r="K573" t="str">
        <f t="shared" si="24"/>
        <v>Apr-2024</v>
      </c>
      <c r="L573" s="1">
        <f t="shared" ca="1" si="25"/>
        <v>31</v>
      </c>
      <c r="M573" t="str">
        <f t="shared" si="26"/>
        <v>18-25</v>
      </c>
    </row>
    <row r="574" spans="1:13" x14ac:dyDescent="0.2">
      <c r="A574" t="s">
        <v>1159</v>
      </c>
      <c r="B574" t="s">
        <v>1160</v>
      </c>
      <c r="C574">
        <v>59</v>
      </c>
      <c r="D574" t="s">
        <v>12</v>
      </c>
      <c r="E574" t="s">
        <v>21</v>
      </c>
      <c r="F574" s="1">
        <v>45950</v>
      </c>
      <c r="G574" s="1">
        <v>46091</v>
      </c>
      <c r="H574">
        <v>56</v>
      </c>
      <c r="I574">
        <v>6</v>
      </c>
      <c r="J574">
        <v>0</v>
      </c>
      <c r="K574" t="str">
        <f t="shared" si="24"/>
        <v>Oct-2025</v>
      </c>
      <c r="L574" s="1">
        <f t="shared" ca="1" si="25"/>
        <v>67</v>
      </c>
      <c r="M574" t="str">
        <f t="shared" si="26"/>
        <v>46+</v>
      </c>
    </row>
    <row r="575" spans="1:13" x14ac:dyDescent="0.2">
      <c r="A575" t="s">
        <v>1161</v>
      </c>
      <c r="B575" t="s">
        <v>1162</v>
      </c>
      <c r="C575">
        <v>19</v>
      </c>
      <c r="D575" t="s">
        <v>12</v>
      </c>
      <c r="E575" t="s">
        <v>21</v>
      </c>
      <c r="F575" s="1">
        <v>45233</v>
      </c>
      <c r="G575" s="1">
        <v>46117</v>
      </c>
      <c r="H575">
        <v>28</v>
      </c>
      <c r="I575">
        <v>7</v>
      </c>
      <c r="J575">
        <v>1</v>
      </c>
      <c r="K575" t="str">
        <f t="shared" si="24"/>
        <v>Nov-2023</v>
      </c>
      <c r="L575" s="1">
        <f t="shared" ca="1" si="25"/>
        <v>41</v>
      </c>
      <c r="M575" t="str">
        <f t="shared" si="26"/>
        <v>18-25</v>
      </c>
    </row>
    <row r="576" spans="1:13" x14ac:dyDescent="0.2">
      <c r="A576" t="s">
        <v>1163</v>
      </c>
      <c r="B576" t="s">
        <v>1164</v>
      </c>
      <c r="C576">
        <v>47</v>
      </c>
      <c r="D576" t="s">
        <v>16</v>
      </c>
      <c r="E576" t="s">
        <v>21</v>
      </c>
      <c r="F576" s="1">
        <v>45373</v>
      </c>
      <c r="G576" s="1">
        <v>46031</v>
      </c>
      <c r="H576">
        <v>35</v>
      </c>
      <c r="I576">
        <v>9</v>
      </c>
      <c r="J576">
        <v>0</v>
      </c>
      <c r="K576" t="str">
        <f t="shared" si="24"/>
        <v>Mar-2024</v>
      </c>
      <c r="L576" s="1">
        <f t="shared" ca="1" si="25"/>
        <v>127</v>
      </c>
      <c r="M576" t="str">
        <f t="shared" si="26"/>
        <v>46+</v>
      </c>
    </row>
    <row r="577" spans="1:13" x14ac:dyDescent="0.2">
      <c r="A577" t="s">
        <v>1165</v>
      </c>
      <c r="B577" t="s">
        <v>1166</v>
      </c>
      <c r="C577">
        <v>57</v>
      </c>
      <c r="D577" t="s">
        <v>20</v>
      </c>
      <c r="E577" t="s">
        <v>21</v>
      </c>
      <c r="F577" s="1">
        <v>45726</v>
      </c>
      <c r="G577" s="1">
        <v>46101</v>
      </c>
      <c r="H577">
        <v>47</v>
      </c>
      <c r="I577">
        <v>8</v>
      </c>
      <c r="J577">
        <v>0</v>
      </c>
      <c r="K577" t="str">
        <f t="shared" si="24"/>
        <v>Mar-2025</v>
      </c>
      <c r="L577" s="1">
        <f t="shared" ca="1" si="25"/>
        <v>57</v>
      </c>
      <c r="M577" t="str">
        <f t="shared" si="26"/>
        <v>46+</v>
      </c>
    </row>
    <row r="578" spans="1:13" x14ac:dyDescent="0.2">
      <c r="A578" t="s">
        <v>1167</v>
      </c>
      <c r="B578" t="s">
        <v>1168</v>
      </c>
      <c r="C578">
        <v>43</v>
      </c>
      <c r="D578" t="s">
        <v>12</v>
      </c>
      <c r="E578" t="s">
        <v>21</v>
      </c>
      <c r="F578" s="1">
        <v>45426</v>
      </c>
      <c r="G578" s="1">
        <v>46046</v>
      </c>
      <c r="H578">
        <v>15</v>
      </c>
      <c r="I578">
        <v>8</v>
      </c>
      <c r="J578">
        <v>1</v>
      </c>
      <c r="K578" t="str">
        <f t="shared" si="24"/>
        <v>May-2024</v>
      </c>
      <c r="L578" s="1">
        <f t="shared" ca="1" si="25"/>
        <v>112</v>
      </c>
      <c r="M578" t="str">
        <f t="shared" si="26"/>
        <v>36-45</v>
      </c>
    </row>
    <row r="579" spans="1:13" x14ac:dyDescent="0.2">
      <c r="A579" t="s">
        <v>1169</v>
      </c>
      <c r="B579" t="s">
        <v>1170</v>
      </c>
      <c r="C579">
        <v>39</v>
      </c>
      <c r="D579" t="s">
        <v>20</v>
      </c>
      <c r="E579" t="s">
        <v>21</v>
      </c>
      <c r="F579" s="1">
        <v>45242</v>
      </c>
      <c r="G579" s="1">
        <v>46063</v>
      </c>
      <c r="H579">
        <v>8</v>
      </c>
      <c r="I579">
        <v>6</v>
      </c>
      <c r="J579">
        <v>1</v>
      </c>
      <c r="K579" t="str">
        <f t="shared" ref="K579:K642" si="27">TEXT(F579,"MMM-YYYY")</f>
        <v>Nov-2023</v>
      </c>
      <c r="L579" s="1">
        <f t="shared" ref="L579:L642" ca="1" si="28">TODAY()-G579</f>
        <v>95</v>
      </c>
      <c r="M579" t="str">
        <f t="shared" ref="M579:M642" si="29">IF(C579&lt;=25,"18-25",IF(C579&lt;=35,"26-35",IF(C579&lt;=45,"36-45","46+")))</f>
        <v>36-45</v>
      </c>
    </row>
    <row r="580" spans="1:13" x14ac:dyDescent="0.2">
      <c r="A580" t="s">
        <v>1171</v>
      </c>
      <c r="B580" t="s">
        <v>1172</v>
      </c>
      <c r="C580">
        <v>24</v>
      </c>
      <c r="D580" t="s">
        <v>20</v>
      </c>
      <c r="E580" t="s">
        <v>17</v>
      </c>
      <c r="F580" s="1">
        <v>45725</v>
      </c>
      <c r="G580" s="1">
        <v>46080</v>
      </c>
      <c r="H580">
        <v>67</v>
      </c>
      <c r="I580">
        <v>9</v>
      </c>
      <c r="J580">
        <v>0</v>
      </c>
      <c r="K580" t="str">
        <f t="shared" si="27"/>
        <v>Mar-2025</v>
      </c>
      <c r="L580" s="1">
        <f t="shared" ca="1" si="28"/>
        <v>78</v>
      </c>
      <c r="M580" t="str">
        <f t="shared" si="29"/>
        <v>18-25</v>
      </c>
    </row>
    <row r="581" spans="1:13" x14ac:dyDescent="0.2">
      <c r="A581" t="s">
        <v>1173</v>
      </c>
      <c r="B581" t="s">
        <v>1174</v>
      </c>
      <c r="C581">
        <v>18</v>
      </c>
      <c r="D581" t="s">
        <v>20</v>
      </c>
      <c r="E581" t="s">
        <v>17</v>
      </c>
      <c r="F581" s="1">
        <v>45752</v>
      </c>
      <c r="G581" s="1">
        <v>46139</v>
      </c>
      <c r="H581">
        <v>35</v>
      </c>
      <c r="I581">
        <v>2</v>
      </c>
      <c r="J581">
        <v>1</v>
      </c>
      <c r="K581" t="str">
        <f t="shared" si="27"/>
        <v>Apr-2025</v>
      </c>
      <c r="L581" s="1">
        <f t="shared" ca="1" si="28"/>
        <v>19</v>
      </c>
      <c r="M581" t="str">
        <f t="shared" si="29"/>
        <v>18-25</v>
      </c>
    </row>
    <row r="582" spans="1:13" x14ac:dyDescent="0.2">
      <c r="A582" t="s">
        <v>1175</v>
      </c>
      <c r="B582" t="s">
        <v>1176</v>
      </c>
      <c r="C582">
        <v>44</v>
      </c>
      <c r="D582" t="s">
        <v>12</v>
      </c>
      <c r="E582" t="s">
        <v>21</v>
      </c>
      <c r="F582" s="1">
        <v>45231</v>
      </c>
      <c r="G582" s="1">
        <v>46146</v>
      </c>
      <c r="H582">
        <v>26</v>
      </c>
      <c r="I582">
        <v>5</v>
      </c>
      <c r="J582">
        <v>0</v>
      </c>
      <c r="K582" t="str">
        <f t="shared" si="27"/>
        <v>Nov-2023</v>
      </c>
      <c r="L582" s="1">
        <f t="shared" ca="1" si="28"/>
        <v>12</v>
      </c>
      <c r="M582" t="str">
        <f t="shared" si="29"/>
        <v>36-45</v>
      </c>
    </row>
    <row r="583" spans="1:13" x14ac:dyDescent="0.2">
      <c r="A583" t="s">
        <v>1177</v>
      </c>
      <c r="B583" t="s">
        <v>1178</v>
      </c>
      <c r="C583">
        <v>36</v>
      </c>
      <c r="D583" t="s">
        <v>12</v>
      </c>
      <c r="E583" t="s">
        <v>21</v>
      </c>
      <c r="F583" s="1">
        <v>46057</v>
      </c>
      <c r="G583" s="1">
        <v>46062</v>
      </c>
      <c r="H583">
        <v>6</v>
      </c>
      <c r="I583">
        <v>2</v>
      </c>
      <c r="J583">
        <v>1</v>
      </c>
      <c r="K583" t="str">
        <f t="shared" si="27"/>
        <v>Feb-2026</v>
      </c>
      <c r="L583" s="1">
        <f t="shared" ca="1" si="28"/>
        <v>96</v>
      </c>
      <c r="M583" t="str">
        <f t="shared" si="29"/>
        <v>36-45</v>
      </c>
    </row>
    <row r="584" spans="1:13" x14ac:dyDescent="0.2">
      <c r="A584" t="s">
        <v>1179</v>
      </c>
      <c r="B584" t="s">
        <v>1180</v>
      </c>
      <c r="C584">
        <v>60</v>
      </c>
      <c r="D584" t="s">
        <v>12</v>
      </c>
      <c r="E584" t="s">
        <v>17</v>
      </c>
      <c r="F584" s="1">
        <v>45539</v>
      </c>
      <c r="G584" s="1">
        <v>46086</v>
      </c>
      <c r="H584">
        <v>25</v>
      </c>
      <c r="I584">
        <v>6</v>
      </c>
      <c r="J584">
        <v>0</v>
      </c>
      <c r="K584" t="str">
        <f t="shared" si="27"/>
        <v>Sep-2024</v>
      </c>
      <c r="L584" s="1">
        <f t="shared" ca="1" si="28"/>
        <v>72</v>
      </c>
      <c r="M584" t="str">
        <f t="shared" si="29"/>
        <v>46+</v>
      </c>
    </row>
    <row r="585" spans="1:13" x14ac:dyDescent="0.2">
      <c r="A585" t="s">
        <v>1181</v>
      </c>
      <c r="B585" t="s">
        <v>1182</v>
      </c>
      <c r="C585">
        <v>35</v>
      </c>
      <c r="D585" t="s">
        <v>16</v>
      </c>
      <c r="E585" t="s">
        <v>17</v>
      </c>
      <c r="F585" s="1">
        <v>45441</v>
      </c>
      <c r="G585" s="1">
        <v>46068</v>
      </c>
      <c r="H585">
        <v>2</v>
      </c>
      <c r="I585">
        <v>5</v>
      </c>
      <c r="J585">
        <v>0</v>
      </c>
      <c r="K585" t="str">
        <f t="shared" si="27"/>
        <v>May-2024</v>
      </c>
      <c r="L585" s="1">
        <f t="shared" ca="1" si="28"/>
        <v>90</v>
      </c>
      <c r="M585" t="str">
        <f t="shared" si="29"/>
        <v>26-35</v>
      </c>
    </row>
    <row r="586" spans="1:13" x14ac:dyDescent="0.2">
      <c r="A586" t="s">
        <v>1183</v>
      </c>
      <c r="B586" t="s">
        <v>1184</v>
      </c>
      <c r="C586">
        <v>47</v>
      </c>
      <c r="D586" t="s">
        <v>12</v>
      </c>
      <c r="E586" t="s">
        <v>21</v>
      </c>
      <c r="F586" s="1">
        <v>45178</v>
      </c>
      <c r="G586" s="1">
        <v>46149</v>
      </c>
      <c r="H586">
        <v>50</v>
      </c>
      <c r="I586">
        <v>6</v>
      </c>
      <c r="J586">
        <v>0</v>
      </c>
      <c r="K586" t="str">
        <f t="shared" si="27"/>
        <v>Sep-2023</v>
      </c>
      <c r="L586" s="1">
        <f t="shared" ca="1" si="28"/>
        <v>9</v>
      </c>
      <c r="M586" t="str">
        <f t="shared" si="29"/>
        <v>46+</v>
      </c>
    </row>
    <row r="587" spans="1:13" x14ac:dyDescent="0.2">
      <c r="A587" t="s">
        <v>1185</v>
      </c>
      <c r="B587" t="s">
        <v>1186</v>
      </c>
      <c r="C587">
        <v>58</v>
      </c>
      <c r="D587" t="s">
        <v>16</v>
      </c>
      <c r="E587" t="s">
        <v>21</v>
      </c>
      <c r="F587" s="1">
        <v>45833</v>
      </c>
      <c r="G587" s="1">
        <v>46124</v>
      </c>
      <c r="H587">
        <v>48</v>
      </c>
      <c r="I587">
        <v>6</v>
      </c>
      <c r="J587">
        <v>1</v>
      </c>
      <c r="K587" t="str">
        <f t="shared" si="27"/>
        <v>Jun-2025</v>
      </c>
      <c r="L587" s="1">
        <f t="shared" ca="1" si="28"/>
        <v>34</v>
      </c>
      <c r="M587" t="str">
        <f t="shared" si="29"/>
        <v>46+</v>
      </c>
    </row>
    <row r="588" spans="1:13" x14ac:dyDescent="0.2">
      <c r="A588" t="s">
        <v>1187</v>
      </c>
      <c r="B588" t="s">
        <v>1188</v>
      </c>
      <c r="C588">
        <v>37</v>
      </c>
      <c r="D588" t="s">
        <v>20</v>
      </c>
      <c r="E588" t="s">
        <v>17</v>
      </c>
      <c r="F588" s="1">
        <v>45887</v>
      </c>
      <c r="G588" s="1">
        <v>46037</v>
      </c>
      <c r="H588">
        <v>17</v>
      </c>
      <c r="I588">
        <v>8</v>
      </c>
      <c r="J588">
        <v>0</v>
      </c>
      <c r="K588" t="str">
        <f t="shared" si="27"/>
        <v>Aug-2025</v>
      </c>
      <c r="L588" s="1">
        <f t="shared" ca="1" si="28"/>
        <v>121</v>
      </c>
      <c r="M588" t="str">
        <f t="shared" si="29"/>
        <v>36-45</v>
      </c>
    </row>
    <row r="589" spans="1:13" x14ac:dyDescent="0.2">
      <c r="A589" t="s">
        <v>1189</v>
      </c>
      <c r="B589" t="s">
        <v>1190</v>
      </c>
      <c r="C589">
        <v>55</v>
      </c>
      <c r="D589" t="s">
        <v>20</v>
      </c>
      <c r="E589" t="s">
        <v>21</v>
      </c>
      <c r="F589" s="1">
        <v>45734</v>
      </c>
      <c r="G589" s="1">
        <v>46071</v>
      </c>
      <c r="H589">
        <v>56</v>
      </c>
      <c r="I589">
        <v>5</v>
      </c>
      <c r="J589">
        <v>0</v>
      </c>
      <c r="K589" t="str">
        <f t="shared" si="27"/>
        <v>Mar-2025</v>
      </c>
      <c r="L589" s="1">
        <f t="shared" ca="1" si="28"/>
        <v>87</v>
      </c>
      <c r="M589" t="str">
        <f t="shared" si="29"/>
        <v>46+</v>
      </c>
    </row>
    <row r="590" spans="1:13" x14ac:dyDescent="0.2">
      <c r="A590" t="s">
        <v>1191</v>
      </c>
      <c r="B590" t="s">
        <v>1192</v>
      </c>
      <c r="C590">
        <v>18</v>
      </c>
      <c r="D590" t="s">
        <v>16</v>
      </c>
      <c r="E590" t="s">
        <v>17</v>
      </c>
      <c r="F590" s="1">
        <v>45931</v>
      </c>
      <c r="G590" s="1">
        <v>46146</v>
      </c>
      <c r="H590">
        <v>53</v>
      </c>
      <c r="I590">
        <v>1</v>
      </c>
      <c r="J590">
        <v>1</v>
      </c>
      <c r="K590" t="str">
        <f t="shared" si="27"/>
        <v>Oct-2025</v>
      </c>
      <c r="L590" s="1">
        <f t="shared" ca="1" si="28"/>
        <v>12</v>
      </c>
      <c r="M590" t="str">
        <f t="shared" si="29"/>
        <v>18-25</v>
      </c>
    </row>
    <row r="591" spans="1:13" x14ac:dyDescent="0.2">
      <c r="A591" t="s">
        <v>1193</v>
      </c>
      <c r="B591" t="s">
        <v>1194</v>
      </c>
      <c r="C591">
        <v>43</v>
      </c>
      <c r="D591" t="s">
        <v>20</v>
      </c>
      <c r="E591" t="s">
        <v>21</v>
      </c>
      <c r="F591" s="1">
        <v>45779</v>
      </c>
      <c r="G591" s="1">
        <v>46102</v>
      </c>
      <c r="H591">
        <v>26</v>
      </c>
      <c r="I591">
        <v>5</v>
      </c>
      <c r="J591">
        <v>0</v>
      </c>
      <c r="K591" t="str">
        <f t="shared" si="27"/>
        <v>May-2025</v>
      </c>
      <c r="L591" s="1">
        <f t="shared" ca="1" si="28"/>
        <v>56</v>
      </c>
      <c r="M591" t="str">
        <f t="shared" si="29"/>
        <v>36-45</v>
      </c>
    </row>
    <row r="592" spans="1:13" x14ac:dyDescent="0.2">
      <c r="A592" t="s">
        <v>1195</v>
      </c>
      <c r="B592" t="s">
        <v>1196</v>
      </c>
      <c r="C592">
        <v>30</v>
      </c>
      <c r="D592" t="s">
        <v>12</v>
      </c>
      <c r="E592" t="s">
        <v>17</v>
      </c>
      <c r="F592" s="1">
        <v>46054</v>
      </c>
      <c r="G592" s="1">
        <v>46071</v>
      </c>
      <c r="H592">
        <v>65</v>
      </c>
      <c r="I592">
        <v>2</v>
      </c>
      <c r="J592">
        <v>0</v>
      </c>
      <c r="K592" t="str">
        <f t="shared" si="27"/>
        <v>Feb-2026</v>
      </c>
      <c r="L592" s="1">
        <f t="shared" ca="1" si="28"/>
        <v>87</v>
      </c>
      <c r="M592" t="str">
        <f t="shared" si="29"/>
        <v>26-35</v>
      </c>
    </row>
    <row r="593" spans="1:13" x14ac:dyDescent="0.2">
      <c r="A593" t="s">
        <v>1197</v>
      </c>
      <c r="B593" t="s">
        <v>1198</v>
      </c>
      <c r="C593">
        <v>44</v>
      </c>
      <c r="D593" t="s">
        <v>20</v>
      </c>
      <c r="E593" t="s">
        <v>17</v>
      </c>
      <c r="F593" s="1">
        <v>45732</v>
      </c>
      <c r="G593" s="1">
        <v>46109</v>
      </c>
      <c r="H593">
        <v>62</v>
      </c>
      <c r="I593">
        <v>8</v>
      </c>
      <c r="J593">
        <v>0</v>
      </c>
      <c r="K593" t="str">
        <f t="shared" si="27"/>
        <v>Mar-2025</v>
      </c>
      <c r="L593" s="1">
        <f t="shared" ca="1" si="28"/>
        <v>49</v>
      </c>
      <c r="M593" t="str">
        <f t="shared" si="29"/>
        <v>36-45</v>
      </c>
    </row>
    <row r="594" spans="1:13" x14ac:dyDescent="0.2">
      <c r="A594" t="s">
        <v>1199</v>
      </c>
      <c r="B594" t="s">
        <v>1200</v>
      </c>
      <c r="C594">
        <v>22</v>
      </c>
      <c r="D594" t="s">
        <v>16</v>
      </c>
      <c r="E594" t="s">
        <v>21</v>
      </c>
      <c r="F594" s="1">
        <v>45659</v>
      </c>
      <c r="G594" s="1">
        <v>46116</v>
      </c>
      <c r="H594">
        <v>48</v>
      </c>
      <c r="I594">
        <v>2</v>
      </c>
      <c r="J594">
        <v>1</v>
      </c>
      <c r="K594" t="str">
        <f t="shared" si="27"/>
        <v>Jan-2025</v>
      </c>
      <c r="L594" s="1">
        <f t="shared" ca="1" si="28"/>
        <v>42</v>
      </c>
      <c r="M594" t="str">
        <f t="shared" si="29"/>
        <v>18-25</v>
      </c>
    </row>
    <row r="595" spans="1:13" x14ac:dyDescent="0.2">
      <c r="A595" t="s">
        <v>1201</v>
      </c>
      <c r="B595" t="s">
        <v>1202</v>
      </c>
      <c r="C595">
        <v>46</v>
      </c>
      <c r="D595" t="s">
        <v>16</v>
      </c>
      <c r="E595" t="s">
        <v>21</v>
      </c>
      <c r="F595" s="1">
        <v>46099</v>
      </c>
      <c r="G595" s="1">
        <v>46095</v>
      </c>
      <c r="H595">
        <v>27</v>
      </c>
      <c r="I595">
        <v>9</v>
      </c>
      <c r="J595">
        <v>0</v>
      </c>
      <c r="K595" t="str">
        <f t="shared" si="27"/>
        <v>Mar-2026</v>
      </c>
      <c r="L595" s="1">
        <f t="shared" ca="1" si="28"/>
        <v>63</v>
      </c>
      <c r="M595" t="str">
        <f t="shared" si="29"/>
        <v>46+</v>
      </c>
    </row>
    <row r="596" spans="1:13" x14ac:dyDescent="0.2">
      <c r="A596" t="s">
        <v>1203</v>
      </c>
      <c r="B596" t="s">
        <v>1204</v>
      </c>
      <c r="C596">
        <v>19</v>
      </c>
      <c r="D596" t="s">
        <v>20</v>
      </c>
      <c r="E596" t="s">
        <v>21</v>
      </c>
      <c r="F596" s="1">
        <v>45163</v>
      </c>
      <c r="G596" s="1">
        <v>46032</v>
      </c>
      <c r="H596">
        <v>68</v>
      </c>
      <c r="I596">
        <v>2</v>
      </c>
      <c r="J596">
        <v>1</v>
      </c>
      <c r="K596" t="str">
        <f t="shared" si="27"/>
        <v>Aug-2023</v>
      </c>
      <c r="L596" s="1">
        <f t="shared" ca="1" si="28"/>
        <v>126</v>
      </c>
      <c r="M596" t="str">
        <f t="shared" si="29"/>
        <v>18-25</v>
      </c>
    </row>
    <row r="597" spans="1:13" x14ac:dyDescent="0.2">
      <c r="A597" t="s">
        <v>1205</v>
      </c>
      <c r="B597" t="s">
        <v>1206</v>
      </c>
      <c r="C597">
        <v>34</v>
      </c>
      <c r="D597" t="s">
        <v>20</v>
      </c>
      <c r="E597" t="s">
        <v>21</v>
      </c>
      <c r="F597" s="1">
        <v>45937</v>
      </c>
      <c r="G597" s="1">
        <v>46091</v>
      </c>
      <c r="H597">
        <v>36</v>
      </c>
      <c r="I597">
        <v>6</v>
      </c>
      <c r="J597">
        <v>0</v>
      </c>
      <c r="K597" t="str">
        <f t="shared" si="27"/>
        <v>Oct-2025</v>
      </c>
      <c r="L597" s="1">
        <f t="shared" ca="1" si="28"/>
        <v>67</v>
      </c>
      <c r="M597" t="str">
        <f t="shared" si="29"/>
        <v>26-35</v>
      </c>
    </row>
    <row r="598" spans="1:13" x14ac:dyDescent="0.2">
      <c r="A598" t="s">
        <v>1207</v>
      </c>
      <c r="B598" t="s">
        <v>1208</v>
      </c>
      <c r="C598">
        <v>54</v>
      </c>
      <c r="D598" t="s">
        <v>20</v>
      </c>
      <c r="E598" t="s">
        <v>21</v>
      </c>
      <c r="F598" s="1">
        <v>45996</v>
      </c>
      <c r="G598" s="1">
        <v>46041</v>
      </c>
      <c r="H598">
        <v>76</v>
      </c>
      <c r="I598">
        <v>10</v>
      </c>
      <c r="J598">
        <v>1</v>
      </c>
      <c r="K598" t="str">
        <f t="shared" si="27"/>
        <v>Dec-2025</v>
      </c>
      <c r="L598" s="1">
        <f t="shared" ca="1" si="28"/>
        <v>117</v>
      </c>
      <c r="M598" t="str">
        <f t="shared" si="29"/>
        <v>46+</v>
      </c>
    </row>
    <row r="599" spans="1:13" x14ac:dyDescent="0.2">
      <c r="A599" t="s">
        <v>1209</v>
      </c>
      <c r="B599" t="s">
        <v>1210</v>
      </c>
      <c r="C599">
        <v>18</v>
      </c>
      <c r="D599" t="s">
        <v>12</v>
      </c>
      <c r="E599" t="s">
        <v>17</v>
      </c>
      <c r="F599" s="1">
        <v>45396</v>
      </c>
      <c r="G599" s="1">
        <v>46108</v>
      </c>
      <c r="H599">
        <v>59</v>
      </c>
      <c r="I599">
        <v>1</v>
      </c>
      <c r="J599">
        <v>1</v>
      </c>
      <c r="K599" t="str">
        <f t="shared" si="27"/>
        <v>Apr-2024</v>
      </c>
      <c r="L599" s="1">
        <f t="shared" ca="1" si="28"/>
        <v>50</v>
      </c>
      <c r="M599" t="str">
        <f t="shared" si="29"/>
        <v>18-25</v>
      </c>
    </row>
    <row r="600" spans="1:13" x14ac:dyDescent="0.2">
      <c r="A600" t="s">
        <v>1211</v>
      </c>
      <c r="B600" t="s">
        <v>1212</v>
      </c>
      <c r="C600">
        <v>19</v>
      </c>
      <c r="D600" t="s">
        <v>16</v>
      </c>
      <c r="E600" t="s">
        <v>21</v>
      </c>
      <c r="F600" s="1">
        <v>45672</v>
      </c>
      <c r="G600" s="1">
        <v>46070</v>
      </c>
      <c r="H600">
        <v>47</v>
      </c>
      <c r="I600">
        <v>7</v>
      </c>
      <c r="J600">
        <v>1</v>
      </c>
      <c r="K600" t="str">
        <f t="shared" si="27"/>
        <v>Jan-2025</v>
      </c>
      <c r="L600" s="1">
        <f t="shared" ca="1" si="28"/>
        <v>88</v>
      </c>
      <c r="M600" t="str">
        <f t="shared" si="29"/>
        <v>18-25</v>
      </c>
    </row>
    <row r="601" spans="1:13" x14ac:dyDescent="0.2">
      <c r="A601" t="s">
        <v>1213</v>
      </c>
      <c r="B601" t="s">
        <v>1214</v>
      </c>
      <c r="C601">
        <v>28</v>
      </c>
      <c r="D601" t="s">
        <v>12</v>
      </c>
      <c r="E601" t="s">
        <v>21</v>
      </c>
      <c r="F601" s="1">
        <v>45606</v>
      </c>
      <c r="G601" s="1">
        <v>46105</v>
      </c>
      <c r="H601">
        <v>11</v>
      </c>
      <c r="I601">
        <v>10</v>
      </c>
      <c r="J601">
        <v>0</v>
      </c>
      <c r="K601" t="str">
        <f t="shared" si="27"/>
        <v>Nov-2024</v>
      </c>
      <c r="L601" s="1">
        <f t="shared" ca="1" si="28"/>
        <v>53</v>
      </c>
      <c r="M601" t="str">
        <f t="shared" si="29"/>
        <v>26-35</v>
      </c>
    </row>
    <row r="602" spans="1:13" x14ac:dyDescent="0.2">
      <c r="A602" t="s">
        <v>1215</v>
      </c>
      <c r="B602" t="s">
        <v>1216</v>
      </c>
      <c r="C602">
        <v>54</v>
      </c>
      <c r="D602" t="s">
        <v>20</v>
      </c>
      <c r="E602" t="s">
        <v>17</v>
      </c>
      <c r="F602" s="1">
        <v>46061</v>
      </c>
      <c r="G602" s="1">
        <v>46041</v>
      </c>
      <c r="H602">
        <v>72</v>
      </c>
      <c r="I602">
        <v>1</v>
      </c>
      <c r="J602">
        <v>1</v>
      </c>
      <c r="K602" t="str">
        <f t="shared" si="27"/>
        <v>Feb-2026</v>
      </c>
      <c r="L602" s="1">
        <f t="shared" ca="1" si="28"/>
        <v>117</v>
      </c>
      <c r="M602" t="str">
        <f t="shared" si="29"/>
        <v>46+</v>
      </c>
    </row>
    <row r="603" spans="1:13" x14ac:dyDescent="0.2">
      <c r="A603" t="s">
        <v>1217</v>
      </c>
      <c r="B603" t="s">
        <v>1218</v>
      </c>
      <c r="C603">
        <v>37</v>
      </c>
      <c r="D603" t="s">
        <v>16</v>
      </c>
      <c r="E603" t="s">
        <v>21</v>
      </c>
      <c r="F603" s="1">
        <v>45477</v>
      </c>
      <c r="G603" s="1">
        <v>46030</v>
      </c>
      <c r="H603">
        <v>8</v>
      </c>
      <c r="I603">
        <v>7</v>
      </c>
      <c r="J603">
        <v>0</v>
      </c>
      <c r="K603" t="str">
        <f t="shared" si="27"/>
        <v>Jul-2024</v>
      </c>
      <c r="L603" s="1">
        <f t="shared" ca="1" si="28"/>
        <v>128</v>
      </c>
      <c r="M603" t="str">
        <f t="shared" si="29"/>
        <v>36-45</v>
      </c>
    </row>
    <row r="604" spans="1:13" x14ac:dyDescent="0.2">
      <c r="A604" t="s">
        <v>1219</v>
      </c>
      <c r="B604" t="s">
        <v>1220</v>
      </c>
      <c r="C604">
        <v>43</v>
      </c>
      <c r="D604" t="s">
        <v>20</v>
      </c>
      <c r="E604" t="s">
        <v>21</v>
      </c>
      <c r="F604" s="1">
        <v>45658</v>
      </c>
      <c r="G604" s="1">
        <v>46098</v>
      </c>
      <c r="H604">
        <v>34</v>
      </c>
      <c r="I604">
        <v>4</v>
      </c>
      <c r="J604">
        <v>0</v>
      </c>
      <c r="K604" t="str">
        <f t="shared" si="27"/>
        <v>Jan-2025</v>
      </c>
      <c r="L604" s="1">
        <f t="shared" ca="1" si="28"/>
        <v>60</v>
      </c>
      <c r="M604" t="str">
        <f t="shared" si="29"/>
        <v>36-45</v>
      </c>
    </row>
    <row r="605" spans="1:13" x14ac:dyDescent="0.2">
      <c r="A605" t="s">
        <v>1221</v>
      </c>
      <c r="B605" t="s">
        <v>1222</v>
      </c>
      <c r="C605">
        <v>21</v>
      </c>
      <c r="D605" t="s">
        <v>16</v>
      </c>
      <c r="E605" t="s">
        <v>21</v>
      </c>
      <c r="F605" s="1">
        <v>45290</v>
      </c>
      <c r="G605" s="1">
        <v>46068</v>
      </c>
      <c r="H605">
        <v>36</v>
      </c>
      <c r="I605">
        <v>6</v>
      </c>
      <c r="J605">
        <v>1</v>
      </c>
      <c r="K605" t="str">
        <f t="shared" si="27"/>
        <v>Dec-2023</v>
      </c>
      <c r="L605" s="1">
        <f t="shared" ca="1" si="28"/>
        <v>90</v>
      </c>
      <c r="M605" t="str">
        <f t="shared" si="29"/>
        <v>18-25</v>
      </c>
    </row>
    <row r="606" spans="1:13" x14ac:dyDescent="0.2">
      <c r="A606" t="s">
        <v>1223</v>
      </c>
      <c r="B606" t="s">
        <v>1224</v>
      </c>
      <c r="C606">
        <v>28</v>
      </c>
      <c r="D606" t="s">
        <v>20</v>
      </c>
      <c r="E606" t="s">
        <v>13</v>
      </c>
      <c r="F606" s="1">
        <v>45453</v>
      </c>
      <c r="G606" s="1">
        <v>46047</v>
      </c>
      <c r="H606">
        <v>33</v>
      </c>
      <c r="I606">
        <v>10</v>
      </c>
      <c r="J606">
        <v>0</v>
      </c>
      <c r="K606" t="str">
        <f t="shared" si="27"/>
        <v>Jun-2024</v>
      </c>
      <c r="L606" s="1">
        <f t="shared" ca="1" si="28"/>
        <v>111</v>
      </c>
      <c r="M606" t="str">
        <f t="shared" si="29"/>
        <v>26-35</v>
      </c>
    </row>
    <row r="607" spans="1:13" x14ac:dyDescent="0.2">
      <c r="A607" t="s">
        <v>1225</v>
      </c>
      <c r="B607" t="s">
        <v>1226</v>
      </c>
      <c r="C607">
        <v>22</v>
      </c>
      <c r="D607" t="s">
        <v>16</v>
      </c>
      <c r="E607" t="s">
        <v>17</v>
      </c>
      <c r="F607" s="1">
        <v>45557</v>
      </c>
      <c r="G607" s="1">
        <v>46143</v>
      </c>
      <c r="H607">
        <v>79</v>
      </c>
      <c r="I607">
        <v>10</v>
      </c>
      <c r="J607">
        <v>0</v>
      </c>
      <c r="K607" t="str">
        <f t="shared" si="27"/>
        <v>Sep-2024</v>
      </c>
      <c r="L607" s="1">
        <f t="shared" ca="1" si="28"/>
        <v>15</v>
      </c>
      <c r="M607" t="str">
        <f t="shared" si="29"/>
        <v>18-25</v>
      </c>
    </row>
    <row r="608" spans="1:13" x14ac:dyDescent="0.2">
      <c r="A608" t="s">
        <v>1227</v>
      </c>
      <c r="B608" t="s">
        <v>1228</v>
      </c>
      <c r="C608">
        <v>26</v>
      </c>
      <c r="D608" t="s">
        <v>16</v>
      </c>
      <c r="E608" t="s">
        <v>17</v>
      </c>
      <c r="F608" s="1">
        <v>45504</v>
      </c>
      <c r="G608" s="1">
        <v>46091</v>
      </c>
      <c r="H608">
        <v>50</v>
      </c>
      <c r="I608">
        <v>2</v>
      </c>
      <c r="J608">
        <v>0</v>
      </c>
      <c r="K608" t="str">
        <f t="shared" si="27"/>
        <v>Jul-2024</v>
      </c>
      <c r="L608" s="1">
        <f t="shared" ca="1" si="28"/>
        <v>67</v>
      </c>
      <c r="M608" t="str">
        <f t="shared" si="29"/>
        <v>26-35</v>
      </c>
    </row>
    <row r="609" spans="1:13" x14ac:dyDescent="0.2">
      <c r="A609" t="s">
        <v>1229</v>
      </c>
      <c r="B609" t="s">
        <v>1230</v>
      </c>
      <c r="C609">
        <v>46</v>
      </c>
      <c r="D609" t="s">
        <v>12</v>
      </c>
      <c r="E609" t="s">
        <v>21</v>
      </c>
      <c r="F609" s="1">
        <v>46092</v>
      </c>
      <c r="G609" s="1">
        <v>46046</v>
      </c>
      <c r="H609">
        <v>76</v>
      </c>
      <c r="I609">
        <v>4</v>
      </c>
      <c r="J609">
        <v>0</v>
      </c>
      <c r="K609" t="str">
        <f t="shared" si="27"/>
        <v>Mar-2026</v>
      </c>
      <c r="L609" s="1">
        <f t="shared" ca="1" si="28"/>
        <v>112</v>
      </c>
      <c r="M609" t="str">
        <f t="shared" si="29"/>
        <v>46+</v>
      </c>
    </row>
    <row r="610" spans="1:13" x14ac:dyDescent="0.2">
      <c r="A610" t="s">
        <v>1231</v>
      </c>
      <c r="B610" t="s">
        <v>1232</v>
      </c>
      <c r="C610">
        <v>28</v>
      </c>
      <c r="D610" t="s">
        <v>12</v>
      </c>
      <c r="E610" t="s">
        <v>17</v>
      </c>
      <c r="F610" s="1">
        <v>45323</v>
      </c>
      <c r="G610" s="1">
        <v>46038</v>
      </c>
      <c r="H610">
        <v>22</v>
      </c>
      <c r="I610">
        <v>10</v>
      </c>
      <c r="J610">
        <v>0</v>
      </c>
      <c r="K610" t="str">
        <f t="shared" si="27"/>
        <v>Feb-2024</v>
      </c>
      <c r="L610" s="1">
        <f t="shared" ca="1" si="28"/>
        <v>120</v>
      </c>
      <c r="M610" t="str">
        <f t="shared" si="29"/>
        <v>26-35</v>
      </c>
    </row>
    <row r="611" spans="1:13" x14ac:dyDescent="0.2">
      <c r="A611" t="s">
        <v>1233</v>
      </c>
      <c r="B611" t="s">
        <v>1234</v>
      </c>
      <c r="C611">
        <v>59</v>
      </c>
      <c r="D611" t="s">
        <v>16</v>
      </c>
      <c r="E611" t="s">
        <v>17</v>
      </c>
      <c r="F611" s="1">
        <v>45629</v>
      </c>
      <c r="G611" s="1">
        <v>46096</v>
      </c>
      <c r="H611">
        <v>51</v>
      </c>
      <c r="I611">
        <v>8</v>
      </c>
      <c r="J611">
        <v>0</v>
      </c>
      <c r="K611" t="str">
        <f t="shared" si="27"/>
        <v>Dec-2024</v>
      </c>
      <c r="L611" s="1">
        <f t="shared" ca="1" si="28"/>
        <v>62</v>
      </c>
      <c r="M611" t="str">
        <f t="shared" si="29"/>
        <v>46+</v>
      </c>
    </row>
    <row r="612" spans="1:13" x14ac:dyDescent="0.2">
      <c r="A612" t="s">
        <v>1235</v>
      </c>
      <c r="B612" t="s">
        <v>1236</v>
      </c>
      <c r="C612">
        <v>24</v>
      </c>
      <c r="D612" t="s">
        <v>12</v>
      </c>
      <c r="E612" t="s">
        <v>21</v>
      </c>
      <c r="F612" s="1">
        <v>45816</v>
      </c>
      <c r="G612" s="1">
        <v>46131</v>
      </c>
      <c r="H612">
        <v>46</v>
      </c>
      <c r="I612">
        <v>8</v>
      </c>
      <c r="J612">
        <v>1</v>
      </c>
      <c r="K612" t="str">
        <f t="shared" si="27"/>
        <v>Jun-2025</v>
      </c>
      <c r="L612" s="1">
        <f t="shared" ca="1" si="28"/>
        <v>27</v>
      </c>
      <c r="M612" t="str">
        <f t="shared" si="29"/>
        <v>18-25</v>
      </c>
    </row>
    <row r="613" spans="1:13" x14ac:dyDescent="0.2">
      <c r="A613" t="s">
        <v>1237</v>
      </c>
      <c r="B613" t="s">
        <v>1238</v>
      </c>
      <c r="C613">
        <v>27</v>
      </c>
      <c r="D613" t="s">
        <v>12</v>
      </c>
      <c r="E613" t="s">
        <v>21</v>
      </c>
      <c r="F613" s="1">
        <v>46091</v>
      </c>
      <c r="G613" s="1">
        <v>46081</v>
      </c>
      <c r="H613">
        <v>5</v>
      </c>
      <c r="I613">
        <v>2</v>
      </c>
      <c r="J613">
        <v>1</v>
      </c>
      <c r="K613" t="str">
        <f t="shared" si="27"/>
        <v>Mar-2026</v>
      </c>
      <c r="L613" s="1">
        <f t="shared" ca="1" si="28"/>
        <v>77</v>
      </c>
      <c r="M613" t="str">
        <f t="shared" si="29"/>
        <v>26-35</v>
      </c>
    </row>
    <row r="614" spans="1:13" x14ac:dyDescent="0.2">
      <c r="A614" t="s">
        <v>1239</v>
      </c>
      <c r="B614" t="s">
        <v>1240</v>
      </c>
      <c r="C614">
        <v>49</v>
      </c>
      <c r="D614" t="s">
        <v>16</v>
      </c>
      <c r="E614" t="s">
        <v>21</v>
      </c>
      <c r="F614" s="1">
        <v>45377</v>
      </c>
      <c r="G614" s="1">
        <v>46133</v>
      </c>
      <c r="H614">
        <v>32</v>
      </c>
      <c r="I614">
        <v>9</v>
      </c>
      <c r="J614">
        <v>0</v>
      </c>
      <c r="K614" t="str">
        <f t="shared" si="27"/>
        <v>Mar-2024</v>
      </c>
      <c r="L614" s="1">
        <f t="shared" ca="1" si="28"/>
        <v>25</v>
      </c>
      <c r="M614" t="str">
        <f t="shared" si="29"/>
        <v>46+</v>
      </c>
    </row>
    <row r="615" spans="1:13" x14ac:dyDescent="0.2">
      <c r="A615" t="s">
        <v>1241</v>
      </c>
      <c r="B615" t="s">
        <v>1242</v>
      </c>
      <c r="C615">
        <v>50</v>
      </c>
      <c r="D615" t="s">
        <v>12</v>
      </c>
      <c r="E615" t="s">
        <v>21</v>
      </c>
      <c r="F615" s="1">
        <v>45810</v>
      </c>
      <c r="G615" s="1">
        <v>46108</v>
      </c>
      <c r="H615">
        <v>2</v>
      </c>
      <c r="I615">
        <v>2</v>
      </c>
      <c r="J615">
        <v>1</v>
      </c>
      <c r="K615" t="str">
        <f t="shared" si="27"/>
        <v>Jun-2025</v>
      </c>
      <c r="L615" s="1">
        <f t="shared" ca="1" si="28"/>
        <v>50</v>
      </c>
      <c r="M615" t="str">
        <f t="shared" si="29"/>
        <v>46+</v>
      </c>
    </row>
    <row r="616" spans="1:13" x14ac:dyDescent="0.2">
      <c r="A616" t="s">
        <v>1243</v>
      </c>
      <c r="B616" t="s">
        <v>1244</v>
      </c>
      <c r="C616">
        <v>51</v>
      </c>
      <c r="D616" t="s">
        <v>16</v>
      </c>
      <c r="E616" t="s">
        <v>17</v>
      </c>
      <c r="F616" s="1">
        <v>46070</v>
      </c>
      <c r="G616" s="1">
        <v>46150</v>
      </c>
      <c r="H616">
        <v>69</v>
      </c>
      <c r="I616">
        <v>4</v>
      </c>
      <c r="J616">
        <v>1</v>
      </c>
      <c r="K616" t="str">
        <f t="shared" si="27"/>
        <v>Feb-2026</v>
      </c>
      <c r="L616" s="1">
        <f t="shared" ca="1" si="28"/>
        <v>8</v>
      </c>
      <c r="M616" t="str">
        <f t="shared" si="29"/>
        <v>46+</v>
      </c>
    </row>
    <row r="617" spans="1:13" x14ac:dyDescent="0.2">
      <c r="A617" t="s">
        <v>1245</v>
      </c>
      <c r="B617" t="s">
        <v>1246</v>
      </c>
      <c r="C617">
        <v>26</v>
      </c>
      <c r="D617" t="s">
        <v>12</v>
      </c>
      <c r="E617" t="s">
        <v>17</v>
      </c>
      <c r="F617" s="1">
        <v>46097</v>
      </c>
      <c r="G617" s="1">
        <v>46077</v>
      </c>
      <c r="H617">
        <v>15</v>
      </c>
      <c r="I617">
        <v>6</v>
      </c>
      <c r="J617">
        <v>0</v>
      </c>
      <c r="K617" t="str">
        <f t="shared" si="27"/>
        <v>Mar-2026</v>
      </c>
      <c r="L617" s="1">
        <f t="shared" ca="1" si="28"/>
        <v>81</v>
      </c>
      <c r="M617" t="str">
        <f t="shared" si="29"/>
        <v>26-35</v>
      </c>
    </row>
    <row r="618" spans="1:13" x14ac:dyDescent="0.2">
      <c r="A618" t="s">
        <v>1247</v>
      </c>
      <c r="B618" t="s">
        <v>1248</v>
      </c>
      <c r="C618">
        <v>31</v>
      </c>
      <c r="D618" t="s">
        <v>20</v>
      </c>
      <c r="E618" t="s">
        <v>13</v>
      </c>
      <c r="F618" s="1">
        <v>45197</v>
      </c>
      <c r="G618" s="1">
        <v>46051</v>
      </c>
      <c r="H618">
        <v>29</v>
      </c>
      <c r="I618">
        <v>9</v>
      </c>
      <c r="J618">
        <v>0</v>
      </c>
      <c r="K618" t="str">
        <f t="shared" si="27"/>
        <v>Sep-2023</v>
      </c>
      <c r="L618" s="1">
        <f t="shared" ca="1" si="28"/>
        <v>107</v>
      </c>
      <c r="M618" t="str">
        <f t="shared" si="29"/>
        <v>26-35</v>
      </c>
    </row>
    <row r="619" spans="1:13" x14ac:dyDescent="0.2">
      <c r="A619" t="s">
        <v>1249</v>
      </c>
      <c r="B619" t="s">
        <v>1250</v>
      </c>
      <c r="C619">
        <v>27</v>
      </c>
      <c r="D619" t="s">
        <v>20</v>
      </c>
      <c r="E619" t="s">
        <v>21</v>
      </c>
      <c r="F619" s="1">
        <v>45637</v>
      </c>
      <c r="G619" s="1">
        <v>46060</v>
      </c>
      <c r="H619">
        <v>15</v>
      </c>
      <c r="I619">
        <v>1</v>
      </c>
      <c r="J619">
        <v>1</v>
      </c>
      <c r="K619" t="str">
        <f t="shared" si="27"/>
        <v>Dec-2024</v>
      </c>
      <c r="L619" s="1">
        <f t="shared" ca="1" si="28"/>
        <v>98</v>
      </c>
      <c r="M619" t="str">
        <f t="shared" si="29"/>
        <v>26-35</v>
      </c>
    </row>
    <row r="620" spans="1:13" x14ac:dyDescent="0.2">
      <c r="A620" t="s">
        <v>1251</v>
      </c>
      <c r="B620" t="s">
        <v>1252</v>
      </c>
      <c r="C620">
        <v>31</v>
      </c>
      <c r="D620" t="s">
        <v>12</v>
      </c>
      <c r="E620" t="s">
        <v>17</v>
      </c>
      <c r="F620" s="1">
        <v>45434</v>
      </c>
      <c r="G620" s="1">
        <v>46066</v>
      </c>
      <c r="H620">
        <v>25</v>
      </c>
      <c r="I620">
        <v>9</v>
      </c>
      <c r="J620">
        <v>0</v>
      </c>
      <c r="K620" t="str">
        <f t="shared" si="27"/>
        <v>May-2024</v>
      </c>
      <c r="L620" s="1">
        <f t="shared" ca="1" si="28"/>
        <v>92</v>
      </c>
      <c r="M620" t="str">
        <f t="shared" si="29"/>
        <v>26-35</v>
      </c>
    </row>
    <row r="621" spans="1:13" x14ac:dyDescent="0.2">
      <c r="A621" t="s">
        <v>1253</v>
      </c>
      <c r="B621" t="s">
        <v>1254</v>
      </c>
      <c r="C621">
        <v>21</v>
      </c>
      <c r="D621" t="s">
        <v>12</v>
      </c>
      <c r="E621" t="s">
        <v>21</v>
      </c>
      <c r="F621" s="1">
        <v>45895</v>
      </c>
      <c r="G621" s="1">
        <v>46046</v>
      </c>
      <c r="H621">
        <v>78</v>
      </c>
      <c r="I621">
        <v>6</v>
      </c>
      <c r="J621">
        <v>1</v>
      </c>
      <c r="K621" t="str">
        <f t="shared" si="27"/>
        <v>Aug-2025</v>
      </c>
      <c r="L621" s="1">
        <f t="shared" ca="1" si="28"/>
        <v>112</v>
      </c>
      <c r="M621" t="str">
        <f t="shared" si="29"/>
        <v>18-25</v>
      </c>
    </row>
    <row r="622" spans="1:13" x14ac:dyDescent="0.2">
      <c r="A622" t="s">
        <v>1255</v>
      </c>
      <c r="B622" t="s">
        <v>1256</v>
      </c>
      <c r="C622">
        <v>24</v>
      </c>
      <c r="D622" t="s">
        <v>16</v>
      </c>
      <c r="E622" t="s">
        <v>17</v>
      </c>
      <c r="F622" s="1">
        <v>45775</v>
      </c>
      <c r="G622" s="1">
        <v>46072</v>
      </c>
      <c r="H622">
        <v>52</v>
      </c>
      <c r="I622">
        <v>8</v>
      </c>
      <c r="J622">
        <v>1</v>
      </c>
      <c r="K622" t="str">
        <f t="shared" si="27"/>
        <v>Apr-2025</v>
      </c>
      <c r="L622" s="1">
        <f t="shared" ca="1" si="28"/>
        <v>86</v>
      </c>
      <c r="M622" t="str">
        <f t="shared" si="29"/>
        <v>18-25</v>
      </c>
    </row>
    <row r="623" spans="1:13" x14ac:dyDescent="0.2">
      <c r="A623" t="s">
        <v>1257</v>
      </c>
      <c r="B623" t="s">
        <v>1258</v>
      </c>
      <c r="C623">
        <v>53</v>
      </c>
      <c r="D623" t="s">
        <v>12</v>
      </c>
      <c r="E623" t="s">
        <v>17</v>
      </c>
      <c r="F623" s="1">
        <v>45567</v>
      </c>
      <c r="G623" s="1">
        <v>46059</v>
      </c>
      <c r="H623">
        <v>15</v>
      </c>
      <c r="I623">
        <v>7</v>
      </c>
      <c r="J623">
        <v>0</v>
      </c>
      <c r="K623" t="str">
        <f t="shared" si="27"/>
        <v>Oct-2024</v>
      </c>
      <c r="L623" s="1">
        <f t="shared" ca="1" si="28"/>
        <v>99</v>
      </c>
      <c r="M623" t="str">
        <f t="shared" si="29"/>
        <v>46+</v>
      </c>
    </row>
    <row r="624" spans="1:13" x14ac:dyDescent="0.2">
      <c r="A624" t="s">
        <v>1259</v>
      </c>
      <c r="B624" t="s">
        <v>1260</v>
      </c>
      <c r="C624">
        <v>46</v>
      </c>
      <c r="D624" t="s">
        <v>20</v>
      </c>
      <c r="E624" t="s">
        <v>13</v>
      </c>
      <c r="F624" s="1">
        <v>45726</v>
      </c>
      <c r="G624" s="1">
        <v>46072</v>
      </c>
      <c r="H624">
        <v>31</v>
      </c>
      <c r="I624">
        <v>5</v>
      </c>
      <c r="J624">
        <v>0</v>
      </c>
      <c r="K624" t="str">
        <f t="shared" si="27"/>
        <v>Mar-2025</v>
      </c>
      <c r="L624" s="1">
        <f t="shared" ca="1" si="28"/>
        <v>86</v>
      </c>
      <c r="M624" t="str">
        <f t="shared" si="29"/>
        <v>46+</v>
      </c>
    </row>
    <row r="625" spans="1:13" x14ac:dyDescent="0.2">
      <c r="A625" t="s">
        <v>1261</v>
      </c>
      <c r="B625" t="s">
        <v>1262</v>
      </c>
      <c r="C625">
        <v>55</v>
      </c>
      <c r="D625" t="s">
        <v>20</v>
      </c>
      <c r="E625" t="s">
        <v>21</v>
      </c>
      <c r="F625" s="1">
        <v>45650</v>
      </c>
      <c r="G625" s="1">
        <v>46103</v>
      </c>
      <c r="H625">
        <v>53</v>
      </c>
      <c r="I625">
        <v>4</v>
      </c>
      <c r="J625">
        <v>1</v>
      </c>
      <c r="K625" t="str">
        <f t="shared" si="27"/>
        <v>Dec-2024</v>
      </c>
      <c r="L625" s="1">
        <f t="shared" ca="1" si="28"/>
        <v>55</v>
      </c>
      <c r="M625" t="str">
        <f t="shared" si="29"/>
        <v>46+</v>
      </c>
    </row>
    <row r="626" spans="1:13" x14ac:dyDescent="0.2">
      <c r="A626" t="s">
        <v>1263</v>
      </c>
      <c r="B626" t="s">
        <v>1264</v>
      </c>
      <c r="C626">
        <v>44</v>
      </c>
      <c r="D626" t="s">
        <v>16</v>
      </c>
      <c r="E626" t="s">
        <v>21</v>
      </c>
      <c r="F626" s="1">
        <v>45435</v>
      </c>
      <c r="G626" s="1">
        <v>46043</v>
      </c>
      <c r="H626">
        <v>65</v>
      </c>
      <c r="I626">
        <v>3</v>
      </c>
      <c r="J626">
        <v>0</v>
      </c>
      <c r="K626" t="str">
        <f t="shared" si="27"/>
        <v>May-2024</v>
      </c>
      <c r="L626" s="1">
        <f t="shared" ca="1" si="28"/>
        <v>115</v>
      </c>
      <c r="M626" t="str">
        <f t="shared" si="29"/>
        <v>36-45</v>
      </c>
    </row>
    <row r="627" spans="1:13" x14ac:dyDescent="0.2">
      <c r="A627" t="s">
        <v>1265</v>
      </c>
      <c r="B627" t="s">
        <v>722</v>
      </c>
      <c r="C627">
        <v>29</v>
      </c>
      <c r="D627" t="s">
        <v>20</v>
      </c>
      <c r="E627" t="s">
        <v>17</v>
      </c>
      <c r="F627" s="1">
        <v>45216</v>
      </c>
      <c r="G627" s="1">
        <v>46082</v>
      </c>
      <c r="H627">
        <v>42</v>
      </c>
      <c r="I627">
        <v>6</v>
      </c>
      <c r="J627">
        <v>0</v>
      </c>
      <c r="K627" t="str">
        <f t="shared" si="27"/>
        <v>Oct-2023</v>
      </c>
      <c r="L627" s="1">
        <f t="shared" ca="1" si="28"/>
        <v>76</v>
      </c>
      <c r="M627" t="str">
        <f t="shared" si="29"/>
        <v>26-35</v>
      </c>
    </row>
    <row r="628" spans="1:13" x14ac:dyDescent="0.2">
      <c r="A628" t="s">
        <v>1266</v>
      </c>
      <c r="B628" t="s">
        <v>1267</v>
      </c>
      <c r="C628">
        <v>26</v>
      </c>
      <c r="D628" t="s">
        <v>12</v>
      </c>
      <c r="E628" t="s">
        <v>13</v>
      </c>
      <c r="F628" s="1">
        <v>45628</v>
      </c>
      <c r="G628" s="1">
        <v>46071</v>
      </c>
      <c r="H628">
        <v>28</v>
      </c>
      <c r="I628">
        <v>6</v>
      </c>
      <c r="J628">
        <v>0</v>
      </c>
      <c r="K628" t="str">
        <f t="shared" si="27"/>
        <v>Dec-2024</v>
      </c>
      <c r="L628" s="1">
        <f t="shared" ca="1" si="28"/>
        <v>87</v>
      </c>
      <c r="M628" t="str">
        <f t="shared" si="29"/>
        <v>26-35</v>
      </c>
    </row>
    <row r="629" spans="1:13" x14ac:dyDescent="0.2">
      <c r="A629" t="s">
        <v>1268</v>
      </c>
      <c r="B629" t="s">
        <v>1269</v>
      </c>
      <c r="C629">
        <v>44</v>
      </c>
      <c r="D629" t="s">
        <v>16</v>
      </c>
      <c r="E629" t="s">
        <v>13</v>
      </c>
      <c r="F629" s="1">
        <v>46058</v>
      </c>
      <c r="G629" s="1">
        <v>46074</v>
      </c>
      <c r="H629">
        <v>77</v>
      </c>
      <c r="I629">
        <v>8</v>
      </c>
      <c r="J629">
        <v>0</v>
      </c>
      <c r="K629" t="str">
        <f t="shared" si="27"/>
        <v>Feb-2026</v>
      </c>
      <c r="L629" s="1">
        <f t="shared" ca="1" si="28"/>
        <v>84</v>
      </c>
      <c r="M629" t="str">
        <f t="shared" si="29"/>
        <v>36-45</v>
      </c>
    </row>
    <row r="630" spans="1:13" x14ac:dyDescent="0.2">
      <c r="A630" t="s">
        <v>1270</v>
      </c>
      <c r="B630" t="s">
        <v>1271</v>
      </c>
      <c r="C630">
        <v>30</v>
      </c>
      <c r="D630" t="s">
        <v>12</v>
      </c>
      <c r="E630" t="s">
        <v>21</v>
      </c>
      <c r="F630" s="1">
        <v>45812</v>
      </c>
      <c r="G630" s="1">
        <v>46120</v>
      </c>
      <c r="H630">
        <v>46</v>
      </c>
      <c r="I630">
        <v>5</v>
      </c>
      <c r="J630">
        <v>0</v>
      </c>
      <c r="K630" t="str">
        <f t="shared" si="27"/>
        <v>Jun-2025</v>
      </c>
      <c r="L630" s="1">
        <f t="shared" ca="1" si="28"/>
        <v>38</v>
      </c>
      <c r="M630" t="str">
        <f t="shared" si="29"/>
        <v>26-35</v>
      </c>
    </row>
    <row r="631" spans="1:13" x14ac:dyDescent="0.2">
      <c r="A631" t="s">
        <v>1272</v>
      </c>
      <c r="B631" t="s">
        <v>1273</v>
      </c>
      <c r="C631">
        <v>49</v>
      </c>
      <c r="D631" t="s">
        <v>20</v>
      </c>
      <c r="E631" t="s">
        <v>21</v>
      </c>
      <c r="F631" s="1">
        <v>45336</v>
      </c>
      <c r="G631" s="1">
        <v>46145</v>
      </c>
      <c r="H631">
        <v>6</v>
      </c>
      <c r="I631">
        <v>2</v>
      </c>
      <c r="J631">
        <v>1</v>
      </c>
      <c r="K631" t="str">
        <f t="shared" si="27"/>
        <v>Feb-2024</v>
      </c>
      <c r="L631" s="1">
        <f t="shared" ca="1" si="28"/>
        <v>13</v>
      </c>
      <c r="M631" t="str">
        <f t="shared" si="29"/>
        <v>46+</v>
      </c>
    </row>
    <row r="632" spans="1:13" x14ac:dyDescent="0.2">
      <c r="A632" t="s">
        <v>1274</v>
      </c>
      <c r="B632" t="s">
        <v>1275</v>
      </c>
      <c r="C632">
        <v>27</v>
      </c>
      <c r="D632" t="s">
        <v>20</v>
      </c>
      <c r="E632" t="s">
        <v>21</v>
      </c>
      <c r="F632" s="1">
        <v>45243</v>
      </c>
      <c r="G632" s="1">
        <v>46131</v>
      </c>
      <c r="H632">
        <v>75</v>
      </c>
      <c r="I632">
        <v>7</v>
      </c>
      <c r="J632">
        <v>0</v>
      </c>
      <c r="K632" t="str">
        <f t="shared" si="27"/>
        <v>Nov-2023</v>
      </c>
      <c r="L632" s="1">
        <f t="shared" ca="1" si="28"/>
        <v>27</v>
      </c>
      <c r="M632" t="str">
        <f t="shared" si="29"/>
        <v>26-35</v>
      </c>
    </row>
    <row r="633" spans="1:13" x14ac:dyDescent="0.2">
      <c r="A633" t="s">
        <v>1276</v>
      </c>
      <c r="B633" t="s">
        <v>1277</v>
      </c>
      <c r="C633">
        <v>27</v>
      </c>
      <c r="D633" t="s">
        <v>20</v>
      </c>
      <c r="E633" t="s">
        <v>17</v>
      </c>
      <c r="F633" s="1">
        <v>45424</v>
      </c>
      <c r="G633" s="1">
        <v>46072</v>
      </c>
      <c r="H633">
        <v>21</v>
      </c>
      <c r="I633">
        <v>1</v>
      </c>
      <c r="J633">
        <v>0</v>
      </c>
      <c r="K633" t="str">
        <f t="shared" si="27"/>
        <v>May-2024</v>
      </c>
      <c r="L633" s="1">
        <f t="shared" ca="1" si="28"/>
        <v>86</v>
      </c>
      <c r="M633" t="str">
        <f t="shared" si="29"/>
        <v>26-35</v>
      </c>
    </row>
    <row r="634" spans="1:13" x14ac:dyDescent="0.2">
      <c r="A634" t="s">
        <v>1278</v>
      </c>
      <c r="B634" t="s">
        <v>1279</v>
      </c>
      <c r="C634">
        <v>33</v>
      </c>
      <c r="D634" t="s">
        <v>16</v>
      </c>
      <c r="E634" t="s">
        <v>17</v>
      </c>
      <c r="F634" s="1">
        <v>45267</v>
      </c>
      <c r="G634" s="1">
        <v>46117</v>
      </c>
      <c r="H634">
        <v>71</v>
      </c>
      <c r="I634">
        <v>9</v>
      </c>
      <c r="J634">
        <v>0</v>
      </c>
      <c r="K634" t="str">
        <f t="shared" si="27"/>
        <v>Dec-2023</v>
      </c>
      <c r="L634" s="1">
        <f t="shared" ca="1" si="28"/>
        <v>41</v>
      </c>
      <c r="M634" t="str">
        <f t="shared" si="29"/>
        <v>26-35</v>
      </c>
    </row>
    <row r="635" spans="1:13" x14ac:dyDescent="0.2">
      <c r="A635" t="s">
        <v>1280</v>
      </c>
      <c r="B635" t="s">
        <v>1281</v>
      </c>
      <c r="C635">
        <v>47</v>
      </c>
      <c r="D635" t="s">
        <v>12</v>
      </c>
      <c r="E635" t="s">
        <v>13</v>
      </c>
      <c r="F635" s="1">
        <v>45481</v>
      </c>
      <c r="G635" s="1">
        <v>46102</v>
      </c>
      <c r="H635">
        <v>37</v>
      </c>
      <c r="I635">
        <v>6</v>
      </c>
      <c r="J635">
        <v>0</v>
      </c>
      <c r="K635" t="str">
        <f t="shared" si="27"/>
        <v>Jul-2024</v>
      </c>
      <c r="L635" s="1">
        <f t="shared" ca="1" si="28"/>
        <v>56</v>
      </c>
      <c r="M635" t="str">
        <f t="shared" si="29"/>
        <v>46+</v>
      </c>
    </row>
    <row r="636" spans="1:13" x14ac:dyDescent="0.2">
      <c r="A636" t="s">
        <v>1282</v>
      </c>
      <c r="B636" t="s">
        <v>1283</v>
      </c>
      <c r="C636">
        <v>28</v>
      </c>
      <c r="D636" t="s">
        <v>16</v>
      </c>
      <c r="E636" t="s">
        <v>17</v>
      </c>
      <c r="F636" s="1">
        <v>45554</v>
      </c>
      <c r="G636" s="1">
        <v>46129</v>
      </c>
      <c r="H636">
        <v>46</v>
      </c>
      <c r="I636">
        <v>8</v>
      </c>
      <c r="J636">
        <v>1</v>
      </c>
      <c r="K636" t="str">
        <f t="shared" si="27"/>
        <v>Sep-2024</v>
      </c>
      <c r="L636" s="1">
        <f t="shared" ca="1" si="28"/>
        <v>29</v>
      </c>
      <c r="M636" t="str">
        <f t="shared" si="29"/>
        <v>26-35</v>
      </c>
    </row>
    <row r="637" spans="1:13" x14ac:dyDescent="0.2">
      <c r="A637" t="s">
        <v>1284</v>
      </c>
      <c r="B637" t="s">
        <v>1285</v>
      </c>
      <c r="C637">
        <v>19</v>
      </c>
      <c r="D637" t="s">
        <v>16</v>
      </c>
      <c r="E637" t="s">
        <v>13</v>
      </c>
      <c r="F637" s="1">
        <v>45727</v>
      </c>
      <c r="G637" s="1">
        <v>46101</v>
      </c>
      <c r="H637">
        <v>60</v>
      </c>
      <c r="I637">
        <v>10</v>
      </c>
      <c r="J637">
        <v>0</v>
      </c>
      <c r="K637" t="str">
        <f t="shared" si="27"/>
        <v>Mar-2025</v>
      </c>
      <c r="L637" s="1">
        <f t="shared" ca="1" si="28"/>
        <v>57</v>
      </c>
      <c r="M637" t="str">
        <f t="shared" si="29"/>
        <v>18-25</v>
      </c>
    </row>
    <row r="638" spans="1:13" x14ac:dyDescent="0.2">
      <c r="A638" t="s">
        <v>1286</v>
      </c>
      <c r="B638" t="s">
        <v>1287</v>
      </c>
      <c r="C638">
        <v>41</v>
      </c>
      <c r="D638" t="s">
        <v>12</v>
      </c>
      <c r="E638" t="s">
        <v>21</v>
      </c>
      <c r="F638" s="1">
        <v>45358</v>
      </c>
      <c r="G638" s="1">
        <v>46095</v>
      </c>
      <c r="H638">
        <v>33</v>
      </c>
      <c r="I638">
        <v>6</v>
      </c>
      <c r="J638">
        <v>1</v>
      </c>
      <c r="K638" t="str">
        <f t="shared" si="27"/>
        <v>Mar-2024</v>
      </c>
      <c r="L638" s="1">
        <f t="shared" ca="1" si="28"/>
        <v>63</v>
      </c>
      <c r="M638" t="str">
        <f t="shared" si="29"/>
        <v>36-45</v>
      </c>
    </row>
    <row r="639" spans="1:13" x14ac:dyDescent="0.2">
      <c r="A639" t="s">
        <v>1288</v>
      </c>
      <c r="B639" t="s">
        <v>1289</v>
      </c>
      <c r="C639">
        <v>20</v>
      </c>
      <c r="D639" t="s">
        <v>12</v>
      </c>
      <c r="E639" t="s">
        <v>21</v>
      </c>
      <c r="F639" s="1">
        <v>45257</v>
      </c>
      <c r="G639" s="1">
        <v>46119</v>
      </c>
      <c r="H639">
        <v>42</v>
      </c>
      <c r="I639">
        <v>4</v>
      </c>
      <c r="J639">
        <v>0</v>
      </c>
      <c r="K639" t="str">
        <f t="shared" si="27"/>
        <v>Nov-2023</v>
      </c>
      <c r="L639" s="1">
        <f t="shared" ca="1" si="28"/>
        <v>39</v>
      </c>
      <c r="M639" t="str">
        <f t="shared" si="29"/>
        <v>18-25</v>
      </c>
    </row>
    <row r="640" spans="1:13" x14ac:dyDescent="0.2">
      <c r="A640" t="s">
        <v>1290</v>
      </c>
      <c r="B640" t="s">
        <v>1291</v>
      </c>
      <c r="C640">
        <v>18</v>
      </c>
      <c r="D640" t="s">
        <v>12</v>
      </c>
      <c r="E640" t="s">
        <v>17</v>
      </c>
      <c r="F640" s="1">
        <v>45904</v>
      </c>
      <c r="G640" s="1">
        <v>46138</v>
      </c>
      <c r="H640">
        <v>6</v>
      </c>
      <c r="I640">
        <v>7</v>
      </c>
      <c r="J640">
        <v>0</v>
      </c>
      <c r="K640" t="str">
        <f t="shared" si="27"/>
        <v>Sep-2025</v>
      </c>
      <c r="L640" s="1">
        <f t="shared" ca="1" si="28"/>
        <v>20</v>
      </c>
      <c r="M640" t="str">
        <f t="shared" si="29"/>
        <v>18-25</v>
      </c>
    </row>
    <row r="641" spans="1:13" x14ac:dyDescent="0.2">
      <c r="A641" t="s">
        <v>1292</v>
      </c>
      <c r="B641" t="s">
        <v>1293</v>
      </c>
      <c r="C641">
        <v>38</v>
      </c>
      <c r="D641" t="s">
        <v>12</v>
      </c>
      <c r="E641" t="s">
        <v>21</v>
      </c>
      <c r="F641" s="1">
        <v>45545</v>
      </c>
      <c r="G641" s="1">
        <v>46113</v>
      </c>
      <c r="H641">
        <v>29</v>
      </c>
      <c r="I641">
        <v>2</v>
      </c>
      <c r="J641">
        <v>0</v>
      </c>
      <c r="K641" t="str">
        <f t="shared" si="27"/>
        <v>Sep-2024</v>
      </c>
      <c r="L641" s="1">
        <f t="shared" ca="1" si="28"/>
        <v>45</v>
      </c>
      <c r="M641" t="str">
        <f t="shared" si="29"/>
        <v>36-45</v>
      </c>
    </row>
    <row r="642" spans="1:13" x14ac:dyDescent="0.2">
      <c r="A642" t="s">
        <v>1294</v>
      </c>
      <c r="B642" t="s">
        <v>1295</v>
      </c>
      <c r="C642">
        <v>18</v>
      </c>
      <c r="D642" t="s">
        <v>12</v>
      </c>
      <c r="E642" t="s">
        <v>17</v>
      </c>
      <c r="F642" s="1">
        <v>46017</v>
      </c>
      <c r="G642" s="1">
        <v>46125</v>
      </c>
      <c r="H642">
        <v>7</v>
      </c>
      <c r="I642">
        <v>4</v>
      </c>
      <c r="J642">
        <v>1</v>
      </c>
      <c r="K642" t="str">
        <f t="shared" si="27"/>
        <v>Dec-2025</v>
      </c>
      <c r="L642" s="1">
        <f t="shared" ca="1" si="28"/>
        <v>33</v>
      </c>
      <c r="M642" t="str">
        <f t="shared" si="29"/>
        <v>18-25</v>
      </c>
    </row>
    <row r="643" spans="1:13" x14ac:dyDescent="0.2">
      <c r="A643" t="s">
        <v>1296</v>
      </c>
      <c r="B643" t="s">
        <v>1297</v>
      </c>
      <c r="C643">
        <v>45</v>
      </c>
      <c r="D643" t="s">
        <v>12</v>
      </c>
      <c r="E643" t="s">
        <v>17</v>
      </c>
      <c r="F643" s="1">
        <v>46007</v>
      </c>
      <c r="G643" s="1">
        <v>46067</v>
      </c>
      <c r="H643">
        <v>11</v>
      </c>
      <c r="I643">
        <v>5</v>
      </c>
      <c r="J643">
        <v>1</v>
      </c>
      <c r="K643" t="str">
        <f t="shared" ref="K643:K706" si="30">TEXT(F643,"MMM-YYYY")</f>
        <v>Dec-2025</v>
      </c>
      <c r="L643" s="1">
        <f t="shared" ref="L643:L706" ca="1" si="31">TODAY()-G643</f>
        <v>91</v>
      </c>
      <c r="M643" t="str">
        <f t="shared" ref="M643:M706" si="32">IF(C643&lt;=25,"18-25",IF(C643&lt;=35,"26-35",IF(C643&lt;=45,"36-45","46+")))</f>
        <v>36-45</v>
      </c>
    </row>
    <row r="644" spans="1:13" x14ac:dyDescent="0.2">
      <c r="A644" t="s">
        <v>1298</v>
      </c>
      <c r="B644" t="s">
        <v>1299</v>
      </c>
      <c r="C644">
        <v>45</v>
      </c>
      <c r="D644" t="s">
        <v>20</v>
      </c>
      <c r="E644" t="s">
        <v>21</v>
      </c>
      <c r="F644" s="1">
        <v>45482</v>
      </c>
      <c r="G644" s="1">
        <v>46095</v>
      </c>
      <c r="H644">
        <v>43</v>
      </c>
      <c r="I644">
        <v>5</v>
      </c>
      <c r="J644">
        <v>0</v>
      </c>
      <c r="K644" t="str">
        <f t="shared" si="30"/>
        <v>Jul-2024</v>
      </c>
      <c r="L644" s="1">
        <f t="shared" ca="1" si="31"/>
        <v>63</v>
      </c>
      <c r="M644" t="str">
        <f t="shared" si="32"/>
        <v>36-45</v>
      </c>
    </row>
    <row r="645" spans="1:13" x14ac:dyDescent="0.2">
      <c r="A645" t="s">
        <v>1300</v>
      </c>
      <c r="B645" t="s">
        <v>1301</v>
      </c>
      <c r="C645">
        <v>28</v>
      </c>
      <c r="D645" t="s">
        <v>12</v>
      </c>
      <c r="E645" t="s">
        <v>13</v>
      </c>
      <c r="F645" s="1">
        <v>45591</v>
      </c>
      <c r="G645" s="1">
        <v>46041</v>
      </c>
      <c r="H645">
        <v>40</v>
      </c>
      <c r="I645">
        <v>10</v>
      </c>
      <c r="J645">
        <v>0</v>
      </c>
      <c r="K645" t="str">
        <f t="shared" si="30"/>
        <v>Oct-2024</v>
      </c>
      <c r="L645" s="1">
        <f t="shared" ca="1" si="31"/>
        <v>117</v>
      </c>
      <c r="M645" t="str">
        <f t="shared" si="32"/>
        <v>26-35</v>
      </c>
    </row>
    <row r="646" spans="1:13" x14ac:dyDescent="0.2">
      <c r="A646" t="s">
        <v>1302</v>
      </c>
      <c r="B646" t="s">
        <v>1303</v>
      </c>
      <c r="C646">
        <v>20</v>
      </c>
      <c r="D646" t="s">
        <v>12</v>
      </c>
      <c r="E646" t="s">
        <v>13</v>
      </c>
      <c r="F646" s="1">
        <v>45316</v>
      </c>
      <c r="G646" s="1">
        <v>46104</v>
      </c>
      <c r="H646">
        <v>55</v>
      </c>
      <c r="I646">
        <v>5</v>
      </c>
      <c r="J646">
        <v>0</v>
      </c>
      <c r="K646" t="str">
        <f t="shared" si="30"/>
        <v>Jan-2024</v>
      </c>
      <c r="L646" s="1">
        <f t="shared" ca="1" si="31"/>
        <v>54</v>
      </c>
      <c r="M646" t="str">
        <f t="shared" si="32"/>
        <v>18-25</v>
      </c>
    </row>
    <row r="647" spans="1:13" x14ac:dyDescent="0.2">
      <c r="A647" t="s">
        <v>1304</v>
      </c>
      <c r="B647" t="s">
        <v>1305</v>
      </c>
      <c r="C647">
        <v>58</v>
      </c>
      <c r="D647" t="s">
        <v>16</v>
      </c>
      <c r="E647" t="s">
        <v>21</v>
      </c>
      <c r="F647" s="1">
        <v>45874</v>
      </c>
      <c r="G647" s="1">
        <v>46111</v>
      </c>
      <c r="H647">
        <v>63</v>
      </c>
      <c r="I647">
        <v>3</v>
      </c>
      <c r="J647">
        <v>1</v>
      </c>
      <c r="K647" t="str">
        <f t="shared" si="30"/>
        <v>Aug-2025</v>
      </c>
      <c r="L647" s="1">
        <f t="shared" ca="1" si="31"/>
        <v>47</v>
      </c>
      <c r="M647" t="str">
        <f t="shared" si="32"/>
        <v>46+</v>
      </c>
    </row>
    <row r="648" spans="1:13" x14ac:dyDescent="0.2">
      <c r="A648" t="s">
        <v>1306</v>
      </c>
      <c r="B648" t="s">
        <v>1307</v>
      </c>
      <c r="C648">
        <v>21</v>
      </c>
      <c r="D648" t="s">
        <v>12</v>
      </c>
      <c r="E648" t="s">
        <v>21</v>
      </c>
      <c r="F648" s="1">
        <v>45286</v>
      </c>
      <c r="G648" s="1">
        <v>46099</v>
      </c>
      <c r="H648">
        <v>32</v>
      </c>
      <c r="I648">
        <v>6</v>
      </c>
      <c r="J648">
        <v>1</v>
      </c>
      <c r="K648" t="str">
        <f t="shared" si="30"/>
        <v>Dec-2023</v>
      </c>
      <c r="L648" s="1">
        <f t="shared" ca="1" si="31"/>
        <v>59</v>
      </c>
      <c r="M648" t="str">
        <f t="shared" si="32"/>
        <v>18-25</v>
      </c>
    </row>
    <row r="649" spans="1:13" x14ac:dyDescent="0.2">
      <c r="A649" t="s">
        <v>1308</v>
      </c>
      <c r="B649" t="s">
        <v>1309</v>
      </c>
      <c r="C649">
        <v>27</v>
      </c>
      <c r="D649" t="s">
        <v>20</v>
      </c>
      <c r="E649" t="s">
        <v>17</v>
      </c>
      <c r="F649" s="1">
        <v>45404</v>
      </c>
      <c r="G649" s="1">
        <v>46040</v>
      </c>
      <c r="H649">
        <v>21</v>
      </c>
      <c r="I649">
        <v>4</v>
      </c>
      <c r="J649">
        <v>0</v>
      </c>
      <c r="K649" t="str">
        <f t="shared" si="30"/>
        <v>Apr-2024</v>
      </c>
      <c r="L649" s="1">
        <f t="shared" ca="1" si="31"/>
        <v>118</v>
      </c>
      <c r="M649" t="str">
        <f t="shared" si="32"/>
        <v>26-35</v>
      </c>
    </row>
    <row r="650" spans="1:13" x14ac:dyDescent="0.2">
      <c r="A650" t="s">
        <v>1310</v>
      </c>
      <c r="B650" t="s">
        <v>1311</v>
      </c>
      <c r="C650">
        <v>60</v>
      </c>
      <c r="D650" t="s">
        <v>12</v>
      </c>
      <c r="E650" t="s">
        <v>17</v>
      </c>
      <c r="F650" s="1">
        <v>45683</v>
      </c>
      <c r="G650" s="1">
        <v>46144</v>
      </c>
      <c r="H650">
        <v>29</v>
      </c>
      <c r="I650">
        <v>10</v>
      </c>
      <c r="J650">
        <v>0</v>
      </c>
      <c r="K650" t="str">
        <f t="shared" si="30"/>
        <v>Jan-2025</v>
      </c>
      <c r="L650" s="1">
        <f t="shared" ca="1" si="31"/>
        <v>14</v>
      </c>
      <c r="M650" t="str">
        <f t="shared" si="32"/>
        <v>46+</v>
      </c>
    </row>
    <row r="651" spans="1:13" x14ac:dyDescent="0.2">
      <c r="A651" t="s">
        <v>1312</v>
      </c>
      <c r="B651" t="s">
        <v>1313</v>
      </c>
      <c r="C651">
        <v>57</v>
      </c>
      <c r="D651" t="s">
        <v>20</v>
      </c>
      <c r="E651" t="s">
        <v>17</v>
      </c>
      <c r="F651" s="1">
        <v>45252</v>
      </c>
      <c r="G651" s="1">
        <v>46123</v>
      </c>
      <c r="H651">
        <v>80</v>
      </c>
      <c r="I651">
        <v>9</v>
      </c>
      <c r="J651">
        <v>0</v>
      </c>
      <c r="K651" t="str">
        <f t="shared" si="30"/>
        <v>Nov-2023</v>
      </c>
      <c r="L651" s="1">
        <f t="shared" ca="1" si="31"/>
        <v>35</v>
      </c>
      <c r="M651" t="str">
        <f t="shared" si="32"/>
        <v>46+</v>
      </c>
    </row>
    <row r="652" spans="1:13" x14ac:dyDescent="0.2">
      <c r="A652" t="s">
        <v>1314</v>
      </c>
      <c r="B652" t="s">
        <v>1315</v>
      </c>
      <c r="C652">
        <v>40</v>
      </c>
      <c r="D652" t="s">
        <v>20</v>
      </c>
      <c r="E652" t="s">
        <v>21</v>
      </c>
      <c r="F652" s="1">
        <v>45311</v>
      </c>
      <c r="G652" s="1">
        <v>46108</v>
      </c>
      <c r="H652">
        <v>12</v>
      </c>
      <c r="I652">
        <v>2</v>
      </c>
      <c r="J652">
        <v>0</v>
      </c>
      <c r="K652" t="str">
        <f t="shared" si="30"/>
        <v>Jan-2024</v>
      </c>
      <c r="L652" s="1">
        <f t="shared" ca="1" si="31"/>
        <v>50</v>
      </c>
      <c r="M652" t="str">
        <f t="shared" si="32"/>
        <v>36-45</v>
      </c>
    </row>
    <row r="653" spans="1:13" x14ac:dyDescent="0.2">
      <c r="A653" t="s">
        <v>1316</v>
      </c>
      <c r="B653" t="s">
        <v>1317</v>
      </c>
      <c r="C653">
        <v>25</v>
      </c>
      <c r="D653" t="s">
        <v>16</v>
      </c>
      <c r="E653" t="s">
        <v>21</v>
      </c>
      <c r="F653" s="1">
        <v>45929</v>
      </c>
      <c r="G653" s="1">
        <v>46088</v>
      </c>
      <c r="H653">
        <v>36</v>
      </c>
      <c r="I653">
        <v>10</v>
      </c>
      <c r="J653">
        <v>1</v>
      </c>
      <c r="K653" t="str">
        <f t="shared" si="30"/>
        <v>Sep-2025</v>
      </c>
      <c r="L653" s="1">
        <f t="shared" ca="1" si="31"/>
        <v>70</v>
      </c>
      <c r="M653" t="str">
        <f t="shared" si="32"/>
        <v>18-25</v>
      </c>
    </row>
    <row r="654" spans="1:13" x14ac:dyDescent="0.2">
      <c r="A654" t="s">
        <v>1318</v>
      </c>
      <c r="B654" t="s">
        <v>1319</v>
      </c>
      <c r="C654">
        <v>39</v>
      </c>
      <c r="D654" t="s">
        <v>20</v>
      </c>
      <c r="E654" t="s">
        <v>21</v>
      </c>
      <c r="F654" s="1">
        <v>46087</v>
      </c>
      <c r="G654" s="1">
        <v>46133</v>
      </c>
      <c r="H654">
        <v>20</v>
      </c>
      <c r="I654">
        <v>9</v>
      </c>
      <c r="J654">
        <v>0</v>
      </c>
      <c r="K654" t="str">
        <f t="shared" si="30"/>
        <v>Mar-2026</v>
      </c>
      <c r="L654" s="1">
        <f t="shared" ca="1" si="31"/>
        <v>25</v>
      </c>
      <c r="M654" t="str">
        <f t="shared" si="32"/>
        <v>36-45</v>
      </c>
    </row>
    <row r="655" spans="1:13" x14ac:dyDescent="0.2">
      <c r="A655" t="s">
        <v>1320</v>
      </c>
      <c r="B655" t="s">
        <v>1321</v>
      </c>
      <c r="C655">
        <v>35</v>
      </c>
      <c r="D655" t="s">
        <v>12</v>
      </c>
      <c r="E655" t="s">
        <v>13</v>
      </c>
      <c r="F655" s="1">
        <v>45747</v>
      </c>
      <c r="G655" s="1">
        <v>46062</v>
      </c>
      <c r="H655">
        <v>12</v>
      </c>
      <c r="I655">
        <v>9</v>
      </c>
      <c r="J655">
        <v>0</v>
      </c>
      <c r="K655" t="str">
        <f t="shared" si="30"/>
        <v>Mar-2025</v>
      </c>
      <c r="L655" s="1">
        <f t="shared" ca="1" si="31"/>
        <v>96</v>
      </c>
      <c r="M655" t="str">
        <f t="shared" si="32"/>
        <v>26-35</v>
      </c>
    </row>
    <row r="656" spans="1:13" x14ac:dyDescent="0.2">
      <c r="A656" t="s">
        <v>1322</v>
      </c>
      <c r="B656" t="s">
        <v>1323</v>
      </c>
      <c r="C656">
        <v>25</v>
      </c>
      <c r="D656" t="s">
        <v>20</v>
      </c>
      <c r="E656" t="s">
        <v>21</v>
      </c>
      <c r="F656" s="1">
        <v>46000</v>
      </c>
      <c r="G656" s="1">
        <v>46145</v>
      </c>
      <c r="H656">
        <v>75</v>
      </c>
      <c r="I656">
        <v>3</v>
      </c>
      <c r="J656">
        <v>0</v>
      </c>
      <c r="K656" t="str">
        <f t="shared" si="30"/>
        <v>Dec-2025</v>
      </c>
      <c r="L656" s="1">
        <f t="shared" ca="1" si="31"/>
        <v>13</v>
      </c>
      <c r="M656" t="str">
        <f t="shared" si="32"/>
        <v>18-25</v>
      </c>
    </row>
    <row r="657" spans="1:13" x14ac:dyDescent="0.2">
      <c r="A657" t="s">
        <v>1324</v>
      </c>
      <c r="B657" t="s">
        <v>1325</v>
      </c>
      <c r="C657">
        <v>31</v>
      </c>
      <c r="D657" t="s">
        <v>16</v>
      </c>
      <c r="E657" t="s">
        <v>21</v>
      </c>
      <c r="F657" s="1">
        <v>46049</v>
      </c>
      <c r="G657" s="1">
        <v>46093</v>
      </c>
      <c r="H657">
        <v>19</v>
      </c>
      <c r="I657">
        <v>8</v>
      </c>
      <c r="J657">
        <v>1</v>
      </c>
      <c r="K657" t="str">
        <f t="shared" si="30"/>
        <v>Jan-2026</v>
      </c>
      <c r="L657" s="1">
        <f t="shared" ca="1" si="31"/>
        <v>65</v>
      </c>
      <c r="M657" t="str">
        <f t="shared" si="32"/>
        <v>26-35</v>
      </c>
    </row>
    <row r="658" spans="1:13" x14ac:dyDescent="0.2">
      <c r="A658" t="s">
        <v>1326</v>
      </c>
      <c r="B658" t="s">
        <v>409</v>
      </c>
      <c r="C658">
        <v>27</v>
      </c>
      <c r="D658" t="s">
        <v>20</v>
      </c>
      <c r="E658" t="s">
        <v>21</v>
      </c>
      <c r="F658" s="1">
        <v>45853</v>
      </c>
      <c r="G658" s="1">
        <v>46122</v>
      </c>
      <c r="H658">
        <v>59</v>
      </c>
      <c r="I658">
        <v>5</v>
      </c>
      <c r="J658">
        <v>1</v>
      </c>
      <c r="K658" t="str">
        <f t="shared" si="30"/>
        <v>Jul-2025</v>
      </c>
      <c r="L658" s="1">
        <f t="shared" ca="1" si="31"/>
        <v>36</v>
      </c>
      <c r="M658" t="str">
        <f t="shared" si="32"/>
        <v>26-35</v>
      </c>
    </row>
    <row r="659" spans="1:13" x14ac:dyDescent="0.2">
      <c r="A659" t="s">
        <v>1327</v>
      </c>
      <c r="B659" t="s">
        <v>1328</v>
      </c>
      <c r="C659">
        <v>29</v>
      </c>
      <c r="D659" t="s">
        <v>20</v>
      </c>
      <c r="E659" t="s">
        <v>21</v>
      </c>
      <c r="F659" s="1">
        <v>45939</v>
      </c>
      <c r="G659" s="1">
        <v>46056</v>
      </c>
      <c r="H659">
        <v>28</v>
      </c>
      <c r="I659">
        <v>3</v>
      </c>
      <c r="J659">
        <v>1</v>
      </c>
      <c r="K659" t="str">
        <f t="shared" si="30"/>
        <v>Oct-2025</v>
      </c>
      <c r="L659" s="1">
        <f t="shared" ca="1" si="31"/>
        <v>102</v>
      </c>
      <c r="M659" t="str">
        <f t="shared" si="32"/>
        <v>26-35</v>
      </c>
    </row>
    <row r="660" spans="1:13" x14ac:dyDescent="0.2">
      <c r="A660" t="s">
        <v>1329</v>
      </c>
      <c r="B660" t="s">
        <v>1330</v>
      </c>
      <c r="C660">
        <v>24</v>
      </c>
      <c r="D660" t="s">
        <v>20</v>
      </c>
      <c r="E660" t="s">
        <v>13</v>
      </c>
      <c r="F660" s="1">
        <v>46001</v>
      </c>
      <c r="G660" s="1">
        <v>46149</v>
      </c>
      <c r="H660">
        <v>29</v>
      </c>
      <c r="I660">
        <v>6</v>
      </c>
      <c r="J660">
        <v>0</v>
      </c>
      <c r="K660" t="str">
        <f t="shared" si="30"/>
        <v>Dec-2025</v>
      </c>
      <c r="L660" s="1">
        <f t="shared" ca="1" si="31"/>
        <v>9</v>
      </c>
      <c r="M660" t="str">
        <f t="shared" si="32"/>
        <v>18-25</v>
      </c>
    </row>
    <row r="661" spans="1:13" x14ac:dyDescent="0.2">
      <c r="A661" t="s">
        <v>1331</v>
      </c>
      <c r="B661" t="s">
        <v>1332</v>
      </c>
      <c r="C661">
        <v>18</v>
      </c>
      <c r="D661" t="s">
        <v>12</v>
      </c>
      <c r="E661" t="s">
        <v>21</v>
      </c>
      <c r="F661" s="1">
        <v>45787</v>
      </c>
      <c r="G661" s="1">
        <v>46030</v>
      </c>
      <c r="H661">
        <v>49</v>
      </c>
      <c r="I661">
        <v>8</v>
      </c>
      <c r="J661">
        <v>1</v>
      </c>
      <c r="K661" t="str">
        <f t="shared" si="30"/>
        <v>May-2025</v>
      </c>
      <c r="L661" s="1">
        <f t="shared" ca="1" si="31"/>
        <v>128</v>
      </c>
      <c r="M661" t="str">
        <f t="shared" si="32"/>
        <v>18-25</v>
      </c>
    </row>
    <row r="662" spans="1:13" x14ac:dyDescent="0.2">
      <c r="A662" t="s">
        <v>1333</v>
      </c>
      <c r="B662" t="s">
        <v>1334</v>
      </c>
      <c r="C662">
        <v>18</v>
      </c>
      <c r="D662" t="s">
        <v>16</v>
      </c>
      <c r="E662" t="s">
        <v>13</v>
      </c>
      <c r="F662" s="1">
        <v>45952</v>
      </c>
      <c r="G662" s="1">
        <v>46048</v>
      </c>
      <c r="H662">
        <v>65</v>
      </c>
      <c r="I662">
        <v>6</v>
      </c>
      <c r="J662">
        <v>0</v>
      </c>
      <c r="K662" t="str">
        <f t="shared" si="30"/>
        <v>Oct-2025</v>
      </c>
      <c r="L662" s="1">
        <f t="shared" ca="1" si="31"/>
        <v>110</v>
      </c>
      <c r="M662" t="str">
        <f t="shared" si="32"/>
        <v>18-25</v>
      </c>
    </row>
    <row r="663" spans="1:13" x14ac:dyDescent="0.2">
      <c r="A663" t="s">
        <v>1335</v>
      </c>
      <c r="B663" t="s">
        <v>1336</v>
      </c>
      <c r="C663">
        <v>25</v>
      </c>
      <c r="D663" t="s">
        <v>20</v>
      </c>
      <c r="E663" t="s">
        <v>21</v>
      </c>
      <c r="F663" s="1">
        <v>45663</v>
      </c>
      <c r="G663" s="1">
        <v>46057</v>
      </c>
      <c r="H663">
        <v>53</v>
      </c>
      <c r="I663">
        <v>5</v>
      </c>
      <c r="J663">
        <v>1</v>
      </c>
      <c r="K663" t="str">
        <f t="shared" si="30"/>
        <v>Jan-2025</v>
      </c>
      <c r="L663" s="1">
        <f t="shared" ca="1" si="31"/>
        <v>101</v>
      </c>
      <c r="M663" t="str">
        <f t="shared" si="32"/>
        <v>18-25</v>
      </c>
    </row>
    <row r="664" spans="1:13" x14ac:dyDescent="0.2">
      <c r="A664" t="s">
        <v>1337</v>
      </c>
      <c r="B664" t="s">
        <v>1338</v>
      </c>
      <c r="C664">
        <v>27</v>
      </c>
      <c r="D664" t="s">
        <v>12</v>
      </c>
      <c r="E664" t="s">
        <v>17</v>
      </c>
      <c r="F664" s="1">
        <v>45336</v>
      </c>
      <c r="G664" s="1">
        <v>46055</v>
      </c>
      <c r="H664">
        <v>44</v>
      </c>
      <c r="I664">
        <v>5</v>
      </c>
      <c r="J664">
        <v>0</v>
      </c>
      <c r="K664" t="str">
        <f t="shared" si="30"/>
        <v>Feb-2024</v>
      </c>
      <c r="L664" s="1">
        <f t="shared" ca="1" si="31"/>
        <v>103</v>
      </c>
      <c r="M664" t="str">
        <f t="shared" si="32"/>
        <v>26-35</v>
      </c>
    </row>
    <row r="665" spans="1:13" x14ac:dyDescent="0.2">
      <c r="A665" t="s">
        <v>1339</v>
      </c>
      <c r="B665" t="s">
        <v>1340</v>
      </c>
      <c r="C665">
        <v>20</v>
      </c>
      <c r="D665" t="s">
        <v>16</v>
      </c>
      <c r="E665" t="s">
        <v>21</v>
      </c>
      <c r="F665" s="1">
        <v>45379</v>
      </c>
      <c r="G665" s="1">
        <v>46046</v>
      </c>
      <c r="H665">
        <v>79</v>
      </c>
      <c r="I665">
        <v>7</v>
      </c>
      <c r="J665">
        <v>1</v>
      </c>
      <c r="K665" t="str">
        <f t="shared" si="30"/>
        <v>Mar-2024</v>
      </c>
      <c r="L665" s="1">
        <f t="shared" ca="1" si="31"/>
        <v>112</v>
      </c>
      <c r="M665" t="str">
        <f t="shared" si="32"/>
        <v>18-25</v>
      </c>
    </row>
    <row r="666" spans="1:13" x14ac:dyDescent="0.2">
      <c r="A666" t="s">
        <v>1341</v>
      </c>
      <c r="B666" t="s">
        <v>1342</v>
      </c>
      <c r="C666">
        <v>25</v>
      </c>
      <c r="D666" t="s">
        <v>12</v>
      </c>
      <c r="E666" t="s">
        <v>21</v>
      </c>
      <c r="F666" s="1">
        <v>45904</v>
      </c>
      <c r="G666" s="1">
        <v>46035</v>
      </c>
      <c r="H666">
        <v>13</v>
      </c>
      <c r="I666">
        <v>10</v>
      </c>
      <c r="J666">
        <v>0</v>
      </c>
      <c r="K666" t="str">
        <f t="shared" si="30"/>
        <v>Sep-2025</v>
      </c>
      <c r="L666" s="1">
        <f t="shared" ca="1" si="31"/>
        <v>123</v>
      </c>
      <c r="M666" t="str">
        <f t="shared" si="32"/>
        <v>18-25</v>
      </c>
    </row>
    <row r="667" spans="1:13" x14ac:dyDescent="0.2">
      <c r="A667" t="s">
        <v>1343</v>
      </c>
      <c r="B667" t="s">
        <v>1344</v>
      </c>
      <c r="C667">
        <v>55</v>
      </c>
      <c r="D667" t="s">
        <v>20</v>
      </c>
      <c r="E667" t="s">
        <v>17</v>
      </c>
      <c r="F667" s="1">
        <v>45217</v>
      </c>
      <c r="G667" s="1">
        <v>46091</v>
      </c>
      <c r="H667">
        <v>1</v>
      </c>
      <c r="I667">
        <v>8</v>
      </c>
      <c r="J667">
        <v>0</v>
      </c>
      <c r="K667" t="str">
        <f t="shared" si="30"/>
        <v>Oct-2023</v>
      </c>
      <c r="L667" s="1">
        <f t="shared" ca="1" si="31"/>
        <v>67</v>
      </c>
      <c r="M667" t="str">
        <f t="shared" si="32"/>
        <v>46+</v>
      </c>
    </row>
    <row r="668" spans="1:13" x14ac:dyDescent="0.2">
      <c r="A668" t="s">
        <v>1345</v>
      </c>
      <c r="B668" t="s">
        <v>1346</v>
      </c>
      <c r="C668">
        <v>55</v>
      </c>
      <c r="D668" t="s">
        <v>12</v>
      </c>
      <c r="E668" t="s">
        <v>21</v>
      </c>
      <c r="F668" s="1">
        <v>45566</v>
      </c>
      <c r="G668" s="1">
        <v>46073</v>
      </c>
      <c r="H668">
        <v>67</v>
      </c>
      <c r="I668">
        <v>4</v>
      </c>
      <c r="J668">
        <v>1</v>
      </c>
      <c r="K668" t="str">
        <f t="shared" si="30"/>
        <v>Oct-2024</v>
      </c>
      <c r="L668" s="1">
        <f t="shared" ca="1" si="31"/>
        <v>85</v>
      </c>
      <c r="M668" t="str">
        <f t="shared" si="32"/>
        <v>46+</v>
      </c>
    </row>
    <row r="669" spans="1:13" x14ac:dyDescent="0.2">
      <c r="A669" t="s">
        <v>1347</v>
      </c>
      <c r="B669" t="s">
        <v>1348</v>
      </c>
      <c r="C669">
        <v>53</v>
      </c>
      <c r="D669" t="s">
        <v>12</v>
      </c>
      <c r="E669" t="s">
        <v>17</v>
      </c>
      <c r="F669" s="1">
        <v>45782</v>
      </c>
      <c r="G669" s="1">
        <v>46052</v>
      </c>
      <c r="H669">
        <v>50</v>
      </c>
      <c r="I669">
        <v>5</v>
      </c>
      <c r="J669">
        <v>1</v>
      </c>
      <c r="K669" t="str">
        <f t="shared" si="30"/>
        <v>May-2025</v>
      </c>
      <c r="L669" s="1">
        <f t="shared" ca="1" si="31"/>
        <v>106</v>
      </c>
      <c r="M669" t="str">
        <f t="shared" si="32"/>
        <v>46+</v>
      </c>
    </row>
    <row r="670" spans="1:13" x14ac:dyDescent="0.2">
      <c r="A670" t="s">
        <v>1349</v>
      </c>
      <c r="B670" t="s">
        <v>1350</v>
      </c>
      <c r="C670">
        <v>41</v>
      </c>
      <c r="D670" t="s">
        <v>16</v>
      </c>
      <c r="E670" t="s">
        <v>21</v>
      </c>
      <c r="F670" s="1">
        <v>45371</v>
      </c>
      <c r="G670" s="1">
        <v>46121</v>
      </c>
      <c r="H670">
        <v>6</v>
      </c>
      <c r="I670">
        <v>1</v>
      </c>
      <c r="J670">
        <v>1</v>
      </c>
      <c r="K670" t="str">
        <f t="shared" si="30"/>
        <v>Mar-2024</v>
      </c>
      <c r="L670" s="1">
        <f t="shared" ca="1" si="31"/>
        <v>37</v>
      </c>
      <c r="M670" t="str">
        <f t="shared" si="32"/>
        <v>36-45</v>
      </c>
    </row>
    <row r="671" spans="1:13" x14ac:dyDescent="0.2">
      <c r="A671" t="s">
        <v>1351</v>
      </c>
      <c r="B671" t="s">
        <v>1352</v>
      </c>
      <c r="C671">
        <v>48</v>
      </c>
      <c r="D671" t="s">
        <v>12</v>
      </c>
      <c r="E671" t="s">
        <v>21</v>
      </c>
      <c r="F671" s="1">
        <v>45840</v>
      </c>
      <c r="G671" s="1">
        <v>46097</v>
      </c>
      <c r="H671">
        <v>35</v>
      </c>
      <c r="I671">
        <v>10</v>
      </c>
      <c r="J671">
        <v>0</v>
      </c>
      <c r="K671" t="str">
        <f t="shared" si="30"/>
        <v>Jul-2025</v>
      </c>
      <c r="L671" s="1">
        <f t="shared" ca="1" si="31"/>
        <v>61</v>
      </c>
      <c r="M671" t="str">
        <f t="shared" si="32"/>
        <v>46+</v>
      </c>
    </row>
    <row r="672" spans="1:13" x14ac:dyDescent="0.2">
      <c r="A672" t="s">
        <v>1353</v>
      </c>
      <c r="B672" t="s">
        <v>1354</v>
      </c>
      <c r="C672">
        <v>31</v>
      </c>
      <c r="D672" t="s">
        <v>16</v>
      </c>
      <c r="E672" t="s">
        <v>13</v>
      </c>
      <c r="F672" s="1">
        <v>45213</v>
      </c>
      <c r="G672" s="1">
        <v>46131</v>
      </c>
      <c r="H672">
        <v>1</v>
      </c>
      <c r="I672">
        <v>3</v>
      </c>
      <c r="J672">
        <v>1</v>
      </c>
      <c r="K672" t="str">
        <f t="shared" si="30"/>
        <v>Oct-2023</v>
      </c>
      <c r="L672" s="1">
        <f t="shared" ca="1" si="31"/>
        <v>27</v>
      </c>
      <c r="M672" t="str">
        <f t="shared" si="32"/>
        <v>26-35</v>
      </c>
    </row>
    <row r="673" spans="1:13" x14ac:dyDescent="0.2">
      <c r="A673" t="s">
        <v>1355</v>
      </c>
      <c r="B673" t="s">
        <v>1356</v>
      </c>
      <c r="C673">
        <v>29</v>
      </c>
      <c r="D673" t="s">
        <v>16</v>
      </c>
      <c r="E673" t="s">
        <v>21</v>
      </c>
      <c r="F673" s="1">
        <v>45854</v>
      </c>
      <c r="G673" s="1">
        <v>46060</v>
      </c>
      <c r="H673">
        <v>17</v>
      </c>
      <c r="I673">
        <v>4</v>
      </c>
      <c r="J673">
        <v>1</v>
      </c>
      <c r="K673" t="str">
        <f t="shared" si="30"/>
        <v>Jul-2025</v>
      </c>
      <c r="L673" s="1">
        <f t="shared" ca="1" si="31"/>
        <v>98</v>
      </c>
      <c r="M673" t="str">
        <f t="shared" si="32"/>
        <v>26-35</v>
      </c>
    </row>
    <row r="674" spans="1:13" x14ac:dyDescent="0.2">
      <c r="A674" t="s">
        <v>1357</v>
      </c>
      <c r="B674" t="s">
        <v>1358</v>
      </c>
      <c r="C674">
        <v>38</v>
      </c>
      <c r="D674" t="s">
        <v>12</v>
      </c>
      <c r="E674" t="s">
        <v>17</v>
      </c>
      <c r="F674" s="1">
        <v>45824</v>
      </c>
      <c r="G674" s="1">
        <v>46069</v>
      </c>
      <c r="H674">
        <v>68</v>
      </c>
      <c r="I674">
        <v>10</v>
      </c>
      <c r="J674">
        <v>0</v>
      </c>
      <c r="K674" t="str">
        <f t="shared" si="30"/>
        <v>Jun-2025</v>
      </c>
      <c r="L674" s="1">
        <f t="shared" ca="1" si="31"/>
        <v>89</v>
      </c>
      <c r="M674" t="str">
        <f t="shared" si="32"/>
        <v>36-45</v>
      </c>
    </row>
    <row r="675" spans="1:13" x14ac:dyDescent="0.2">
      <c r="A675" t="s">
        <v>1359</v>
      </c>
      <c r="B675" t="s">
        <v>1360</v>
      </c>
      <c r="C675">
        <v>52</v>
      </c>
      <c r="D675" t="s">
        <v>12</v>
      </c>
      <c r="E675" t="s">
        <v>13</v>
      </c>
      <c r="F675" s="1">
        <v>45343</v>
      </c>
      <c r="G675" s="1">
        <v>46063</v>
      </c>
      <c r="H675">
        <v>73</v>
      </c>
      <c r="I675">
        <v>4</v>
      </c>
      <c r="J675">
        <v>1</v>
      </c>
      <c r="K675" t="str">
        <f t="shared" si="30"/>
        <v>Feb-2024</v>
      </c>
      <c r="L675" s="1">
        <f t="shared" ca="1" si="31"/>
        <v>95</v>
      </c>
      <c r="M675" t="str">
        <f t="shared" si="32"/>
        <v>46+</v>
      </c>
    </row>
    <row r="676" spans="1:13" x14ac:dyDescent="0.2">
      <c r="A676" t="s">
        <v>1361</v>
      </c>
      <c r="B676" t="s">
        <v>1362</v>
      </c>
      <c r="C676">
        <v>20</v>
      </c>
      <c r="D676" t="s">
        <v>12</v>
      </c>
      <c r="E676" t="s">
        <v>13</v>
      </c>
      <c r="F676" s="1">
        <v>45395</v>
      </c>
      <c r="G676" s="1">
        <v>46133</v>
      </c>
      <c r="H676">
        <v>67</v>
      </c>
      <c r="I676">
        <v>5</v>
      </c>
      <c r="J676">
        <v>1</v>
      </c>
      <c r="K676" t="str">
        <f t="shared" si="30"/>
        <v>Apr-2024</v>
      </c>
      <c r="L676" s="1">
        <f t="shared" ca="1" si="31"/>
        <v>25</v>
      </c>
      <c r="M676" t="str">
        <f t="shared" si="32"/>
        <v>18-25</v>
      </c>
    </row>
    <row r="677" spans="1:13" x14ac:dyDescent="0.2">
      <c r="A677" t="s">
        <v>1363</v>
      </c>
      <c r="B677" t="s">
        <v>1364</v>
      </c>
      <c r="C677">
        <v>38</v>
      </c>
      <c r="D677" t="s">
        <v>16</v>
      </c>
      <c r="E677" t="s">
        <v>21</v>
      </c>
      <c r="F677" s="1">
        <v>45287</v>
      </c>
      <c r="G677" s="1">
        <v>46064</v>
      </c>
      <c r="H677">
        <v>59</v>
      </c>
      <c r="I677">
        <v>1</v>
      </c>
      <c r="J677">
        <v>1</v>
      </c>
      <c r="K677" t="str">
        <f t="shared" si="30"/>
        <v>Dec-2023</v>
      </c>
      <c r="L677" s="1">
        <f t="shared" ca="1" si="31"/>
        <v>94</v>
      </c>
      <c r="M677" t="str">
        <f t="shared" si="32"/>
        <v>36-45</v>
      </c>
    </row>
    <row r="678" spans="1:13" x14ac:dyDescent="0.2">
      <c r="A678" t="s">
        <v>1365</v>
      </c>
      <c r="B678" t="s">
        <v>1366</v>
      </c>
      <c r="C678">
        <v>35</v>
      </c>
      <c r="D678" t="s">
        <v>20</v>
      </c>
      <c r="E678" t="s">
        <v>21</v>
      </c>
      <c r="F678" s="1">
        <v>46078</v>
      </c>
      <c r="G678" s="1">
        <v>46072</v>
      </c>
      <c r="H678">
        <v>3</v>
      </c>
      <c r="I678">
        <v>3</v>
      </c>
      <c r="J678">
        <v>1</v>
      </c>
      <c r="K678" t="str">
        <f t="shared" si="30"/>
        <v>Feb-2026</v>
      </c>
      <c r="L678" s="1">
        <f t="shared" ca="1" si="31"/>
        <v>86</v>
      </c>
      <c r="M678" t="str">
        <f t="shared" si="32"/>
        <v>26-35</v>
      </c>
    </row>
    <row r="679" spans="1:13" x14ac:dyDescent="0.2">
      <c r="A679" t="s">
        <v>1367</v>
      </c>
      <c r="B679" t="s">
        <v>1368</v>
      </c>
      <c r="C679">
        <v>52</v>
      </c>
      <c r="D679" t="s">
        <v>12</v>
      </c>
      <c r="E679" t="s">
        <v>21</v>
      </c>
      <c r="F679" s="1">
        <v>45798</v>
      </c>
      <c r="G679" s="1">
        <v>46150</v>
      </c>
      <c r="H679">
        <v>6</v>
      </c>
      <c r="I679">
        <v>1</v>
      </c>
      <c r="J679">
        <v>0</v>
      </c>
      <c r="K679" t="str">
        <f t="shared" si="30"/>
        <v>May-2025</v>
      </c>
      <c r="L679" s="1">
        <f t="shared" ca="1" si="31"/>
        <v>8</v>
      </c>
      <c r="M679" t="str">
        <f t="shared" si="32"/>
        <v>46+</v>
      </c>
    </row>
    <row r="680" spans="1:13" x14ac:dyDescent="0.2">
      <c r="A680" t="s">
        <v>1369</v>
      </c>
      <c r="B680" t="s">
        <v>1370</v>
      </c>
      <c r="C680">
        <v>19</v>
      </c>
      <c r="D680" t="s">
        <v>16</v>
      </c>
      <c r="E680" t="s">
        <v>13</v>
      </c>
      <c r="F680" s="1">
        <v>45924</v>
      </c>
      <c r="G680" s="1">
        <v>46033</v>
      </c>
      <c r="H680">
        <v>80</v>
      </c>
      <c r="I680">
        <v>1</v>
      </c>
      <c r="J680">
        <v>1</v>
      </c>
      <c r="K680" t="str">
        <f t="shared" si="30"/>
        <v>Sep-2025</v>
      </c>
      <c r="L680" s="1">
        <f t="shared" ca="1" si="31"/>
        <v>125</v>
      </c>
      <c r="M680" t="str">
        <f t="shared" si="32"/>
        <v>18-25</v>
      </c>
    </row>
    <row r="681" spans="1:13" x14ac:dyDescent="0.2">
      <c r="A681" t="s">
        <v>1371</v>
      </c>
      <c r="B681" t="s">
        <v>1372</v>
      </c>
      <c r="C681">
        <v>53</v>
      </c>
      <c r="D681" t="s">
        <v>20</v>
      </c>
      <c r="E681" t="s">
        <v>17</v>
      </c>
      <c r="F681" s="1">
        <v>45669</v>
      </c>
      <c r="G681" s="1">
        <v>46117</v>
      </c>
      <c r="H681">
        <v>18</v>
      </c>
      <c r="I681">
        <v>2</v>
      </c>
      <c r="J681">
        <v>1</v>
      </c>
      <c r="K681" t="str">
        <f t="shared" si="30"/>
        <v>Jan-2025</v>
      </c>
      <c r="L681" s="1">
        <f t="shared" ca="1" si="31"/>
        <v>41</v>
      </c>
      <c r="M681" t="str">
        <f t="shared" si="32"/>
        <v>46+</v>
      </c>
    </row>
    <row r="682" spans="1:13" x14ac:dyDescent="0.2">
      <c r="A682" t="s">
        <v>1373</v>
      </c>
      <c r="B682" t="s">
        <v>1374</v>
      </c>
      <c r="C682">
        <v>56</v>
      </c>
      <c r="D682" t="s">
        <v>16</v>
      </c>
      <c r="E682" t="s">
        <v>13</v>
      </c>
      <c r="F682" s="1">
        <v>45963</v>
      </c>
      <c r="G682" s="1">
        <v>46074</v>
      </c>
      <c r="H682">
        <v>23</v>
      </c>
      <c r="I682">
        <v>10</v>
      </c>
      <c r="J682">
        <v>0</v>
      </c>
      <c r="K682" t="str">
        <f t="shared" si="30"/>
        <v>Nov-2025</v>
      </c>
      <c r="L682" s="1">
        <f t="shared" ca="1" si="31"/>
        <v>84</v>
      </c>
      <c r="M682" t="str">
        <f t="shared" si="32"/>
        <v>46+</v>
      </c>
    </row>
    <row r="683" spans="1:13" x14ac:dyDescent="0.2">
      <c r="A683" t="s">
        <v>1375</v>
      </c>
      <c r="B683" t="s">
        <v>1376</v>
      </c>
      <c r="C683">
        <v>47</v>
      </c>
      <c r="D683" t="s">
        <v>16</v>
      </c>
      <c r="E683" t="s">
        <v>21</v>
      </c>
      <c r="F683" s="1">
        <v>45771</v>
      </c>
      <c r="G683" s="1">
        <v>46065</v>
      </c>
      <c r="H683">
        <v>65</v>
      </c>
      <c r="I683">
        <v>5</v>
      </c>
      <c r="J683">
        <v>1</v>
      </c>
      <c r="K683" t="str">
        <f t="shared" si="30"/>
        <v>Apr-2025</v>
      </c>
      <c r="L683" s="1">
        <f t="shared" ca="1" si="31"/>
        <v>93</v>
      </c>
      <c r="M683" t="str">
        <f t="shared" si="32"/>
        <v>46+</v>
      </c>
    </row>
    <row r="684" spans="1:13" x14ac:dyDescent="0.2">
      <c r="A684" t="s">
        <v>1377</v>
      </c>
      <c r="B684" t="s">
        <v>1378</v>
      </c>
      <c r="C684">
        <v>20</v>
      </c>
      <c r="D684" t="s">
        <v>12</v>
      </c>
      <c r="E684" t="s">
        <v>21</v>
      </c>
      <c r="F684" s="1">
        <v>45552</v>
      </c>
      <c r="G684" s="1">
        <v>46112</v>
      </c>
      <c r="H684">
        <v>14</v>
      </c>
      <c r="I684">
        <v>4</v>
      </c>
      <c r="J684">
        <v>1</v>
      </c>
      <c r="K684" t="str">
        <f t="shared" si="30"/>
        <v>Sep-2024</v>
      </c>
      <c r="L684" s="1">
        <f t="shared" ca="1" si="31"/>
        <v>46</v>
      </c>
      <c r="M684" t="str">
        <f t="shared" si="32"/>
        <v>18-25</v>
      </c>
    </row>
    <row r="685" spans="1:13" x14ac:dyDescent="0.2">
      <c r="A685" t="s">
        <v>1379</v>
      </c>
      <c r="B685" t="s">
        <v>1380</v>
      </c>
      <c r="C685">
        <v>43</v>
      </c>
      <c r="D685" t="s">
        <v>20</v>
      </c>
      <c r="E685" t="s">
        <v>13</v>
      </c>
      <c r="F685" s="1">
        <v>46024</v>
      </c>
      <c r="G685" s="1">
        <v>46100</v>
      </c>
      <c r="H685">
        <v>17</v>
      </c>
      <c r="I685">
        <v>1</v>
      </c>
      <c r="J685">
        <v>0</v>
      </c>
      <c r="K685" t="str">
        <f t="shared" si="30"/>
        <v>Jan-2026</v>
      </c>
      <c r="L685" s="1">
        <f t="shared" ca="1" si="31"/>
        <v>58</v>
      </c>
      <c r="M685" t="str">
        <f t="shared" si="32"/>
        <v>36-45</v>
      </c>
    </row>
    <row r="686" spans="1:13" x14ac:dyDescent="0.2">
      <c r="A686" t="s">
        <v>1381</v>
      </c>
      <c r="B686" t="s">
        <v>1382</v>
      </c>
      <c r="C686">
        <v>40</v>
      </c>
      <c r="D686" t="s">
        <v>20</v>
      </c>
      <c r="E686" t="s">
        <v>17</v>
      </c>
      <c r="F686" s="1">
        <v>45857</v>
      </c>
      <c r="G686" s="1">
        <v>46033</v>
      </c>
      <c r="H686">
        <v>27</v>
      </c>
      <c r="I686">
        <v>10</v>
      </c>
      <c r="J686">
        <v>1</v>
      </c>
      <c r="K686" t="str">
        <f t="shared" si="30"/>
        <v>Jul-2025</v>
      </c>
      <c r="L686" s="1">
        <f t="shared" ca="1" si="31"/>
        <v>125</v>
      </c>
      <c r="M686" t="str">
        <f t="shared" si="32"/>
        <v>36-45</v>
      </c>
    </row>
    <row r="687" spans="1:13" x14ac:dyDescent="0.2">
      <c r="A687" t="s">
        <v>1383</v>
      </c>
      <c r="B687" t="s">
        <v>1384</v>
      </c>
      <c r="C687">
        <v>33</v>
      </c>
      <c r="D687" t="s">
        <v>12</v>
      </c>
      <c r="E687" t="s">
        <v>21</v>
      </c>
      <c r="F687" s="1">
        <v>45482</v>
      </c>
      <c r="G687" s="1">
        <v>46038</v>
      </c>
      <c r="H687">
        <v>30</v>
      </c>
      <c r="I687">
        <v>1</v>
      </c>
      <c r="J687">
        <v>0</v>
      </c>
      <c r="K687" t="str">
        <f t="shared" si="30"/>
        <v>Jul-2024</v>
      </c>
      <c r="L687" s="1">
        <f t="shared" ca="1" si="31"/>
        <v>120</v>
      </c>
      <c r="M687" t="str">
        <f t="shared" si="32"/>
        <v>26-35</v>
      </c>
    </row>
    <row r="688" spans="1:13" x14ac:dyDescent="0.2">
      <c r="A688" t="s">
        <v>1385</v>
      </c>
      <c r="B688" t="s">
        <v>1386</v>
      </c>
      <c r="C688">
        <v>34</v>
      </c>
      <c r="D688" t="s">
        <v>12</v>
      </c>
      <c r="E688" t="s">
        <v>21</v>
      </c>
      <c r="F688" s="1">
        <v>45771</v>
      </c>
      <c r="G688" s="1">
        <v>46128</v>
      </c>
      <c r="H688">
        <v>14</v>
      </c>
      <c r="I688">
        <v>9</v>
      </c>
      <c r="J688">
        <v>0</v>
      </c>
      <c r="K688" t="str">
        <f t="shared" si="30"/>
        <v>Apr-2025</v>
      </c>
      <c r="L688" s="1">
        <f t="shared" ca="1" si="31"/>
        <v>30</v>
      </c>
      <c r="M688" t="str">
        <f t="shared" si="32"/>
        <v>26-35</v>
      </c>
    </row>
    <row r="689" spans="1:13" x14ac:dyDescent="0.2">
      <c r="A689" t="s">
        <v>1387</v>
      </c>
      <c r="B689" t="s">
        <v>1388</v>
      </c>
      <c r="C689">
        <v>45</v>
      </c>
      <c r="D689" t="s">
        <v>12</v>
      </c>
      <c r="E689" t="s">
        <v>21</v>
      </c>
      <c r="F689" s="1">
        <v>45863</v>
      </c>
      <c r="G689" s="1">
        <v>46082</v>
      </c>
      <c r="H689">
        <v>57</v>
      </c>
      <c r="I689">
        <v>10</v>
      </c>
      <c r="J689">
        <v>0</v>
      </c>
      <c r="K689" t="str">
        <f t="shared" si="30"/>
        <v>Jul-2025</v>
      </c>
      <c r="L689" s="1">
        <f t="shared" ca="1" si="31"/>
        <v>76</v>
      </c>
      <c r="M689" t="str">
        <f t="shared" si="32"/>
        <v>36-45</v>
      </c>
    </row>
    <row r="690" spans="1:13" x14ac:dyDescent="0.2">
      <c r="A690" t="s">
        <v>1389</v>
      </c>
      <c r="B690" t="s">
        <v>1390</v>
      </c>
      <c r="C690">
        <v>40</v>
      </c>
      <c r="D690" t="s">
        <v>20</v>
      </c>
      <c r="E690" t="s">
        <v>17</v>
      </c>
      <c r="F690" s="1">
        <v>45373</v>
      </c>
      <c r="G690" s="1">
        <v>46109</v>
      </c>
      <c r="H690">
        <v>27</v>
      </c>
      <c r="I690">
        <v>7</v>
      </c>
      <c r="J690">
        <v>0</v>
      </c>
      <c r="K690" t="str">
        <f t="shared" si="30"/>
        <v>Mar-2024</v>
      </c>
      <c r="L690" s="1">
        <f t="shared" ca="1" si="31"/>
        <v>49</v>
      </c>
      <c r="M690" t="str">
        <f t="shared" si="32"/>
        <v>36-45</v>
      </c>
    </row>
    <row r="691" spans="1:13" x14ac:dyDescent="0.2">
      <c r="A691" t="s">
        <v>1391</v>
      </c>
      <c r="B691" t="s">
        <v>1392</v>
      </c>
      <c r="C691">
        <v>45</v>
      </c>
      <c r="D691" t="s">
        <v>16</v>
      </c>
      <c r="E691" t="s">
        <v>13</v>
      </c>
      <c r="F691" s="1">
        <v>46120</v>
      </c>
      <c r="G691" s="1">
        <v>46100</v>
      </c>
      <c r="H691">
        <v>69</v>
      </c>
      <c r="I691">
        <v>6</v>
      </c>
      <c r="J691">
        <v>0</v>
      </c>
      <c r="K691" t="str">
        <f t="shared" si="30"/>
        <v>Apr-2026</v>
      </c>
      <c r="L691" s="1">
        <f t="shared" ca="1" si="31"/>
        <v>58</v>
      </c>
      <c r="M691" t="str">
        <f t="shared" si="32"/>
        <v>36-45</v>
      </c>
    </row>
    <row r="692" spans="1:13" x14ac:dyDescent="0.2">
      <c r="A692" t="s">
        <v>1393</v>
      </c>
      <c r="B692" t="s">
        <v>1394</v>
      </c>
      <c r="C692">
        <v>60</v>
      </c>
      <c r="D692" t="s">
        <v>16</v>
      </c>
      <c r="E692" t="s">
        <v>21</v>
      </c>
      <c r="F692" s="1">
        <v>45263</v>
      </c>
      <c r="G692" s="1">
        <v>46107</v>
      </c>
      <c r="H692">
        <v>26</v>
      </c>
      <c r="I692">
        <v>5</v>
      </c>
      <c r="J692">
        <v>0</v>
      </c>
      <c r="K692" t="str">
        <f t="shared" si="30"/>
        <v>Dec-2023</v>
      </c>
      <c r="L692" s="1">
        <f t="shared" ca="1" si="31"/>
        <v>51</v>
      </c>
      <c r="M692" t="str">
        <f t="shared" si="32"/>
        <v>46+</v>
      </c>
    </row>
    <row r="693" spans="1:13" x14ac:dyDescent="0.2">
      <c r="A693" t="s">
        <v>1395</v>
      </c>
      <c r="B693" t="s">
        <v>1396</v>
      </c>
      <c r="C693">
        <v>50</v>
      </c>
      <c r="D693" t="s">
        <v>16</v>
      </c>
      <c r="E693" t="s">
        <v>21</v>
      </c>
      <c r="F693" s="1">
        <v>45882</v>
      </c>
      <c r="G693" s="1">
        <v>46037</v>
      </c>
      <c r="H693">
        <v>12</v>
      </c>
      <c r="I693">
        <v>6</v>
      </c>
      <c r="J693">
        <v>1</v>
      </c>
      <c r="K693" t="str">
        <f t="shared" si="30"/>
        <v>Aug-2025</v>
      </c>
      <c r="L693" s="1">
        <f t="shared" ca="1" si="31"/>
        <v>121</v>
      </c>
      <c r="M693" t="str">
        <f t="shared" si="32"/>
        <v>46+</v>
      </c>
    </row>
    <row r="694" spans="1:13" x14ac:dyDescent="0.2">
      <c r="A694" t="s">
        <v>1397</v>
      </c>
      <c r="B694" t="s">
        <v>1398</v>
      </c>
      <c r="C694">
        <v>45</v>
      </c>
      <c r="D694" t="s">
        <v>20</v>
      </c>
      <c r="E694" t="s">
        <v>21</v>
      </c>
      <c r="F694" s="1">
        <v>45242</v>
      </c>
      <c r="G694" s="1">
        <v>46071</v>
      </c>
      <c r="H694">
        <v>12</v>
      </c>
      <c r="I694">
        <v>7</v>
      </c>
      <c r="J694">
        <v>1</v>
      </c>
      <c r="K694" t="str">
        <f t="shared" si="30"/>
        <v>Nov-2023</v>
      </c>
      <c r="L694" s="1">
        <f t="shared" ca="1" si="31"/>
        <v>87</v>
      </c>
      <c r="M694" t="str">
        <f t="shared" si="32"/>
        <v>36-45</v>
      </c>
    </row>
    <row r="695" spans="1:13" x14ac:dyDescent="0.2">
      <c r="A695" t="s">
        <v>1399</v>
      </c>
      <c r="B695" t="s">
        <v>1400</v>
      </c>
      <c r="C695">
        <v>40</v>
      </c>
      <c r="D695" t="s">
        <v>12</v>
      </c>
      <c r="E695" t="s">
        <v>21</v>
      </c>
      <c r="F695" s="1">
        <v>45503</v>
      </c>
      <c r="G695" s="1">
        <v>46061</v>
      </c>
      <c r="H695">
        <v>69</v>
      </c>
      <c r="I695">
        <v>9</v>
      </c>
      <c r="J695">
        <v>0</v>
      </c>
      <c r="K695" t="str">
        <f t="shared" si="30"/>
        <v>Jul-2024</v>
      </c>
      <c r="L695" s="1">
        <f t="shared" ca="1" si="31"/>
        <v>97</v>
      </c>
      <c r="M695" t="str">
        <f t="shared" si="32"/>
        <v>36-45</v>
      </c>
    </row>
    <row r="696" spans="1:13" x14ac:dyDescent="0.2">
      <c r="A696" t="s">
        <v>1401</v>
      </c>
      <c r="B696" t="s">
        <v>1402</v>
      </c>
      <c r="C696">
        <v>38</v>
      </c>
      <c r="D696" t="s">
        <v>12</v>
      </c>
      <c r="E696" t="s">
        <v>17</v>
      </c>
      <c r="F696" s="1">
        <v>45441</v>
      </c>
      <c r="G696" s="1">
        <v>46070</v>
      </c>
      <c r="H696">
        <v>27</v>
      </c>
      <c r="I696">
        <v>3</v>
      </c>
      <c r="J696">
        <v>0</v>
      </c>
      <c r="K696" t="str">
        <f t="shared" si="30"/>
        <v>May-2024</v>
      </c>
      <c r="L696" s="1">
        <f t="shared" ca="1" si="31"/>
        <v>88</v>
      </c>
      <c r="M696" t="str">
        <f t="shared" si="32"/>
        <v>36-45</v>
      </c>
    </row>
    <row r="697" spans="1:13" x14ac:dyDescent="0.2">
      <c r="A697" t="s">
        <v>1403</v>
      </c>
      <c r="B697" t="s">
        <v>1404</v>
      </c>
      <c r="C697">
        <v>20</v>
      </c>
      <c r="D697" t="s">
        <v>16</v>
      </c>
      <c r="E697" t="s">
        <v>21</v>
      </c>
      <c r="F697" s="1">
        <v>46081</v>
      </c>
      <c r="G697" s="1">
        <v>46031</v>
      </c>
      <c r="H697">
        <v>37</v>
      </c>
      <c r="I697">
        <v>5</v>
      </c>
      <c r="J697">
        <v>1</v>
      </c>
      <c r="K697" t="str">
        <f t="shared" si="30"/>
        <v>Feb-2026</v>
      </c>
      <c r="L697" s="1">
        <f t="shared" ca="1" si="31"/>
        <v>127</v>
      </c>
      <c r="M697" t="str">
        <f t="shared" si="32"/>
        <v>18-25</v>
      </c>
    </row>
    <row r="698" spans="1:13" x14ac:dyDescent="0.2">
      <c r="A698" t="s">
        <v>1405</v>
      </c>
      <c r="B698" t="s">
        <v>1406</v>
      </c>
      <c r="C698">
        <v>59</v>
      </c>
      <c r="D698" t="s">
        <v>20</v>
      </c>
      <c r="E698" t="s">
        <v>21</v>
      </c>
      <c r="F698" s="1">
        <v>45860</v>
      </c>
      <c r="G698" s="1">
        <v>46137</v>
      </c>
      <c r="H698">
        <v>30</v>
      </c>
      <c r="I698">
        <v>3</v>
      </c>
      <c r="J698">
        <v>0</v>
      </c>
      <c r="K698" t="str">
        <f t="shared" si="30"/>
        <v>Jul-2025</v>
      </c>
      <c r="L698" s="1">
        <f t="shared" ca="1" si="31"/>
        <v>21</v>
      </c>
      <c r="M698" t="str">
        <f t="shared" si="32"/>
        <v>46+</v>
      </c>
    </row>
    <row r="699" spans="1:13" x14ac:dyDescent="0.2">
      <c r="A699" t="s">
        <v>1407</v>
      </c>
      <c r="B699" t="s">
        <v>1408</v>
      </c>
      <c r="C699">
        <v>26</v>
      </c>
      <c r="D699" t="s">
        <v>12</v>
      </c>
      <c r="E699" t="s">
        <v>21</v>
      </c>
      <c r="F699" s="1">
        <v>45975</v>
      </c>
      <c r="G699" s="1">
        <v>46066</v>
      </c>
      <c r="H699">
        <v>29</v>
      </c>
      <c r="I699">
        <v>6</v>
      </c>
      <c r="J699">
        <v>0</v>
      </c>
      <c r="K699" t="str">
        <f t="shared" si="30"/>
        <v>Nov-2025</v>
      </c>
      <c r="L699" s="1">
        <f t="shared" ca="1" si="31"/>
        <v>92</v>
      </c>
      <c r="M699" t="str">
        <f t="shared" si="32"/>
        <v>26-35</v>
      </c>
    </row>
    <row r="700" spans="1:13" x14ac:dyDescent="0.2">
      <c r="A700" t="s">
        <v>1409</v>
      </c>
      <c r="B700" t="s">
        <v>1410</v>
      </c>
      <c r="C700">
        <v>40</v>
      </c>
      <c r="D700" t="s">
        <v>12</v>
      </c>
      <c r="E700" t="s">
        <v>21</v>
      </c>
      <c r="F700" s="1">
        <v>45819</v>
      </c>
      <c r="G700" s="1">
        <v>46096</v>
      </c>
      <c r="H700">
        <v>60</v>
      </c>
      <c r="I700">
        <v>2</v>
      </c>
      <c r="J700">
        <v>1</v>
      </c>
      <c r="K700" t="str">
        <f t="shared" si="30"/>
        <v>Jun-2025</v>
      </c>
      <c r="L700" s="1">
        <f t="shared" ca="1" si="31"/>
        <v>62</v>
      </c>
      <c r="M700" t="str">
        <f t="shared" si="32"/>
        <v>36-45</v>
      </c>
    </row>
    <row r="701" spans="1:13" x14ac:dyDescent="0.2">
      <c r="A701" t="s">
        <v>1411</v>
      </c>
      <c r="B701" t="s">
        <v>1412</v>
      </c>
      <c r="C701">
        <v>27</v>
      </c>
      <c r="D701" t="s">
        <v>16</v>
      </c>
      <c r="E701" t="s">
        <v>17</v>
      </c>
      <c r="F701" s="1">
        <v>45939</v>
      </c>
      <c r="G701" s="1">
        <v>46079</v>
      </c>
      <c r="H701">
        <v>9</v>
      </c>
      <c r="I701">
        <v>2</v>
      </c>
      <c r="J701">
        <v>0</v>
      </c>
      <c r="K701" t="str">
        <f t="shared" si="30"/>
        <v>Oct-2025</v>
      </c>
      <c r="L701" s="1">
        <f t="shared" ca="1" si="31"/>
        <v>79</v>
      </c>
      <c r="M701" t="str">
        <f t="shared" si="32"/>
        <v>26-35</v>
      </c>
    </row>
    <row r="702" spans="1:13" x14ac:dyDescent="0.2">
      <c r="A702" t="s">
        <v>1413</v>
      </c>
      <c r="B702" t="s">
        <v>1414</v>
      </c>
      <c r="C702">
        <v>60</v>
      </c>
      <c r="D702" t="s">
        <v>12</v>
      </c>
      <c r="E702" t="s">
        <v>21</v>
      </c>
      <c r="F702" s="1">
        <v>45521</v>
      </c>
      <c r="G702" s="1">
        <v>46138</v>
      </c>
      <c r="H702">
        <v>45</v>
      </c>
      <c r="I702">
        <v>4</v>
      </c>
      <c r="J702">
        <v>0</v>
      </c>
      <c r="K702" t="str">
        <f t="shared" si="30"/>
        <v>Aug-2024</v>
      </c>
      <c r="L702" s="1">
        <f t="shared" ca="1" si="31"/>
        <v>20</v>
      </c>
      <c r="M702" t="str">
        <f t="shared" si="32"/>
        <v>46+</v>
      </c>
    </row>
    <row r="703" spans="1:13" x14ac:dyDescent="0.2">
      <c r="A703" t="s">
        <v>1415</v>
      </c>
      <c r="B703" t="s">
        <v>1416</v>
      </c>
      <c r="C703">
        <v>25</v>
      </c>
      <c r="D703" t="s">
        <v>20</v>
      </c>
      <c r="E703" t="s">
        <v>13</v>
      </c>
      <c r="F703" s="1">
        <v>45155</v>
      </c>
      <c r="G703" s="1">
        <v>46080</v>
      </c>
      <c r="H703">
        <v>74</v>
      </c>
      <c r="I703">
        <v>8</v>
      </c>
      <c r="J703">
        <v>0</v>
      </c>
      <c r="K703" t="str">
        <f t="shared" si="30"/>
        <v>Aug-2023</v>
      </c>
      <c r="L703" s="1">
        <f t="shared" ca="1" si="31"/>
        <v>78</v>
      </c>
      <c r="M703" t="str">
        <f t="shared" si="32"/>
        <v>18-25</v>
      </c>
    </row>
    <row r="704" spans="1:13" x14ac:dyDescent="0.2">
      <c r="A704" t="s">
        <v>1417</v>
      </c>
      <c r="B704" t="s">
        <v>1418</v>
      </c>
      <c r="C704">
        <v>36</v>
      </c>
      <c r="D704" t="s">
        <v>16</v>
      </c>
      <c r="E704" t="s">
        <v>21</v>
      </c>
      <c r="F704" s="1">
        <v>45258</v>
      </c>
      <c r="G704" s="1">
        <v>46133</v>
      </c>
      <c r="H704">
        <v>80</v>
      </c>
      <c r="I704">
        <v>5</v>
      </c>
      <c r="J704">
        <v>1</v>
      </c>
      <c r="K704" t="str">
        <f t="shared" si="30"/>
        <v>Nov-2023</v>
      </c>
      <c r="L704" s="1">
        <f t="shared" ca="1" si="31"/>
        <v>25</v>
      </c>
      <c r="M704" t="str">
        <f t="shared" si="32"/>
        <v>36-45</v>
      </c>
    </row>
    <row r="705" spans="1:13" x14ac:dyDescent="0.2">
      <c r="A705" t="s">
        <v>1419</v>
      </c>
      <c r="B705" t="s">
        <v>1420</v>
      </c>
      <c r="C705">
        <v>36</v>
      </c>
      <c r="D705" t="s">
        <v>12</v>
      </c>
      <c r="E705" t="s">
        <v>21</v>
      </c>
      <c r="F705" s="1">
        <v>45752</v>
      </c>
      <c r="G705" s="1">
        <v>46080</v>
      </c>
      <c r="H705">
        <v>21</v>
      </c>
      <c r="I705">
        <v>7</v>
      </c>
      <c r="J705">
        <v>0</v>
      </c>
      <c r="K705" t="str">
        <f t="shared" si="30"/>
        <v>Apr-2025</v>
      </c>
      <c r="L705" s="1">
        <f t="shared" ca="1" si="31"/>
        <v>78</v>
      </c>
      <c r="M705" t="str">
        <f t="shared" si="32"/>
        <v>36-45</v>
      </c>
    </row>
    <row r="706" spans="1:13" x14ac:dyDescent="0.2">
      <c r="A706" t="s">
        <v>1421</v>
      </c>
      <c r="B706" t="s">
        <v>1422</v>
      </c>
      <c r="C706">
        <v>31</v>
      </c>
      <c r="D706" t="s">
        <v>16</v>
      </c>
      <c r="E706" t="s">
        <v>21</v>
      </c>
      <c r="F706" s="1">
        <v>45798</v>
      </c>
      <c r="G706" s="1">
        <v>46070</v>
      </c>
      <c r="H706">
        <v>77</v>
      </c>
      <c r="I706">
        <v>4</v>
      </c>
      <c r="J706">
        <v>1</v>
      </c>
      <c r="K706" t="str">
        <f t="shared" si="30"/>
        <v>May-2025</v>
      </c>
      <c r="L706" s="1">
        <f t="shared" ca="1" si="31"/>
        <v>88</v>
      </c>
      <c r="M706" t="str">
        <f t="shared" si="32"/>
        <v>26-35</v>
      </c>
    </row>
    <row r="707" spans="1:13" x14ac:dyDescent="0.2">
      <c r="A707" t="s">
        <v>1423</v>
      </c>
      <c r="B707" t="s">
        <v>1424</v>
      </c>
      <c r="C707">
        <v>43</v>
      </c>
      <c r="D707" t="s">
        <v>12</v>
      </c>
      <c r="E707" t="s">
        <v>21</v>
      </c>
      <c r="F707" s="1">
        <v>45991</v>
      </c>
      <c r="G707" s="1">
        <v>46115</v>
      </c>
      <c r="H707">
        <v>32</v>
      </c>
      <c r="I707">
        <v>10</v>
      </c>
      <c r="J707">
        <v>0</v>
      </c>
      <c r="K707" t="str">
        <f t="shared" ref="K707:K770" si="33">TEXT(F707,"MMM-YYYY")</f>
        <v>Nov-2025</v>
      </c>
      <c r="L707" s="1">
        <f t="shared" ref="L707:L770" ca="1" si="34">TODAY()-G707</f>
        <v>43</v>
      </c>
      <c r="M707" t="str">
        <f t="shared" ref="M707:M770" si="35">IF(C707&lt;=25,"18-25",IF(C707&lt;=35,"26-35",IF(C707&lt;=45,"36-45","46+")))</f>
        <v>36-45</v>
      </c>
    </row>
    <row r="708" spans="1:13" x14ac:dyDescent="0.2">
      <c r="A708" t="s">
        <v>1425</v>
      </c>
      <c r="B708" t="s">
        <v>1426</v>
      </c>
      <c r="C708">
        <v>56</v>
      </c>
      <c r="D708" t="s">
        <v>20</v>
      </c>
      <c r="E708" t="s">
        <v>21</v>
      </c>
      <c r="F708" s="1">
        <v>45981</v>
      </c>
      <c r="G708" s="1">
        <v>46121</v>
      </c>
      <c r="H708">
        <v>74</v>
      </c>
      <c r="I708">
        <v>7</v>
      </c>
      <c r="J708">
        <v>1</v>
      </c>
      <c r="K708" t="str">
        <f t="shared" si="33"/>
        <v>Nov-2025</v>
      </c>
      <c r="L708" s="1">
        <f t="shared" ca="1" si="34"/>
        <v>37</v>
      </c>
      <c r="M708" t="str">
        <f t="shared" si="35"/>
        <v>46+</v>
      </c>
    </row>
    <row r="709" spans="1:13" x14ac:dyDescent="0.2">
      <c r="A709" t="s">
        <v>1427</v>
      </c>
      <c r="B709" t="s">
        <v>1428</v>
      </c>
      <c r="C709">
        <v>28</v>
      </c>
      <c r="D709" t="s">
        <v>16</v>
      </c>
      <c r="E709" t="s">
        <v>21</v>
      </c>
      <c r="F709" s="1">
        <v>45419</v>
      </c>
      <c r="G709" s="1">
        <v>46135</v>
      </c>
      <c r="H709">
        <v>15</v>
      </c>
      <c r="I709">
        <v>7</v>
      </c>
      <c r="J709">
        <v>0</v>
      </c>
      <c r="K709" t="str">
        <f t="shared" si="33"/>
        <v>May-2024</v>
      </c>
      <c r="L709" s="1">
        <f t="shared" ca="1" si="34"/>
        <v>23</v>
      </c>
      <c r="M709" t="str">
        <f t="shared" si="35"/>
        <v>26-35</v>
      </c>
    </row>
    <row r="710" spans="1:13" x14ac:dyDescent="0.2">
      <c r="A710" t="s">
        <v>1429</v>
      </c>
      <c r="B710" t="s">
        <v>1430</v>
      </c>
      <c r="C710">
        <v>23</v>
      </c>
      <c r="D710" t="s">
        <v>20</v>
      </c>
      <c r="E710" t="s">
        <v>21</v>
      </c>
      <c r="F710" s="1">
        <v>46035</v>
      </c>
      <c r="G710" s="1">
        <v>46078</v>
      </c>
      <c r="H710">
        <v>59</v>
      </c>
      <c r="I710">
        <v>4</v>
      </c>
      <c r="J710">
        <v>1</v>
      </c>
      <c r="K710" t="str">
        <f t="shared" si="33"/>
        <v>Jan-2026</v>
      </c>
      <c r="L710" s="1">
        <f t="shared" ca="1" si="34"/>
        <v>80</v>
      </c>
      <c r="M710" t="str">
        <f t="shared" si="35"/>
        <v>18-25</v>
      </c>
    </row>
    <row r="711" spans="1:13" x14ac:dyDescent="0.2">
      <c r="A711" t="s">
        <v>1431</v>
      </c>
      <c r="B711" t="s">
        <v>1432</v>
      </c>
      <c r="C711">
        <v>26</v>
      </c>
      <c r="D711" t="s">
        <v>12</v>
      </c>
      <c r="E711" t="s">
        <v>17</v>
      </c>
      <c r="F711" s="1">
        <v>45850</v>
      </c>
      <c r="G711" s="1">
        <v>46089</v>
      </c>
      <c r="H711">
        <v>28</v>
      </c>
      <c r="I711">
        <v>3</v>
      </c>
      <c r="J711">
        <v>1</v>
      </c>
      <c r="K711" t="str">
        <f t="shared" si="33"/>
        <v>Jul-2025</v>
      </c>
      <c r="L711" s="1">
        <f t="shared" ca="1" si="34"/>
        <v>69</v>
      </c>
      <c r="M711" t="str">
        <f t="shared" si="35"/>
        <v>26-35</v>
      </c>
    </row>
    <row r="712" spans="1:13" x14ac:dyDescent="0.2">
      <c r="A712" t="s">
        <v>1433</v>
      </c>
      <c r="B712" t="s">
        <v>1434</v>
      </c>
      <c r="C712">
        <v>38</v>
      </c>
      <c r="D712" t="s">
        <v>20</v>
      </c>
      <c r="E712" t="s">
        <v>21</v>
      </c>
      <c r="F712" s="1">
        <v>45489</v>
      </c>
      <c r="G712" s="1">
        <v>46065</v>
      </c>
      <c r="H712">
        <v>15</v>
      </c>
      <c r="I712">
        <v>10</v>
      </c>
      <c r="J712">
        <v>0</v>
      </c>
      <c r="K712" t="str">
        <f t="shared" si="33"/>
        <v>Jul-2024</v>
      </c>
      <c r="L712" s="1">
        <f t="shared" ca="1" si="34"/>
        <v>93</v>
      </c>
      <c r="M712" t="str">
        <f t="shared" si="35"/>
        <v>36-45</v>
      </c>
    </row>
    <row r="713" spans="1:13" x14ac:dyDescent="0.2">
      <c r="A713" t="s">
        <v>1435</v>
      </c>
      <c r="B713" t="s">
        <v>1436</v>
      </c>
      <c r="C713">
        <v>39</v>
      </c>
      <c r="D713" t="s">
        <v>20</v>
      </c>
      <c r="E713" t="s">
        <v>21</v>
      </c>
      <c r="F713" s="1">
        <v>45845</v>
      </c>
      <c r="G713" s="1">
        <v>46077</v>
      </c>
      <c r="H713">
        <v>61</v>
      </c>
      <c r="I713">
        <v>7</v>
      </c>
      <c r="J713">
        <v>0</v>
      </c>
      <c r="K713" t="str">
        <f t="shared" si="33"/>
        <v>Jul-2025</v>
      </c>
      <c r="L713" s="1">
        <f t="shared" ca="1" si="34"/>
        <v>81</v>
      </c>
      <c r="M713" t="str">
        <f t="shared" si="35"/>
        <v>36-45</v>
      </c>
    </row>
    <row r="714" spans="1:13" x14ac:dyDescent="0.2">
      <c r="A714" t="s">
        <v>1437</v>
      </c>
      <c r="B714" t="s">
        <v>1438</v>
      </c>
      <c r="C714">
        <v>30</v>
      </c>
      <c r="D714" t="s">
        <v>20</v>
      </c>
      <c r="E714" t="s">
        <v>17</v>
      </c>
      <c r="F714" s="1">
        <v>46017</v>
      </c>
      <c r="G714" s="1">
        <v>46111</v>
      </c>
      <c r="H714">
        <v>27</v>
      </c>
      <c r="I714">
        <v>4</v>
      </c>
      <c r="J714">
        <v>0</v>
      </c>
      <c r="K714" t="str">
        <f t="shared" si="33"/>
        <v>Dec-2025</v>
      </c>
      <c r="L714" s="1">
        <f t="shared" ca="1" si="34"/>
        <v>47</v>
      </c>
      <c r="M714" t="str">
        <f t="shared" si="35"/>
        <v>26-35</v>
      </c>
    </row>
    <row r="715" spans="1:13" x14ac:dyDescent="0.2">
      <c r="A715" t="s">
        <v>1439</v>
      </c>
      <c r="B715" t="s">
        <v>1440</v>
      </c>
      <c r="C715">
        <v>33</v>
      </c>
      <c r="D715" t="s">
        <v>16</v>
      </c>
      <c r="E715" t="s">
        <v>17</v>
      </c>
      <c r="F715" s="1">
        <v>45515</v>
      </c>
      <c r="G715" s="1">
        <v>46076</v>
      </c>
      <c r="H715">
        <v>60</v>
      </c>
      <c r="I715">
        <v>5</v>
      </c>
      <c r="J715">
        <v>0</v>
      </c>
      <c r="K715" t="str">
        <f t="shared" si="33"/>
        <v>Aug-2024</v>
      </c>
      <c r="L715" s="1">
        <f t="shared" ca="1" si="34"/>
        <v>82</v>
      </c>
      <c r="M715" t="str">
        <f t="shared" si="35"/>
        <v>26-35</v>
      </c>
    </row>
    <row r="716" spans="1:13" x14ac:dyDescent="0.2">
      <c r="A716" t="s">
        <v>1441</v>
      </c>
      <c r="B716" t="s">
        <v>1442</v>
      </c>
      <c r="C716">
        <v>23</v>
      </c>
      <c r="D716" t="s">
        <v>16</v>
      </c>
      <c r="E716" t="s">
        <v>17</v>
      </c>
      <c r="F716" s="1">
        <v>45547</v>
      </c>
      <c r="G716" s="1">
        <v>46059</v>
      </c>
      <c r="H716">
        <v>14</v>
      </c>
      <c r="I716">
        <v>10</v>
      </c>
      <c r="J716">
        <v>1</v>
      </c>
      <c r="K716" t="str">
        <f t="shared" si="33"/>
        <v>Sep-2024</v>
      </c>
      <c r="L716" s="1">
        <f t="shared" ca="1" si="34"/>
        <v>99</v>
      </c>
      <c r="M716" t="str">
        <f t="shared" si="35"/>
        <v>18-25</v>
      </c>
    </row>
    <row r="717" spans="1:13" x14ac:dyDescent="0.2">
      <c r="A717" t="s">
        <v>1443</v>
      </c>
      <c r="B717" t="s">
        <v>1444</v>
      </c>
      <c r="C717">
        <v>55</v>
      </c>
      <c r="D717" t="s">
        <v>20</v>
      </c>
      <c r="E717" t="s">
        <v>17</v>
      </c>
      <c r="F717" s="1">
        <v>46033</v>
      </c>
      <c r="G717" s="1">
        <v>46093</v>
      </c>
      <c r="H717">
        <v>11</v>
      </c>
      <c r="I717">
        <v>7</v>
      </c>
      <c r="J717">
        <v>1</v>
      </c>
      <c r="K717" t="str">
        <f t="shared" si="33"/>
        <v>Jan-2026</v>
      </c>
      <c r="L717" s="1">
        <f t="shared" ca="1" si="34"/>
        <v>65</v>
      </c>
      <c r="M717" t="str">
        <f t="shared" si="35"/>
        <v>46+</v>
      </c>
    </row>
    <row r="718" spans="1:13" x14ac:dyDescent="0.2">
      <c r="A718" t="s">
        <v>1445</v>
      </c>
      <c r="B718" t="s">
        <v>1446</v>
      </c>
      <c r="C718">
        <v>46</v>
      </c>
      <c r="D718" t="s">
        <v>16</v>
      </c>
      <c r="E718" t="s">
        <v>13</v>
      </c>
      <c r="F718" s="1">
        <v>45566</v>
      </c>
      <c r="G718" s="1">
        <v>46111</v>
      </c>
      <c r="H718">
        <v>53</v>
      </c>
      <c r="I718">
        <v>7</v>
      </c>
      <c r="J718">
        <v>0</v>
      </c>
      <c r="K718" t="str">
        <f t="shared" si="33"/>
        <v>Oct-2024</v>
      </c>
      <c r="L718" s="1">
        <f t="shared" ca="1" si="34"/>
        <v>47</v>
      </c>
      <c r="M718" t="str">
        <f t="shared" si="35"/>
        <v>46+</v>
      </c>
    </row>
    <row r="719" spans="1:13" x14ac:dyDescent="0.2">
      <c r="A719" t="s">
        <v>1447</v>
      </c>
      <c r="B719" t="s">
        <v>1448</v>
      </c>
      <c r="C719">
        <v>21</v>
      </c>
      <c r="D719" t="s">
        <v>16</v>
      </c>
      <c r="E719" t="s">
        <v>17</v>
      </c>
      <c r="F719" s="1">
        <v>45257</v>
      </c>
      <c r="G719" s="1">
        <v>46091</v>
      </c>
      <c r="H719">
        <v>45</v>
      </c>
      <c r="I719">
        <v>10</v>
      </c>
      <c r="J719">
        <v>0</v>
      </c>
      <c r="K719" t="str">
        <f t="shared" si="33"/>
        <v>Nov-2023</v>
      </c>
      <c r="L719" s="1">
        <f t="shared" ca="1" si="34"/>
        <v>67</v>
      </c>
      <c r="M719" t="str">
        <f t="shared" si="35"/>
        <v>18-25</v>
      </c>
    </row>
    <row r="720" spans="1:13" x14ac:dyDescent="0.2">
      <c r="A720" t="s">
        <v>1449</v>
      </c>
      <c r="B720" t="s">
        <v>1450</v>
      </c>
      <c r="C720">
        <v>37</v>
      </c>
      <c r="D720" t="s">
        <v>20</v>
      </c>
      <c r="E720" t="s">
        <v>13</v>
      </c>
      <c r="F720" s="1">
        <v>46089</v>
      </c>
      <c r="G720" s="1">
        <v>46033</v>
      </c>
      <c r="H720">
        <v>26</v>
      </c>
      <c r="I720">
        <v>1</v>
      </c>
      <c r="J720">
        <v>1</v>
      </c>
      <c r="K720" t="str">
        <f t="shared" si="33"/>
        <v>Mar-2026</v>
      </c>
      <c r="L720" s="1">
        <f t="shared" ca="1" si="34"/>
        <v>125</v>
      </c>
      <c r="M720" t="str">
        <f t="shared" si="35"/>
        <v>36-45</v>
      </c>
    </row>
    <row r="721" spans="1:13" x14ac:dyDescent="0.2">
      <c r="A721" t="s">
        <v>1451</v>
      </c>
      <c r="B721" t="s">
        <v>1452</v>
      </c>
      <c r="C721">
        <v>45</v>
      </c>
      <c r="D721" t="s">
        <v>20</v>
      </c>
      <c r="E721" t="s">
        <v>21</v>
      </c>
      <c r="F721" s="1">
        <v>45651</v>
      </c>
      <c r="G721" s="1">
        <v>46073</v>
      </c>
      <c r="H721">
        <v>24</v>
      </c>
      <c r="I721">
        <v>7</v>
      </c>
      <c r="J721">
        <v>0</v>
      </c>
      <c r="K721" t="str">
        <f t="shared" si="33"/>
        <v>Dec-2024</v>
      </c>
      <c r="L721" s="1">
        <f t="shared" ca="1" si="34"/>
        <v>85</v>
      </c>
      <c r="M721" t="str">
        <f t="shared" si="35"/>
        <v>36-45</v>
      </c>
    </row>
    <row r="722" spans="1:13" x14ac:dyDescent="0.2">
      <c r="A722" t="s">
        <v>1453</v>
      </c>
      <c r="B722" t="s">
        <v>1454</v>
      </c>
      <c r="C722">
        <v>46</v>
      </c>
      <c r="D722" t="s">
        <v>12</v>
      </c>
      <c r="E722" t="s">
        <v>13</v>
      </c>
      <c r="F722" s="1">
        <v>45700</v>
      </c>
      <c r="G722" s="1">
        <v>46129</v>
      </c>
      <c r="H722">
        <v>36</v>
      </c>
      <c r="I722">
        <v>1</v>
      </c>
      <c r="J722">
        <v>1</v>
      </c>
      <c r="K722" t="str">
        <f t="shared" si="33"/>
        <v>Feb-2025</v>
      </c>
      <c r="L722" s="1">
        <f t="shared" ca="1" si="34"/>
        <v>29</v>
      </c>
      <c r="M722" t="str">
        <f t="shared" si="35"/>
        <v>46+</v>
      </c>
    </row>
    <row r="723" spans="1:13" x14ac:dyDescent="0.2">
      <c r="A723" t="s">
        <v>1455</v>
      </c>
      <c r="B723" t="s">
        <v>1456</v>
      </c>
      <c r="C723">
        <v>29</v>
      </c>
      <c r="D723" t="s">
        <v>20</v>
      </c>
      <c r="E723" t="s">
        <v>17</v>
      </c>
      <c r="F723" s="1">
        <v>45991</v>
      </c>
      <c r="G723" s="1">
        <v>46039</v>
      </c>
      <c r="H723">
        <v>12</v>
      </c>
      <c r="I723">
        <v>4</v>
      </c>
      <c r="J723">
        <v>0</v>
      </c>
      <c r="K723" t="str">
        <f t="shared" si="33"/>
        <v>Nov-2025</v>
      </c>
      <c r="L723" s="1">
        <f t="shared" ca="1" si="34"/>
        <v>119</v>
      </c>
      <c r="M723" t="str">
        <f t="shared" si="35"/>
        <v>26-35</v>
      </c>
    </row>
    <row r="724" spans="1:13" x14ac:dyDescent="0.2">
      <c r="A724" t="s">
        <v>1457</v>
      </c>
      <c r="B724" t="s">
        <v>1458</v>
      </c>
      <c r="C724">
        <v>31</v>
      </c>
      <c r="D724" t="s">
        <v>16</v>
      </c>
      <c r="E724" t="s">
        <v>13</v>
      </c>
      <c r="F724" s="1">
        <v>45690</v>
      </c>
      <c r="G724" s="1">
        <v>46076</v>
      </c>
      <c r="H724">
        <v>22</v>
      </c>
      <c r="I724">
        <v>3</v>
      </c>
      <c r="J724">
        <v>0</v>
      </c>
      <c r="K724" t="str">
        <f t="shared" si="33"/>
        <v>Feb-2025</v>
      </c>
      <c r="L724" s="1">
        <f t="shared" ca="1" si="34"/>
        <v>82</v>
      </c>
      <c r="M724" t="str">
        <f t="shared" si="35"/>
        <v>26-35</v>
      </c>
    </row>
    <row r="725" spans="1:13" x14ac:dyDescent="0.2">
      <c r="A725" t="s">
        <v>1459</v>
      </c>
      <c r="B725" t="s">
        <v>1460</v>
      </c>
      <c r="C725">
        <v>32</v>
      </c>
      <c r="D725" t="s">
        <v>16</v>
      </c>
      <c r="E725" t="s">
        <v>21</v>
      </c>
      <c r="F725" s="1">
        <v>46093</v>
      </c>
      <c r="G725" s="1">
        <v>46094</v>
      </c>
      <c r="H725">
        <v>50</v>
      </c>
      <c r="I725">
        <v>8</v>
      </c>
      <c r="J725">
        <v>0</v>
      </c>
      <c r="K725" t="str">
        <f t="shared" si="33"/>
        <v>Mar-2026</v>
      </c>
      <c r="L725" s="1">
        <f t="shared" ca="1" si="34"/>
        <v>64</v>
      </c>
      <c r="M725" t="str">
        <f t="shared" si="35"/>
        <v>26-35</v>
      </c>
    </row>
    <row r="726" spans="1:13" x14ac:dyDescent="0.2">
      <c r="A726" t="s">
        <v>1461</v>
      </c>
      <c r="B726" t="s">
        <v>1462</v>
      </c>
      <c r="C726">
        <v>51</v>
      </c>
      <c r="D726" t="s">
        <v>20</v>
      </c>
      <c r="E726" t="s">
        <v>21</v>
      </c>
      <c r="F726" s="1">
        <v>45873</v>
      </c>
      <c r="G726" s="1">
        <v>46115</v>
      </c>
      <c r="H726">
        <v>37</v>
      </c>
      <c r="I726">
        <v>6</v>
      </c>
      <c r="J726">
        <v>0</v>
      </c>
      <c r="K726" t="str">
        <f t="shared" si="33"/>
        <v>Aug-2025</v>
      </c>
      <c r="L726" s="1">
        <f t="shared" ca="1" si="34"/>
        <v>43</v>
      </c>
      <c r="M726" t="str">
        <f t="shared" si="35"/>
        <v>46+</v>
      </c>
    </row>
    <row r="727" spans="1:13" x14ac:dyDescent="0.2">
      <c r="A727" t="s">
        <v>1463</v>
      </c>
      <c r="B727" t="s">
        <v>1464</v>
      </c>
      <c r="C727">
        <v>22</v>
      </c>
      <c r="D727" t="s">
        <v>12</v>
      </c>
      <c r="E727" t="s">
        <v>17</v>
      </c>
      <c r="F727" s="1">
        <v>45452</v>
      </c>
      <c r="G727" s="1">
        <v>46084</v>
      </c>
      <c r="H727">
        <v>45</v>
      </c>
      <c r="I727">
        <v>9</v>
      </c>
      <c r="J727">
        <v>0</v>
      </c>
      <c r="K727" t="str">
        <f t="shared" si="33"/>
        <v>Jun-2024</v>
      </c>
      <c r="L727" s="1">
        <f t="shared" ca="1" si="34"/>
        <v>74</v>
      </c>
      <c r="M727" t="str">
        <f t="shared" si="35"/>
        <v>18-25</v>
      </c>
    </row>
    <row r="728" spans="1:13" x14ac:dyDescent="0.2">
      <c r="A728" t="s">
        <v>1465</v>
      </c>
      <c r="B728" t="s">
        <v>1466</v>
      </c>
      <c r="C728">
        <v>50</v>
      </c>
      <c r="D728" t="s">
        <v>16</v>
      </c>
      <c r="E728" t="s">
        <v>21</v>
      </c>
      <c r="F728" s="1">
        <v>45418</v>
      </c>
      <c r="G728" s="1">
        <v>46048</v>
      </c>
      <c r="H728">
        <v>55</v>
      </c>
      <c r="I728">
        <v>9</v>
      </c>
      <c r="J728">
        <v>0</v>
      </c>
      <c r="K728" t="str">
        <f t="shared" si="33"/>
        <v>May-2024</v>
      </c>
      <c r="L728" s="1">
        <f t="shared" ca="1" si="34"/>
        <v>110</v>
      </c>
      <c r="M728" t="str">
        <f t="shared" si="35"/>
        <v>46+</v>
      </c>
    </row>
    <row r="729" spans="1:13" x14ac:dyDescent="0.2">
      <c r="A729" t="s">
        <v>1467</v>
      </c>
      <c r="B729" t="s">
        <v>1468</v>
      </c>
      <c r="C729">
        <v>53</v>
      </c>
      <c r="D729" t="s">
        <v>20</v>
      </c>
      <c r="E729" t="s">
        <v>21</v>
      </c>
      <c r="F729" s="1">
        <v>45154</v>
      </c>
      <c r="G729" s="1">
        <v>46066</v>
      </c>
      <c r="H729">
        <v>51</v>
      </c>
      <c r="I729">
        <v>2</v>
      </c>
      <c r="J729">
        <v>1</v>
      </c>
      <c r="K729" t="str">
        <f t="shared" si="33"/>
        <v>Aug-2023</v>
      </c>
      <c r="L729" s="1">
        <f t="shared" ca="1" si="34"/>
        <v>92</v>
      </c>
      <c r="M729" t="str">
        <f t="shared" si="35"/>
        <v>46+</v>
      </c>
    </row>
    <row r="730" spans="1:13" x14ac:dyDescent="0.2">
      <c r="A730" t="s">
        <v>1469</v>
      </c>
      <c r="B730" t="s">
        <v>1470</v>
      </c>
      <c r="C730">
        <v>45</v>
      </c>
      <c r="D730" t="s">
        <v>16</v>
      </c>
      <c r="E730" t="s">
        <v>21</v>
      </c>
      <c r="F730" s="1">
        <v>46037</v>
      </c>
      <c r="G730" s="1">
        <v>46059</v>
      </c>
      <c r="H730">
        <v>65</v>
      </c>
      <c r="I730">
        <v>5</v>
      </c>
      <c r="J730">
        <v>1</v>
      </c>
      <c r="K730" t="str">
        <f t="shared" si="33"/>
        <v>Jan-2026</v>
      </c>
      <c r="L730" s="1">
        <f t="shared" ca="1" si="34"/>
        <v>99</v>
      </c>
      <c r="M730" t="str">
        <f t="shared" si="35"/>
        <v>36-45</v>
      </c>
    </row>
    <row r="731" spans="1:13" x14ac:dyDescent="0.2">
      <c r="A731" t="s">
        <v>1471</v>
      </c>
      <c r="B731" t="s">
        <v>1472</v>
      </c>
      <c r="C731">
        <v>57</v>
      </c>
      <c r="D731" t="s">
        <v>20</v>
      </c>
      <c r="E731" t="s">
        <v>13</v>
      </c>
      <c r="F731" s="1">
        <v>45994</v>
      </c>
      <c r="G731" s="1">
        <v>46101</v>
      </c>
      <c r="H731">
        <v>55</v>
      </c>
      <c r="I731">
        <v>7</v>
      </c>
      <c r="J731">
        <v>0</v>
      </c>
      <c r="K731" t="str">
        <f t="shared" si="33"/>
        <v>Dec-2025</v>
      </c>
      <c r="L731" s="1">
        <f t="shared" ca="1" si="34"/>
        <v>57</v>
      </c>
      <c r="M731" t="str">
        <f t="shared" si="35"/>
        <v>46+</v>
      </c>
    </row>
    <row r="732" spans="1:13" x14ac:dyDescent="0.2">
      <c r="A732" t="s">
        <v>1473</v>
      </c>
      <c r="B732" t="s">
        <v>1267</v>
      </c>
      <c r="C732">
        <v>45</v>
      </c>
      <c r="D732" t="s">
        <v>12</v>
      </c>
      <c r="E732" t="s">
        <v>17</v>
      </c>
      <c r="F732" s="1">
        <v>46102</v>
      </c>
      <c r="G732" s="1">
        <v>46043</v>
      </c>
      <c r="H732">
        <v>72</v>
      </c>
      <c r="I732">
        <v>4</v>
      </c>
      <c r="J732">
        <v>1</v>
      </c>
      <c r="K732" t="str">
        <f t="shared" si="33"/>
        <v>Mar-2026</v>
      </c>
      <c r="L732" s="1">
        <f t="shared" ca="1" si="34"/>
        <v>115</v>
      </c>
      <c r="M732" t="str">
        <f t="shared" si="35"/>
        <v>36-45</v>
      </c>
    </row>
    <row r="733" spans="1:13" x14ac:dyDescent="0.2">
      <c r="A733" t="s">
        <v>1474</v>
      </c>
      <c r="B733" t="s">
        <v>1475</v>
      </c>
      <c r="C733">
        <v>29</v>
      </c>
      <c r="D733" t="s">
        <v>12</v>
      </c>
      <c r="E733" t="s">
        <v>21</v>
      </c>
      <c r="F733" s="1">
        <v>45392</v>
      </c>
      <c r="G733" s="1">
        <v>46085</v>
      </c>
      <c r="H733">
        <v>78</v>
      </c>
      <c r="I733">
        <v>9</v>
      </c>
      <c r="J733">
        <v>0</v>
      </c>
      <c r="K733" t="str">
        <f t="shared" si="33"/>
        <v>Apr-2024</v>
      </c>
      <c r="L733" s="1">
        <f t="shared" ca="1" si="34"/>
        <v>73</v>
      </c>
      <c r="M733" t="str">
        <f t="shared" si="35"/>
        <v>26-35</v>
      </c>
    </row>
    <row r="734" spans="1:13" x14ac:dyDescent="0.2">
      <c r="A734" t="s">
        <v>1476</v>
      </c>
      <c r="B734" t="s">
        <v>1477</v>
      </c>
      <c r="C734">
        <v>19</v>
      </c>
      <c r="D734" t="s">
        <v>16</v>
      </c>
      <c r="E734" t="s">
        <v>21</v>
      </c>
      <c r="F734" s="1">
        <v>45618</v>
      </c>
      <c r="G734" s="1">
        <v>46148</v>
      </c>
      <c r="H734">
        <v>80</v>
      </c>
      <c r="I734">
        <v>2</v>
      </c>
      <c r="J734">
        <v>1</v>
      </c>
      <c r="K734" t="str">
        <f t="shared" si="33"/>
        <v>Nov-2024</v>
      </c>
      <c r="L734" s="1">
        <f t="shared" ca="1" si="34"/>
        <v>10</v>
      </c>
      <c r="M734" t="str">
        <f t="shared" si="35"/>
        <v>18-25</v>
      </c>
    </row>
    <row r="735" spans="1:13" x14ac:dyDescent="0.2">
      <c r="A735" t="s">
        <v>1478</v>
      </c>
      <c r="B735" t="s">
        <v>1479</v>
      </c>
      <c r="C735">
        <v>55</v>
      </c>
      <c r="D735" t="s">
        <v>12</v>
      </c>
      <c r="E735" t="s">
        <v>17</v>
      </c>
      <c r="F735" s="1">
        <v>45921</v>
      </c>
      <c r="G735" s="1">
        <v>46150</v>
      </c>
      <c r="H735">
        <v>62</v>
      </c>
      <c r="I735">
        <v>9</v>
      </c>
      <c r="J735">
        <v>0</v>
      </c>
      <c r="K735" t="str">
        <f t="shared" si="33"/>
        <v>Sep-2025</v>
      </c>
      <c r="L735" s="1">
        <f t="shared" ca="1" si="34"/>
        <v>8</v>
      </c>
      <c r="M735" t="str">
        <f t="shared" si="35"/>
        <v>46+</v>
      </c>
    </row>
    <row r="736" spans="1:13" x14ac:dyDescent="0.2">
      <c r="A736" t="s">
        <v>1480</v>
      </c>
      <c r="B736" t="s">
        <v>1481</v>
      </c>
      <c r="C736">
        <v>57</v>
      </c>
      <c r="D736" t="s">
        <v>16</v>
      </c>
      <c r="E736" t="s">
        <v>21</v>
      </c>
      <c r="F736" s="1">
        <v>45601</v>
      </c>
      <c r="G736" s="1">
        <v>46065</v>
      </c>
      <c r="H736">
        <v>58</v>
      </c>
      <c r="I736">
        <v>3</v>
      </c>
      <c r="J736">
        <v>0</v>
      </c>
      <c r="K736" t="str">
        <f t="shared" si="33"/>
        <v>Nov-2024</v>
      </c>
      <c r="L736" s="1">
        <f t="shared" ca="1" si="34"/>
        <v>93</v>
      </c>
      <c r="M736" t="str">
        <f t="shared" si="35"/>
        <v>46+</v>
      </c>
    </row>
    <row r="737" spans="1:13" x14ac:dyDescent="0.2">
      <c r="A737" t="s">
        <v>1482</v>
      </c>
      <c r="B737" t="s">
        <v>1483</v>
      </c>
      <c r="C737">
        <v>46</v>
      </c>
      <c r="D737" t="s">
        <v>12</v>
      </c>
      <c r="E737" t="s">
        <v>17</v>
      </c>
      <c r="F737" s="1">
        <v>45740</v>
      </c>
      <c r="G737" s="1">
        <v>46070</v>
      </c>
      <c r="H737">
        <v>13</v>
      </c>
      <c r="I737">
        <v>3</v>
      </c>
      <c r="J737">
        <v>1</v>
      </c>
      <c r="K737" t="str">
        <f t="shared" si="33"/>
        <v>Mar-2025</v>
      </c>
      <c r="L737" s="1">
        <f t="shared" ca="1" si="34"/>
        <v>88</v>
      </c>
      <c r="M737" t="str">
        <f t="shared" si="35"/>
        <v>46+</v>
      </c>
    </row>
    <row r="738" spans="1:13" x14ac:dyDescent="0.2">
      <c r="A738" t="s">
        <v>1484</v>
      </c>
      <c r="B738" t="s">
        <v>1485</v>
      </c>
      <c r="C738">
        <v>23</v>
      </c>
      <c r="D738" t="s">
        <v>16</v>
      </c>
      <c r="E738" t="s">
        <v>21</v>
      </c>
      <c r="F738" s="1">
        <v>45384</v>
      </c>
      <c r="G738" s="1">
        <v>46150</v>
      </c>
      <c r="H738">
        <v>74</v>
      </c>
      <c r="I738">
        <v>9</v>
      </c>
      <c r="J738">
        <v>0</v>
      </c>
      <c r="K738" t="str">
        <f t="shared" si="33"/>
        <v>Apr-2024</v>
      </c>
      <c r="L738" s="1">
        <f t="shared" ca="1" si="34"/>
        <v>8</v>
      </c>
      <c r="M738" t="str">
        <f t="shared" si="35"/>
        <v>18-25</v>
      </c>
    </row>
    <row r="739" spans="1:13" x14ac:dyDescent="0.2">
      <c r="A739" t="s">
        <v>1486</v>
      </c>
      <c r="B739" t="s">
        <v>1487</v>
      </c>
      <c r="C739">
        <v>39</v>
      </c>
      <c r="D739" t="s">
        <v>16</v>
      </c>
      <c r="E739" t="s">
        <v>21</v>
      </c>
      <c r="F739" s="1">
        <v>45286</v>
      </c>
      <c r="G739" s="1">
        <v>46042</v>
      </c>
      <c r="H739">
        <v>18</v>
      </c>
      <c r="I739">
        <v>5</v>
      </c>
      <c r="J739">
        <v>0</v>
      </c>
      <c r="K739" t="str">
        <f t="shared" si="33"/>
        <v>Dec-2023</v>
      </c>
      <c r="L739" s="1">
        <f t="shared" ca="1" si="34"/>
        <v>116</v>
      </c>
      <c r="M739" t="str">
        <f t="shared" si="35"/>
        <v>36-45</v>
      </c>
    </row>
    <row r="740" spans="1:13" x14ac:dyDescent="0.2">
      <c r="A740" t="s">
        <v>1488</v>
      </c>
      <c r="B740" t="s">
        <v>1489</v>
      </c>
      <c r="C740">
        <v>53</v>
      </c>
      <c r="D740" t="s">
        <v>20</v>
      </c>
      <c r="E740" t="s">
        <v>17</v>
      </c>
      <c r="F740" s="1">
        <v>45922</v>
      </c>
      <c r="G740" s="1">
        <v>46035</v>
      </c>
      <c r="H740">
        <v>43</v>
      </c>
      <c r="I740">
        <v>5</v>
      </c>
      <c r="J740">
        <v>0</v>
      </c>
      <c r="K740" t="str">
        <f t="shared" si="33"/>
        <v>Sep-2025</v>
      </c>
      <c r="L740" s="1">
        <f t="shared" ca="1" si="34"/>
        <v>123</v>
      </c>
      <c r="M740" t="str">
        <f t="shared" si="35"/>
        <v>46+</v>
      </c>
    </row>
    <row r="741" spans="1:13" x14ac:dyDescent="0.2">
      <c r="A741" t="s">
        <v>1490</v>
      </c>
      <c r="B741" t="s">
        <v>1491</v>
      </c>
      <c r="C741">
        <v>20</v>
      </c>
      <c r="D741" t="s">
        <v>20</v>
      </c>
      <c r="E741" t="s">
        <v>21</v>
      </c>
      <c r="F741" s="1">
        <v>45658</v>
      </c>
      <c r="G741" s="1">
        <v>46105</v>
      </c>
      <c r="H741">
        <v>4</v>
      </c>
      <c r="I741">
        <v>9</v>
      </c>
      <c r="J741">
        <v>1</v>
      </c>
      <c r="K741" t="str">
        <f t="shared" si="33"/>
        <v>Jan-2025</v>
      </c>
      <c r="L741" s="1">
        <f t="shared" ca="1" si="34"/>
        <v>53</v>
      </c>
      <c r="M741" t="str">
        <f t="shared" si="35"/>
        <v>18-25</v>
      </c>
    </row>
    <row r="742" spans="1:13" x14ac:dyDescent="0.2">
      <c r="A742" t="s">
        <v>1492</v>
      </c>
      <c r="B742" t="s">
        <v>1493</v>
      </c>
      <c r="C742">
        <v>27</v>
      </c>
      <c r="D742" t="s">
        <v>16</v>
      </c>
      <c r="E742" t="s">
        <v>21</v>
      </c>
      <c r="F742" s="1">
        <v>45266</v>
      </c>
      <c r="G742" s="1">
        <v>46150</v>
      </c>
      <c r="H742">
        <v>48</v>
      </c>
      <c r="I742">
        <v>10</v>
      </c>
      <c r="J742">
        <v>0</v>
      </c>
      <c r="K742" t="str">
        <f t="shared" si="33"/>
        <v>Dec-2023</v>
      </c>
      <c r="L742" s="1">
        <f t="shared" ca="1" si="34"/>
        <v>8</v>
      </c>
      <c r="M742" t="str">
        <f t="shared" si="35"/>
        <v>26-35</v>
      </c>
    </row>
    <row r="743" spans="1:13" x14ac:dyDescent="0.2">
      <c r="A743" t="s">
        <v>1494</v>
      </c>
      <c r="B743" t="s">
        <v>1495</v>
      </c>
      <c r="C743">
        <v>37</v>
      </c>
      <c r="D743" t="s">
        <v>12</v>
      </c>
      <c r="E743" t="s">
        <v>17</v>
      </c>
      <c r="F743" s="1">
        <v>45729</v>
      </c>
      <c r="G743" s="1">
        <v>46146</v>
      </c>
      <c r="H743">
        <v>28</v>
      </c>
      <c r="I743">
        <v>8</v>
      </c>
      <c r="J743">
        <v>0</v>
      </c>
      <c r="K743" t="str">
        <f t="shared" si="33"/>
        <v>Mar-2025</v>
      </c>
      <c r="L743" s="1">
        <f t="shared" ca="1" si="34"/>
        <v>12</v>
      </c>
      <c r="M743" t="str">
        <f t="shared" si="35"/>
        <v>36-45</v>
      </c>
    </row>
    <row r="744" spans="1:13" x14ac:dyDescent="0.2">
      <c r="A744" t="s">
        <v>1496</v>
      </c>
      <c r="B744" t="s">
        <v>1497</v>
      </c>
      <c r="C744">
        <v>59</v>
      </c>
      <c r="D744" t="s">
        <v>12</v>
      </c>
      <c r="E744" t="s">
        <v>17</v>
      </c>
      <c r="F744" s="1">
        <v>45230</v>
      </c>
      <c r="G744" s="1">
        <v>46132</v>
      </c>
      <c r="H744">
        <v>25</v>
      </c>
      <c r="I744">
        <v>7</v>
      </c>
      <c r="J744">
        <v>0</v>
      </c>
      <c r="K744" t="str">
        <f t="shared" si="33"/>
        <v>Oct-2023</v>
      </c>
      <c r="L744" s="1">
        <f t="shared" ca="1" si="34"/>
        <v>26</v>
      </c>
      <c r="M744" t="str">
        <f t="shared" si="35"/>
        <v>46+</v>
      </c>
    </row>
    <row r="745" spans="1:13" x14ac:dyDescent="0.2">
      <c r="A745" t="s">
        <v>1498</v>
      </c>
      <c r="B745" t="s">
        <v>1499</v>
      </c>
      <c r="C745">
        <v>35</v>
      </c>
      <c r="D745" t="s">
        <v>12</v>
      </c>
      <c r="E745" t="s">
        <v>21</v>
      </c>
      <c r="F745" s="1">
        <v>45493</v>
      </c>
      <c r="G745" s="1">
        <v>46085</v>
      </c>
      <c r="H745">
        <v>9</v>
      </c>
      <c r="I745">
        <v>2</v>
      </c>
      <c r="J745">
        <v>1</v>
      </c>
      <c r="K745" t="str">
        <f t="shared" si="33"/>
        <v>Jul-2024</v>
      </c>
      <c r="L745" s="1">
        <f t="shared" ca="1" si="34"/>
        <v>73</v>
      </c>
      <c r="M745" t="str">
        <f t="shared" si="35"/>
        <v>26-35</v>
      </c>
    </row>
    <row r="746" spans="1:13" x14ac:dyDescent="0.2">
      <c r="A746" t="s">
        <v>1500</v>
      </c>
      <c r="B746" t="s">
        <v>1501</v>
      </c>
      <c r="C746">
        <v>35</v>
      </c>
      <c r="D746" t="s">
        <v>16</v>
      </c>
      <c r="E746" t="s">
        <v>17</v>
      </c>
      <c r="F746" s="1">
        <v>45646</v>
      </c>
      <c r="G746" s="1">
        <v>46083</v>
      </c>
      <c r="H746">
        <v>50</v>
      </c>
      <c r="I746">
        <v>5</v>
      </c>
      <c r="J746">
        <v>0</v>
      </c>
      <c r="K746" t="str">
        <f t="shared" si="33"/>
        <v>Dec-2024</v>
      </c>
      <c r="L746" s="1">
        <f t="shared" ca="1" si="34"/>
        <v>75</v>
      </c>
      <c r="M746" t="str">
        <f t="shared" si="35"/>
        <v>26-35</v>
      </c>
    </row>
    <row r="747" spans="1:13" x14ac:dyDescent="0.2">
      <c r="A747" t="s">
        <v>1502</v>
      </c>
      <c r="B747" t="s">
        <v>1503</v>
      </c>
      <c r="C747">
        <v>58</v>
      </c>
      <c r="D747" t="s">
        <v>20</v>
      </c>
      <c r="E747" t="s">
        <v>13</v>
      </c>
      <c r="F747" s="1">
        <v>45715</v>
      </c>
      <c r="G747" s="1">
        <v>46054</v>
      </c>
      <c r="H747">
        <v>67</v>
      </c>
      <c r="I747">
        <v>8</v>
      </c>
      <c r="J747">
        <v>0</v>
      </c>
      <c r="K747" t="str">
        <f t="shared" si="33"/>
        <v>Feb-2025</v>
      </c>
      <c r="L747" s="1">
        <f t="shared" ca="1" si="34"/>
        <v>104</v>
      </c>
      <c r="M747" t="str">
        <f t="shared" si="35"/>
        <v>46+</v>
      </c>
    </row>
    <row r="748" spans="1:13" x14ac:dyDescent="0.2">
      <c r="A748" t="s">
        <v>1504</v>
      </c>
      <c r="B748" t="s">
        <v>1505</v>
      </c>
      <c r="C748">
        <v>26</v>
      </c>
      <c r="D748" t="s">
        <v>16</v>
      </c>
      <c r="E748" t="s">
        <v>21</v>
      </c>
      <c r="F748" s="1">
        <v>45273</v>
      </c>
      <c r="G748" s="1">
        <v>46146</v>
      </c>
      <c r="H748">
        <v>2</v>
      </c>
      <c r="I748">
        <v>2</v>
      </c>
      <c r="J748">
        <v>1</v>
      </c>
      <c r="K748" t="str">
        <f t="shared" si="33"/>
        <v>Dec-2023</v>
      </c>
      <c r="L748" s="1">
        <f t="shared" ca="1" si="34"/>
        <v>12</v>
      </c>
      <c r="M748" t="str">
        <f t="shared" si="35"/>
        <v>26-35</v>
      </c>
    </row>
    <row r="749" spans="1:13" x14ac:dyDescent="0.2">
      <c r="A749" t="s">
        <v>1506</v>
      </c>
      <c r="B749" t="s">
        <v>1507</v>
      </c>
      <c r="C749">
        <v>50</v>
      </c>
      <c r="D749" t="s">
        <v>20</v>
      </c>
      <c r="E749" t="s">
        <v>21</v>
      </c>
      <c r="F749" s="1">
        <v>45292</v>
      </c>
      <c r="G749" s="1">
        <v>46125</v>
      </c>
      <c r="H749">
        <v>25</v>
      </c>
      <c r="I749">
        <v>10</v>
      </c>
      <c r="J749">
        <v>0</v>
      </c>
      <c r="K749" t="str">
        <f t="shared" si="33"/>
        <v>Jan-2024</v>
      </c>
      <c r="L749" s="1">
        <f t="shared" ca="1" si="34"/>
        <v>33</v>
      </c>
      <c r="M749" t="str">
        <f t="shared" si="35"/>
        <v>46+</v>
      </c>
    </row>
    <row r="750" spans="1:13" x14ac:dyDescent="0.2">
      <c r="A750" t="s">
        <v>1508</v>
      </c>
      <c r="B750" t="s">
        <v>1509</v>
      </c>
      <c r="C750">
        <v>27</v>
      </c>
      <c r="D750" t="s">
        <v>12</v>
      </c>
      <c r="E750" t="s">
        <v>17</v>
      </c>
      <c r="F750" s="1">
        <v>45487</v>
      </c>
      <c r="G750" s="1">
        <v>46055</v>
      </c>
      <c r="H750">
        <v>39</v>
      </c>
      <c r="I750">
        <v>1</v>
      </c>
      <c r="J750">
        <v>1</v>
      </c>
      <c r="K750" t="str">
        <f t="shared" si="33"/>
        <v>Jul-2024</v>
      </c>
      <c r="L750" s="1">
        <f t="shared" ca="1" si="34"/>
        <v>103</v>
      </c>
      <c r="M750" t="str">
        <f t="shared" si="35"/>
        <v>26-35</v>
      </c>
    </row>
    <row r="751" spans="1:13" x14ac:dyDescent="0.2">
      <c r="A751" t="s">
        <v>1510</v>
      </c>
      <c r="B751" t="s">
        <v>1511</v>
      </c>
      <c r="C751">
        <v>32</v>
      </c>
      <c r="D751" t="s">
        <v>12</v>
      </c>
      <c r="E751" t="s">
        <v>21</v>
      </c>
      <c r="F751" s="1">
        <v>45533</v>
      </c>
      <c r="G751" s="1">
        <v>46135</v>
      </c>
      <c r="H751">
        <v>13</v>
      </c>
      <c r="I751">
        <v>9</v>
      </c>
      <c r="J751">
        <v>0</v>
      </c>
      <c r="K751" t="str">
        <f t="shared" si="33"/>
        <v>Aug-2024</v>
      </c>
      <c r="L751" s="1">
        <f t="shared" ca="1" si="34"/>
        <v>23</v>
      </c>
      <c r="M751" t="str">
        <f t="shared" si="35"/>
        <v>26-35</v>
      </c>
    </row>
    <row r="752" spans="1:13" x14ac:dyDescent="0.2">
      <c r="A752" t="s">
        <v>1512</v>
      </c>
      <c r="B752" t="s">
        <v>1513</v>
      </c>
      <c r="C752">
        <v>23</v>
      </c>
      <c r="D752" t="s">
        <v>20</v>
      </c>
      <c r="E752" t="s">
        <v>17</v>
      </c>
      <c r="F752" s="1">
        <v>45308</v>
      </c>
      <c r="G752" s="1">
        <v>46056</v>
      </c>
      <c r="H752">
        <v>62</v>
      </c>
      <c r="I752">
        <v>1</v>
      </c>
      <c r="J752">
        <v>1</v>
      </c>
      <c r="K752" t="str">
        <f t="shared" si="33"/>
        <v>Jan-2024</v>
      </c>
      <c r="L752" s="1">
        <f t="shared" ca="1" si="34"/>
        <v>102</v>
      </c>
      <c r="M752" t="str">
        <f t="shared" si="35"/>
        <v>18-25</v>
      </c>
    </row>
    <row r="753" spans="1:13" x14ac:dyDescent="0.2">
      <c r="A753" t="s">
        <v>1514</v>
      </c>
      <c r="B753" t="s">
        <v>1515</v>
      </c>
      <c r="C753">
        <v>23</v>
      </c>
      <c r="D753" t="s">
        <v>20</v>
      </c>
      <c r="E753" t="s">
        <v>21</v>
      </c>
      <c r="F753" s="1">
        <v>45789</v>
      </c>
      <c r="G753" s="1">
        <v>46128</v>
      </c>
      <c r="H753">
        <v>51</v>
      </c>
      <c r="I753">
        <v>6</v>
      </c>
      <c r="J753">
        <v>0</v>
      </c>
      <c r="K753" t="str">
        <f t="shared" si="33"/>
        <v>May-2025</v>
      </c>
      <c r="L753" s="1">
        <f t="shared" ca="1" si="34"/>
        <v>30</v>
      </c>
      <c r="M753" t="str">
        <f t="shared" si="35"/>
        <v>18-25</v>
      </c>
    </row>
    <row r="754" spans="1:13" x14ac:dyDescent="0.2">
      <c r="A754" t="s">
        <v>1516</v>
      </c>
      <c r="B754" t="s">
        <v>1517</v>
      </c>
      <c r="C754">
        <v>46</v>
      </c>
      <c r="D754" t="s">
        <v>20</v>
      </c>
      <c r="E754" t="s">
        <v>21</v>
      </c>
      <c r="F754" s="1">
        <v>45289</v>
      </c>
      <c r="G754" s="1">
        <v>46069</v>
      </c>
      <c r="H754">
        <v>51</v>
      </c>
      <c r="I754">
        <v>6</v>
      </c>
      <c r="J754">
        <v>0</v>
      </c>
      <c r="K754" t="str">
        <f t="shared" si="33"/>
        <v>Dec-2023</v>
      </c>
      <c r="L754" s="1">
        <f t="shared" ca="1" si="34"/>
        <v>89</v>
      </c>
      <c r="M754" t="str">
        <f t="shared" si="35"/>
        <v>46+</v>
      </c>
    </row>
    <row r="755" spans="1:13" x14ac:dyDescent="0.2">
      <c r="A755" t="s">
        <v>1518</v>
      </c>
      <c r="B755" t="s">
        <v>1519</v>
      </c>
      <c r="C755">
        <v>20</v>
      </c>
      <c r="D755" t="s">
        <v>20</v>
      </c>
      <c r="E755" t="s">
        <v>21</v>
      </c>
      <c r="F755" s="1">
        <v>45300</v>
      </c>
      <c r="G755" s="1">
        <v>46092</v>
      </c>
      <c r="H755">
        <v>31</v>
      </c>
      <c r="I755">
        <v>6</v>
      </c>
      <c r="J755">
        <v>0</v>
      </c>
      <c r="K755" t="str">
        <f t="shared" si="33"/>
        <v>Jan-2024</v>
      </c>
      <c r="L755" s="1">
        <f t="shared" ca="1" si="34"/>
        <v>66</v>
      </c>
      <c r="M755" t="str">
        <f t="shared" si="35"/>
        <v>18-25</v>
      </c>
    </row>
    <row r="756" spans="1:13" x14ac:dyDescent="0.2">
      <c r="A756" t="s">
        <v>1520</v>
      </c>
      <c r="B756" t="s">
        <v>1521</v>
      </c>
      <c r="C756">
        <v>59</v>
      </c>
      <c r="D756" t="s">
        <v>20</v>
      </c>
      <c r="E756" t="s">
        <v>13</v>
      </c>
      <c r="F756" s="1">
        <v>45182</v>
      </c>
      <c r="G756" s="1">
        <v>46113</v>
      </c>
      <c r="H756">
        <v>66</v>
      </c>
      <c r="I756">
        <v>9</v>
      </c>
      <c r="J756">
        <v>0</v>
      </c>
      <c r="K756" t="str">
        <f t="shared" si="33"/>
        <v>Sep-2023</v>
      </c>
      <c r="L756" s="1">
        <f t="shared" ca="1" si="34"/>
        <v>45</v>
      </c>
      <c r="M756" t="str">
        <f t="shared" si="35"/>
        <v>46+</v>
      </c>
    </row>
    <row r="757" spans="1:13" x14ac:dyDescent="0.2">
      <c r="A757" t="s">
        <v>1522</v>
      </c>
      <c r="B757" t="s">
        <v>1523</v>
      </c>
      <c r="C757">
        <v>47</v>
      </c>
      <c r="D757" t="s">
        <v>16</v>
      </c>
      <c r="E757" t="s">
        <v>13</v>
      </c>
      <c r="F757" s="1">
        <v>45829</v>
      </c>
      <c r="G757" s="1">
        <v>46046</v>
      </c>
      <c r="H757">
        <v>17</v>
      </c>
      <c r="I757">
        <v>7</v>
      </c>
      <c r="J757">
        <v>1</v>
      </c>
      <c r="K757" t="str">
        <f t="shared" si="33"/>
        <v>Jun-2025</v>
      </c>
      <c r="L757" s="1">
        <f t="shared" ca="1" si="34"/>
        <v>112</v>
      </c>
      <c r="M757" t="str">
        <f t="shared" si="35"/>
        <v>46+</v>
      </c>
    </row>
    <row r="758" spans="1:13" x14ac:dyDescent="0.2">
      <c r="A758" t="s">
        <v>1524</v>
      </c>
      <c r="B758" t="s">
        <v>1525</v>
      </c>
      <c r="C758">
        <v>54</v>
      </c>
      <c r="D758" t="s">
        <v>16</v>
      </c>
      <c r="E758" t="s">
        <v>21</v>
      </c>
      <c r="F758" s="1">
        <v>46040</v>
      </c>
      <c r="G758" s="1">
        <v>46055</v>
      </c>
      <c r="H758">
        <v>33</v>
      </c>
      <c r="I758">
        <v>5</v>
      </c>
      <c r="J758">
        <v>0</v>
      </c>
      <c r="K758" t="str">
        <f t="shared" si="33"/>
        <v>Jan-2026</v>
      </c>
      <c r="L758" s="1">
        <f t="shared" ca="1" si="34"/>
        <v>103</v>
      </c>
      <c r="M758" t="str">
        <f t="shared" si="35"/>
        <v>46+</v>
      </c>
    </row>
    <row r="759" spans="1:13" x14ac:dyDescent="0.2">
      <c r="A759" t="s">
        <v>1526</v>
      </c>
      <c r="B759" t="s">
        <v>1527</v>
      </c>
      <c r="C759">
        <v>52</v>
      </c>
      <c r="D759" t="s">
        <v>12</v>
      </c>
      <c r="E759" t="s">
        <v>17</v>
      </c>
      <c r="F759" s="1">
        <v>46015</v>
      </c>
      <c r="G759" s="1">
        <v>46146</v>
      </c>
      <c r="H759">
        <v>28</v>
      </c>
      <c r="I759">
        <v>6</v>
      </c>
      <c r="J759">
        <v>0</v>
      </c>
      <c r="K759" t="str">
        <f t="shared" si="33"/>
        <v>Dec-2025</v>
      </c>
      <c r="L759" s="1">
        <f t="shared" ca="1" si="34"/>
        <v>12</v>
      </c>
      <c r="M759" t="str">
        <f t="shared" si="35"/>
        <v>46+</v>
      </c>
    </row>
    <row r="760" spans="1:13" x14ac:dyDescent="0.2">
      <c r="A760" t="s">
        <v>1528</v>
      </c>
      <c r="B760" t="s">
        <v>1529</v>
      </c>
      <c r="C760">
        <v>23</v>
      </c>
      <c r="D760" t="s">
        <v>12</v>
      </c>
      <c r="E760" t="s">
        <v>13</v>
      </c>
      <c r="F760" s="1">
        <v>45706</v>
      </c>
      <c r="G760" s="1">
        <v>46047</v>
      </c>
      <c r="H760">
        <v>47</v>
      </c>
      <c r="I760">
        <v>6</v>
      </c>
      <c r="J760">
        <v>0</v>
      </c>
      <c r="K760" t="str">
        <f t="shared" si="33"/>
        <v>Feb-2025</v>
      </c>
      <c r="L760" s="1">
        <f t="shared" ca="1" si="34"/>
        <v>111</v>
      </c>
      <c r="M760" t="str">
        <f t="shared" si="35"/>
        <v>18-25</v>
      </c>
    </row>
    <row r="761" spans="1:13" x14ac:dyDescent="0.2">
      <c r="A761" t="s">
        <v>1530</v>
      </c>
      <c r="B761" t="s">
        <v>1531</v>
      </c>
      <c r="C761">
        <v>33</v>
      </c>
      <c r="D761" t="s">
        <v>12</v>
      </c>
      <c r="E761" t="s">
        <v>21</v>
      </c>
      <c r="F761" s="1">
        <v>45913</v>
      </c>
      <c r="G761" s="1">
        <v>46143</v>
      </c>
      <c r="H761">
        <v>40</v>
      </c>
      <c r="I761">
        <v>10</v>
      </c>
      <c r="J761">
        <v>1</v>
      </c>
      <c r="K761" t="str">
        <f t="shared" si="33"/>
        <v>Sep-2025</v>
      </c>
      <c r="L761" s="1">
        <f t="shared" ca="1" si="34"/>
        <v>15</v>
      </c>
      <c r="M761" t="str">
        <f t="shared" si="35"/>
        <v>26-35</v>
      </c>
    </row>
    <row r="762" spans="1:13" x14ac:dyDescent="0.2">
      <c r="A762" t="s">
        <v>1532</v>
      </c>
      <c r="B762" t="s">
        <v>1533</v>
      </c>
      <c r="C762">
        <v>43</v>
      </c>
      <c r="D762" t="s">
        <v>12</v>
      </c>
      <c r="E762" t="s">
        <v>21</v>
      </c>
      <c r="F762" s="1">
        <v>45715</v>
      </c>
      <c r="G762" s="1">
        <v>46078</v>
      </c>
      <c r="H762">
        <v>25</v>
      </c>
      <c r="I762">
        <v>2</v>
      </c>
      <c r="J762">
        <v>0</v>
      </c>
      <c r="K762" t="str">
        <f t="shared" si="33"/>
        <v>Feb-2025</v>
      </c>
      <c r="L762" s="1">
        <f t="shared" ca="1" si="34"/>
        <v>80</v>
      </c>
      <c r="M762" t="str">
        <f t="shared" si="35"/>
        <v>36-45</v>
      </c>
    </row>
    <row r="763" spans="1:13" x14ac:dyDescent="0.2">
      <c r="A763" t="s">
        <v>1534</v>
      </c>
      <c r="B763" t="s">
        <v>1535</v>
      </c>
      <c r="C763">
        <v>34</v>
      </c>
      <c r="D763" t="s">
        <v>16</v>
      </c>
      <c r="E763" t="s">
        <v>21</v>
      </c>
      <c r="F763" s="1">
        <v>45296</v>
      </c>
      <c r="G763" s="1">
        <v>46143</v>
      </c>
      <c r="H763">
        <v>17</v>
      </c>
      <c r="I763">
        <v>10</v>
      </c>
      <c r="J763">
        <v>0</v>
      </c>
      <c r="K763" t="str">
        <f t="shared" si="33"/>
        <v>Jan-2024</v>
      </c>
      <c r="L763" s="1">
        <f t="shared" ca="1" si="34"/>
        <v>15</v>
      </c>
      <c r="M763" t="str">
        <f t="shared" si="35"/>
        <v>26-35</v>
      </c>
    </row>
    <row r="764" spans="1:13" x14ac:dyDescent="0.2">
      <c r="A764" t="s">
        <v>1536</v>
      </c>
      <c r="B764" t="s">
        <v>1537</v>
      </c>
      <c r="C764">
        <v>38</v>
      </c>
      <c r="D764" t="s">
        <v>12</v>
      </c>
      <c r="E764" t="s">
        <v>21</v>
      </c>
      <c r="F764" s="1">
        <v>45321</v>
      </c>
      <c r="G764" s="1">
        <v>46063</v>
      </c>
      <c r="H764">
        <v>29</v>
      </c>
      <c r="I764">
        <v>7</v>
      </c>
      <c r="J764">
        <v>1</v>
      </c>
      <c r="K764" t="str">
        <f t="shared" si="33"/>
        <v>Jan-2024</v>
      </c>
      <c r="L764" s="1">
        <f t="shared" ca="1" si="34"/>
        <v>95</v>
      </c>
      <c r="M764" t="str">
        <f t="shared" si="35"/>
        <v>36-45</v>
      </c>
    </row>
    <row r="765" spans="1:13" x14ac:dyDescent="0.2">
      <c r="A765" t="s">
        <v>1538</v>
      </c>
      <c r="B765" t="s">
        <v>1539</v>
      </c>
      <c r="C765">
        <v>24</v>
      </c>
      <c r="D765" t="s">
        <v>12</v>
      </c>
      <c r="E765" t="s">
        <v>13</v>
      </c>
      <c r="F765" s="1">
        <v>46070</v>
      </c>
      <c r="G765" s="1">
        <v>46121</v>
      </c>
      <c r="H765">
        <v>5</v>
      </c>
      <c r="I765">
        <v>3</v>
      </c>
      <c r="J765">
        <v>1</v>
      </c>
      <c r="K765" t="str">
        <f t="shared" si="33"/>
        <v>Feb-2026</v>
      </c>
      <c r="L765" s="1">
        <f t="shared" ca="1" si="34"/>
        <v>37</v>
      </c>
      <c r="M765" t="str">
        <f t="shared" si="35"/>
        <v>18-25</v>
      </c>
    </row>
    <row r="766" spans="1:13" x14ac:dyDescent="0.2">
      <c r="A766" t="s">
        <v>1540</v>
      </c>
      <c r="B766" t="s">
        <v>1541</v>
      </c>
      <c r="C766">
        <v>19</v>
      </c>
      <c r="D766" t="s">
        <v>20</v>
      </c>
      <c r="E766" t="s">
        <v>17</v>
      </c>
      <c r="F766" s="1">
        <v>45318</v>
      </c>
      <c r="G766" s="1">
        <v>46075</v>
      </c>
      <c r="H766">
        <v>68</v>
      </c>
      <c r="I766">
        <v>9</v>
      </c>
      <c r="J766">
        <v>1</v>
      </c>
      <c r="K766" t="str">
        <f t="shared" si="33"/>
        <v>Jan-2024</v>
      </c>
      <c r="L766" s="1">
        <f t="shared" ca="1" si="34"/>
        <v>83</v>
      </c>
      <c r="M766" t="str">
        <f t="shared" si="35"/>
        <v>18-25</v>
      </c>
    </row>
    <row r="767" spans="1:13" x14ac:dyDescent="0.2">
      <c r="A767" t="s">
        <v>1542</v>
      </c>
      <c r="B767" t="s">
        <v>1543</v>
      </c>
      <c r="C767">
        <v>28</v>
      </c>
      <c r="D767" t="s">
        <v>20</v>
      </c>
      <c r="E767" t="s">
        <v>13</v>
      </c>
      <c r="F767" s="1">
        <v>45971</v>
      </c>
      <c r="G767" s="1">
        <v>46136</v>
      </c>
      <c r="H767">
        <v>72</v>
      </c>
      <c r="I767">
        <v>10</v>
      </c>
      <c r="J767">
        <v>0</v>
      </c>
      <c r="K767" t="str">
        <f t="shared" si="33"/>
        <v>Nov-2025</v>
      </c>
      <c r="L767" s="1">
        <f t="shared" ca="1" si="34"/>
        <v>22</v>
      </c>
      <c r="M767" t="str">
        <f t="shared" si="35"/>
        <v>26-35</v>
      </c>
    </row>
    <row r="768" spans="1:13" x14ac:dyDescent="0.2">
      <c r="A768" t="s">
        <v>1544</v>
      </c>
      <c r="B768" t="s">
        <v>1545</v>
      </c>
      <c r="C768">
        <v>52</v>
      </c>
      <c r="D768" t="s">
        <v>20</v>
      </c>
      <c r="E768" t="s">
        <v>17</v>
      </c>
      <c r="F768" s="1">
        <v>45897</v>
      </c>
      <c r="G768" s="1">
        <v>46089</v>
      </c>
      <c r="H768">
        <v>45</v>
      </c>
      <c r="I768">
        <v>5</v>
      </c>
      <c r="J768">
        <v>0</v>
      </c>
      <c r="K768" t="str">
        <f t="shared" si="33"/>
        <v>Aug-2025</v>
      </c>
      <c r="L768" s="1">
        <f t="shared" ca="1" si="34"/>
        <v>69</v>
      </c>
      <c r="M768" t="str">
        <f t="shared" si="35"/>
        <v>46+</v>
      </c>
    </row>
    <row r="769" spans="1:13" x14ac:dyDescent="0.2">
      <c r="A769" t="s">
        <v>1546</v>
      </c>
      <c r="B769" t="s">
        <v>1547</v>
      </c>
      <c r="C769">
        <v>46</v>
      </c>
      <c r="D769" t="s">
        <v>16</v>
      </c>
      <c r="E769" t="s">
        <v>21</v>
      </c>
      <c r="F769" s="1">
        <v>46096</v>
      </c>
      <c r="G769" s="1">
        <v>46096</v>
      </c>
      <c r="H769">
        <v>20</v>
      </c>
      <c r="I769">
        <v>8</v>
      </c>
      <c r="J769">
        <v>1</v>
      </c>
      <c r="K769" t="str">
        <f t="shared" si="33"/>
        <v>Mar-2026</v>
      </c>
      <c r="L769" s="1">
        <f t="shared" ca="1" si="34"/>
        <v>62</v>
      </c>
      <c r="M769" t="str">
        <f t="shared" si="35"/>
        <v>46+</v>
      </c>
    </row>
    <row r="770" spans="1:13" x14ac:dyDescent="0.2">
      <c r="A770" t="s">
        <v>1548</v>
      </c>
      <c r="B770" t="s">
        <v>1549</v>
      </c>
      <c r="C770">
        <v>29</v>
      </c>
      <c r="D770" t="s">
        <v>12</v>
      </c>
      <c r="E770" t="s">
        <v>17</v>
      </c>
      <c r="F770" s="1">
        <v>45665</v>
      </c>
      <c r="G770" s="1">
        <v>46103</v>
      </c>
      <c r="H770">
        <v>25</v>
      </c>
      <c r="I770">
        <v>10</v>
      </c>
      <c r="J770">
        <v>0</v>
      </c>
      <c r="K770" t="str">
        <f t="shared" si="33"/>
        <v>Jan-2025</v>
      </c>
      <c r="L770" s="1">
        <f t="shared" ca="1" si="34"/>
        <v>55</v>
      </c>
      <c r="M770" t="str">
        <f t="shared" si="35"/>
        <v>26-35</v>
      </c>
    </row>
    <row r="771" spans="1:13" x14ac:dyDescent="0.2">
      <c r="A771" t="s">
        <v>1550</v>
      </c>
      <c r="B771" t="s">
        <v>1551</v>
      </c>
      <c r="C771">
        <v>38</v>
      </c>
      <c r="D771" t="s">
        <v>16</v>
      </c>
      <c r="E771" t="s">
        <v>13</v>
      </c>
      <c r="F771" s="1">
        <v>45720</v>
      </c>
      <c r="G771" s="1">
        <v>46070</v>
      </c>
      <c r="H771">
        <v>6</v>
      </c>
      <c r="I771">
        <v>6</v>
      </c>
      <c r="J771">
        <v>0</v>
      </c>
      <c r="K771" t="str">
        <f t="shared" ref="K771:K834" si="36">TEXT(F771,"MMM-YYYY")</f>
        <v>Mar-2025</v>
      </c>
      <c r="L771" s="1">
        <f t="shared" ref="L771:L834" ca="1" si="37">TODAY()-G771</f>
        <v>88</v>
      </c>
      <c r="M771" t="str">
        <f t="shared" ref="M771:M834" si="38">IF(C771&lt;=25,"18-25",IF(C771&lt;=35,"26-35",IF(C771&lt;=45,"36-45","46+")))</f>
        <v>36-45</v>
      </c>
    </row>
    <row r="772" spans="1:13" x14ac:dyDescent="0.2">
      <c r="A772" t="s">
        <v>1552</v>
      </c>
      <c r="B772" t="s">
        <v>1553</v>
      </c>
      <c r="C772">
        <v>18</v>
      </c>
      <c r="D772" t="s">
        <v>16</v>
      </c>
      <c r="E772" t="s">
        <v>17</v>
      </c>
      <c r="F772" s="1">
        <v>45628</v>
      </c>
      <c r="G772" s="1">
        <v>46030</v>
      </c>
      <c r="H772">
        <v>13</v>
      </c>
      <c r="I772">
        <v>3</v>
      </c>
      <c r="J772">
        <v>1</v>
      </c>
      <c r="K772" t="str">
        <f t="shared" si="36"/>
        <v>Dec-2024</v>
      </c>
      <c r="L772" s="1">
        <f t="shared" ca="1" si="37"/>
        <v>128</v>
      </c>
      <c r="M772" t="str">
        <f t="shared" si="38"/>
        <v>18-25</v>
      </c>
    </row>
    <row r="773" spans="1:13" x14ac:dyDescent="0.2">
      <c r="A773" t="s">
        <v>1554</v>
      </c>
      <c r="B773" t="s">
        <v>1555</v>
      </c>
      <c r="C773">
        <v>18</v>
      </c>
      <c r="D773" t="s">
        <v>12</v>
      </c>
      <c r="E773" t="s">
        <v>13</v>
      </c>
      <c r="F773" s="1">
        <v>46067</v>
      </c>
      <c r="G773" s="1">
        <v>46094</v>
      </c>
      <c r="H773">
        <v>9</v>
      </c>
      <c r="I773">
        <v>1</v>
      </c>
      <c r="J773">
        <v>0</v>
      </c>
      <c r="K773" t="str">
        <f t="shared" si="36"/>
        <v>Feb-2026</v>
      </c>
      <c r="L773" s="1">
        <f t="shared" ca="1" si="37"/>
        <v>64</v>
      </c>
      <c r="M773" t="str">
        <f t="shared" si="38"/>
        <v>18-25</v>
      </c>
    </row>
    <row r="774" spans="1:13" x14ac:dyDescent="0.2">
      <c r="A774" t="s">
        <v>1556</v>
      </c>
      <c r="B774" t="s">
        <v>1557</v>
      </c>
      <c r="C774">
        <v>32</v>
      </c>
      <c r="D774" t="s">
        <v>16</v>
      </c>
      <c r="E774" t="s">
        <v>17</v>
      </c>
      <c r="F774" s="1">
        <v>45875</v>
      </c>
      <c r="G774" s="1">
        <v>46110</v>
      </c>
      <c r="H774">
        <v>44</v>
      </c>
      <c r="I774">
        <v>6</v>
      </c>
      <c r="J774">
        <v>0</v>
      </c>
      <c r="K774" t="str">
        <f t="shared" si="36"/>
        <v>Aug-2025</v>
      </c>
      <c r="L774" s="1">
        <f t="shared" ca="1" si="37"/>
        <v>48</v>
      </c>
      <c r="M774" t="str">
        <f t="shared" si="38"/>
        <v>26-35</v>
      </c>
    </row>
    <row r="775" spans="1:13" x14ac:dyDescent="0.2">
      <c r="A775" t="s">
        <v>1558</v>
      </c>
      <c r="B775" t="s">
        <v>1559</v>
      </c>
      <c r="C775">
        <v>40</v>
      </c>
      <c r="D775" t="s">
        <v>20</v>
      </c>
      <c r="E775" t="s">
        <v>17</v>
      </c>
      <c r="F775" s="1">
        <v>45180</v>
      </c>
      <c r="G775" s="1">
        <v>46120</v>
      </c>
      <c r="H775">
        <v>68</v>
      </c>
      <c r="I775">
        <v>9</v>
      </c>
      <c r="J775">
        <v>1</v>
      </c>
      <c r="K775" t="str">
        <f t="shared" si="36"/>
        <v>Sep-2023</v>
      </c>
      <c r="L775" s="1">
        <f t="shared" ca="1" si="37"/>
        <v>38</v>
      </c>
      <c r="M775" t="str">
        <f t="shared" si="38"/>
        <v>36-45</v>
      </c>
    </row>
    <row r="776" spans="1:13" x14ac:dyDescent="0.2">
      <c r="A776" t="s">
        <v>1560</v>
      </c>
      <c r="B776" t="s">
        <v>1561</v>
      </c>
      <c r="C776">
        <v>54</v>
      </c>
      <c r="D776" t="s">
        <v>16</v>
      </c>
      <c r="E776" t="s">
        <v>17</v>
      </c>
      <c r="F776" s="1">
        <v>45335</v>
      </c>
      <c r="G776" s="1">
        <v>46079</v>
      </c>
      <c r="H776">
        <v>65</v>
      </c>
      <c r="I776">
        <v>7</v>
      </c>
      <c r="J776">
        <v>1</v>
      </c>
      <c r="K776" t="str">
        <f t="shared" si="36"/>
        <v>Feb-2024</v>
      </c>
      <c r="L776" s="1">
        <f t="shared" ca="1" si="37"/>
        <v>79</v>
      </c>
      <c r="M776" t="str">
        <f t="shared" si="38"/>
        <v>46+</v>
      </c>
    </row>
    <row r="777" spans="1:13" x14ac:dyDescent="0.2">
      <c r="A777" t="s">
        <v>1562</v>
      </c>
      <c r="B777" t="s">
        <v>1563</v>
      </c>
      <c r="C777">
        <v>29</v>
      </c>
      <c r="D777" t="s">
        <v>20</v>
      </c>
      <c r="E777" t="s">
        <v>21</v>
      </c>
      <c r="F777" s="1">
        <v>45411</v>
      </c>
      <c r="G777" s="1">
        <v>46120</v>
      </c>
      <c r="H777">
        <v>21</v>
      </c>
      <c r="I777">
        <v>7</v>
      </c>
      <c r="J777">
        <v>0</v>
      </c>
      <c r="K777" t="str">
        <f t="shared" si="36"/>
        <v>Apr-2024</v>
      </c>
      <c r="L777" s="1">
        <f t="shared" ca="1" si="37"/>
        <v>38</v>
      </c>
      <c r="M777" t="str">
        <f t="shared" si="38"/>
        <v>26-35</v>
      </c>
    </row>
    <row r="778" spans="1:13" x14ac:dyDescent="0.2">
      <c r="A778" t="s">
        <v>1564</v>
      </c>
      <c r="B778" t="s">
        <v>1565</v>
      </c>
      <c r="C778">
        <v>25</v>
      </c>
      <c r="D778" t="s">
        <v>20</v>
      </c>
      <c r="E778" t="s">
        <v>21</v>
      </c>
      <c r="F778" s="1">
        <v>45569</v>
      </c>
      <c r="G778" s="1">
        <v>46086</v>
      </c>
      <c r="H778">
        <v>59</v>
      </c>
      <c r="I778">
        <v>8</v>
      </c>
      <c r="J778">
        <v>0</v>
      </c>
      <c r="K778" t="str">
        <f t="shared" si="36"/>
        <v>Oct-2024</v>
      </c>
      <c r="L778" s="1">
        <f t="shared" ca="1" si="37"/>
        <v>72</v>
      </c>
      <c r="M778" t="str">
        <f t="shared" si="38"/>
        <v>18-25</v>
      </c>
    </row>
    <row r="779" spans="1:13" x14ac:dyDescent="0.2">
      <c r="A779" t="s">
        <v>1566</v>
      </c>
      <c r="B779" t="s">
        <v>1567</v>
      </c>
      <c r="C779">
        <v>24</v>
      </c>
      <c r="D779" t="s">
        <v>12</v>
      </c>
      <c r="E779" t="s">
        <v>17</v>
      </c>
      <c r="F779" s="1">
        <v>46034</v>
      </c>
      <c r="G779" s="1">
        <v>46123</v>
      </c>
      <c r="H779">
        <v>58</v>
      </c>
      <c r="I779">
        <v>7</v>
      </c>
      <c r="J779">
        <v>1</v>
      </c>
      <c r="K779" t="str">
        <f t="shared" si="36"/>
        <v>Jan-2026</v>
      </c>
      <c r="L779" s="1">
        <f t="shared" ca="1" si="37"/>
        <v>35</v>
      </c>
      <c r="M779" t="str">
        <f t="shared" si="38"/>
        <v>18-25</v>
      </c>
    </row>
    <row r="780" spans="1:13" x14ac:dyDescent="0.2">
      <c r="A780" t="s">
        <v>1568</v>
      </c>
      <c r="B780" t="s">
        <v>1569</v>
      </c>
      <c r="C780">
        <v>50</v>
      </c>
      <c r="D780" t="s">
        <v>16</v>
      </c>
      <c r="E780" t="s">
        <v>17</v>
      </c>
      <c r="F780" s="1">
        <v>45566</v>
      </c>
      <c r="G780" s="1">
        <v>46073</v>
      </c>
      <c r="H780">
        <v>53</v>
      </c>
      <c r="I780">
        <v>8</v>
      </c>
      <c r="J780">
        <v>0</v>
      </c>
      <c r="K780" t="str">
        <f t="shared" si="36"/>
        <v>Oct-2024</v>
      </c>
      <c r="L780" s="1">
        <f t="shared" ca="1" si="37"/>
        <v>85</v>
      </c>
      <c r="M780" t="str">
        <f t="shared" si="38"/>
        <v>46+</v>
      </c>
    </row>
    <row r="781" spans="1:13" x14ac:dyDescent="0.2">
      <c r="A781" t="s">
        <v>1570</v>
      </c>
      <c r="B781" t="s">
        <v>1571</v>
      </c>
      <c r="C781">
        <v>41</v>
      </c>
      <c r="D781" t="s">
        <v>16</v>
      </c>
      <c r="E781" t="s">
        <v>21</v>
      </c>
      <c r="F781" s="1">
        <v>45470</v>
      </c>
      <c r="G781" s="1">
        <v>46074</v>
      </c>
      <c r="H781">
        <v>31</v>
      </c>
      <c r="I781">
        <v>10</v>
      </c>
      <c r="J781">
        <v>1</v>
      </c>
      <c r="K781" t="str">
        <f t="shared" si="36"/>
        <v>Jun-2024</v>
      </c>
      <c r="L781" s="1">
        <f t="shared" ca="1" si="37"/>
        <v>84</v>
      </c>
      <c r="M781" t="str">
        <f t="shared" si="38"/>
        <v>36-45</v>
      </c>
    </row>
    <row r="782" spans="1:13" x14ac:dyDescent="0.2">
      <c r="A782" t="s">
        <v>1572</v>
      </c>
      <c r="B782" t="s">
        <v>1573</v>
      </c>
      <c r="C782">
        <v>38</v>
      </c>
      <c r="D782" t="s">
        <v>20</v>
      </c>
      <c r="E782" t="s">
        <v>21</v>
      </c>
      <c r="F782" s="1">
        <v>45159</v>
      </c>
      <c r="G782" s="1">
        <v>46036</v>
      </c>
      <c r="H782">
        <v>26</v>
      </c>
      <c r="I782">
        <v>3</v>
      </c>
      <c r="J782">
        <v>0</v>
      </c>
      <c r="K782" t="str">
        <f t="shared" si="36"/>
        <v>Aug-2023</v>
      </c>
      <c r="L782" s="1">
        <f t="shared" ca="1" si="37"/>
        <v>122</v>
      </c>
      <c r="M782" t="str">
        <f t="shared" si="38"/>
        <v>36-45</v>
      </c>
    </row>
    <row r="783" spans="1:13" x14ac:dyDescent="0.2">
      <c r="A783" t="s">
        <v>1574</v>
      </c>
      <c r="B783" t="s">
        <v>1575</v>
      </c>
      <c r="C783">
        <v>36</v>
      </c>
      <c r="D783" t="s">
        <v>20</v>
      </c>
      <c r="E783" t="s">
        <v>17</v>
      </c>
      <c r="F783" s="1">
        <v>46054</v>
      </c>
      <c r="G783" s="1">
        <v>46096</v>
      </c>
      <c r="H783">
        <v>49</v>
      </c>
      <c r="I783">
        <v>7</v>
      </c>
      <c r="J783">
        <v>0</v>
      </c>
      <c r="K783" t="str">
        <f t="shared" si="36"/>
        <v>Feb-2026</v>
      </c>
      <c r="L783" s="1">
        <f t="shared" ca="1" si="37"/>
        <v>62</v>
      </c>
      <c r="M783" t="str">
        <f t="shared" si="38"/>
        <v>36-45</v>
      </c>
    </row>
    <row r="784" spans="1:13" x14ac:dyDescent="0.2">
      <c r="A784" t="s">
        <v>1576</v>
      </c>
      <c r="B784" t="s">
        <v>1577</v>
      </c>
      <c r="C784">
        <v>41</v>
      </c>
      <c r="D784" t="s">
        <v>16</v>
      </c>
      <c r="E784" t="s">
        <v>21</v>
      </c>
      <c r="F784" s="1">
        <v>45579</v>
      </c>
      <c r="G784" s="1">
        <v>46075</v>
      </c>
      <c r="H784">
        <v>30</v>
      </c>
      <c r="I784">
        <v>7</v>
      </c>
      <c r="J784">
        <v>0</v>
      </c>
      <c r="K784" t="str">
        <f t="shared" si="36"/>
        <v>Oct-2024</v>
      </c>
      <c r="L784" s="1">
        <f t="shared" ca="1" si="37"/>
        <v>83</v>
      </c>
      <c r="M784" t="str">
        <f t="shared" si="38"/>
        <v>36-45</v>
      </c>
    </row>
    <row r="785" spans="1:13" x14ac:dyDescent="0.2">
      <c r="A785" t="s">
        <v>1578</v>
      </c>
      <c r="B785" t="s">
        <v>1579</v>
      </c>
      <c r="C785">
        <v>35</v>
      </c>
      <c r="D785" t="s">
        <v>16</v>
      </c>
      <c r="E785" t="s">
        <v>17</v>
      </c>
      <c r="F785" s="1">
        <v>45628</v>
      </c>
      <c r="G785" s="1">
        <v>46099</v>
      </c>
      <c r="H785">
        <v>57</v>
      </c>
      <c r="I785">
        <v>5</v>
      </c>
      <c r="J785">
        <v>0</v>
      </c>
      <c r="K785" t="str">
        <f t="shared" si="36"/>
        <v>Dec-2024</v>
      </c>
      <c r="L785" s="1">
        <f t="shared" ca="1" si="37"/>
        <v>59</v>
      </c>
      <c r="M785" t="str">
        <f t="shared" si="38"/>
        <v>26-35</v>
      </c>
    </row>
    <row r="786" spans="1:13" x14ac:dyDescent="0.2">
      <c r="A786" t="s">
        <v>1580</v>
      </c>
      <c r="B786" t="s">
        <v>1581</v>
      </c>
      <c r="C786">
        <v>29</v>
      </c>
      <c r="D786" t="s">
        <v>12</v>
      </c>
      <c r="E786" t="s">
        <v>17</v>
      </c>
      <c r="F786" s="1">
        <v>45743</v>
      </c>
      <c r="G786" s="1">
        <v>46116</v>
      </c>
      <c r="H786">
        <v>37</v>
      </c>
      <c r="I786">
        <v>3</v>
      </c>
      <c r="J786">
        <v>0</v>
      </c>
      <c r="K786" t="str">
        <f t="shared" si="36"/>
        <v>Mar-2025</v>
      </c>
      <c r="L786" s="1">
        <f t="shared" ca="1" si="37"/>
        <v>42</v>
      </c>
      <c r="M786" t="str">
        <f t="shared" si="38"/>
        <v>26-35</v>
      </c>
    </row>
    <row r="787" spans="1:13" x14ac:dyDescent="0.2">
      <c r="A787" t="s">
        <v>1582</v>
      </c>
      <c r="B787" t="s">
        <v>1583</v>
      </c>
      <c r="C787">
        <v>25</v>
      </c>
      <c r="D787" t="s">
        <v>12</v>
      </c>
      <c r="E787" t="s">
        <v>13</v>
      </c>
      <c r="F787" s="1">
        <v>45156</v>
      </c>
      <c r="G787" s="1">
        <v>46085</v>
      </c>
      <c r="H787">
        <v>56</v>
      </c>
      <c r="I787">
        <v>8</v>
      </c>
      <c r="J787">
        <v>0</v>
      </c>
      <c r="K787" t="str">
        <f t="shared" si="36"/>
        <v>Aug-2023</v>
      </c>
      <c r="L787" s="1">
        <f t="shared" ca="1" si="37"/>
        <v>73</v>
      </c>
      <c r="M787" t="str">
        <f t="shared" si="38"/>
        <v>18-25</v>
      </c>
    </row>
    <row r="788" spans="1:13" x14ac:dyDescent="0.2">
      <c r="A788" t="s">
        <v>1584</v>
      </c>
      <c r="B788" t="s">
        <v>1585</v>
      </c>
      <c r="C788">
        <v>57</v>
      </c>
      <c r="D788" t="s">
        <v>12</v>
      </c>
      <c r="E788" t="s">
        <v>21</v>
      </c>
      <c r="F788" s="1">
        <v>45444</v>
      </c>
      <c r="G788" s="1">
        <v>46093</v>
      </c>
      <c r="H788">
        <v>41</v>
      </c>
      <c r="I788">
        <v>9</v>
      </c>
      <c r="J788">
        <v>0</v>
      </c>
      <c r="K788" t="str">
        <f t="shared" si="36"/>
        <v>Jun-2024</v>
      </c>
      <c r="L788" s="1">
        <f t="shared" ca="1" si="37"/>
        <v>65</v>
      </c>
      <c r="M788" t="str">
        <f t="shared" si="38"/>
        <v>46+</v>
      </c>
    </row>
    <row r="789" spans="1:13" x14ac:dyDescent="0.2">
      <c r="A789" t="s">
        <v>1586</v>
      </c>
      <c r="B789" t="s">
        <v>1587</v>
      </c>
      <c r="C789">
        <v>32</v>
      </c>
      <c r="D789" t="s">
        <v>12</v>
      </c>
      <c r="E789" t="s">
        <v>21</v>
      </c>
      <c r="F789" s="1">
        <v>45528</v>
      </c>
      <c r="G789" s="1">
        <v>46068</v>
      </c>
      <c r="H789">
        <v>6</v>
      </c>
      <c r="I789">
        <v>4</v>
      </c>
      <c r="J789">
        <v>1</v>
      </c>
      <c r="K789" t="str">
        <f t="shared" si="36"/>
        <v>Aug-2024</v>
      </c>
      <c r="L789" s="1">
        <f t="shared" ca="1" si="37"/>
        <v>90</v>
      </c>
      <c r="M789" t="str">
        <f t="shared" si="38"/>
        <v>26-35</v>
      </c>
    </row>
    <row r="790" spans="1:13" x14ac:dyDescent="0.2">
      <c r="A790" t="s">
        <v>1588</v>
      </c>
      <c r="B790" t="s">
        <v>1589</v>
      </c>
      <c r="C790">
        <v>22</v>
      </c>
      <c r="D790" t="s">
        <v>16</v>
      </c>
      <c r="E790" t="s">
        <v>17</v>
      </c>
      <c r="F790" s="1">
        <v>45600</v>
      </c>
      <c r="G790" s="1">
        <v>46135</v>
      </c>
      <c r="H790">
        <v>47</v>
      </c>
      <c r="I790">
        <v>3</v>
      </c>
      <c r="J790">
        <v>0</v>
      </c>
      <c r="K790" t="str">
        <f t="shared" si="36"/>
        <v>Nov-2024</v>
      </c>
      <c r="L790" s="1">
        <f t="shared" ca="1" si="37"/>
        <v>23</v>
      </c>
      <c r="M790" t="str">
        <f t="shared" si="38"/>
        <v>18-25</v>
      </c>
    </row>
    <row r="791" spans="1:13" x14ac:dyDescent="0.2">
      <c r="A791" t="s">
        <v>1590</v>
      </c>
      <c r="B791" t="s">
        <v>1591</v>
      </c>
      <c r="C791">
        <v>20</v>
      </c>
      <c r="D791" t="s">
        <v>16</v>
      </c>
      <c r="E791" t="s">
        <v>17</v>
      </c>
      <c r="F791" s="1">
        <v>45824</v>
      </c>
      <c r="G791" s="1">
        <v>46079</v>
      </c>
      <c r="H791">
        <v>30</v>
      </c>
      <c r="I791">
        <v>7</v>
      </c>
      <c r="J791">
        <v>0</v>
      </c>
      <c r="K791" t="str">
        <f t="shared" si="36"/>
        <v>Jun-2025</v>
      </c>
      <c r="L791" s="1">
        <f t="shared" ca="1" si="37"/>
        <v>79</v>
      </c>
      <c r="M791" t="str">
        <f t="shared" si="38"/>
        <v>18-25</v>
      </c>
    </row>
    <row r="792" spans="1:13" x14ac:dyDescent="0.2">
      <c r="A792" t="s">
        <v>1592</v>
      </c>
      <c r="B792" t="s">
        <v>1593</v>
      </c>
      <c r="C792">
        <v>34</v>
      </c>
      <c r="D792" t="s">
        <v>16</v>
      </c>
      <c r="E792" t="s">
        <v>21</v>
      </c>
      <c r="F792" s="1">
        <v>45621</v>
      </c>
      <c r="G792" s="1">
        <v>46039</v>
      </c>
      <c r="H792">
        <v>33</v>
      </c>
      <c r="I792">
        <v>10</v>
      </c>
      <c r="J792">
        <v>0</v>
      </c>
      <c r="K792" t="str">
        <f t="shared" si="36"/>
        <v>Nov-2024</v>
      </c>
      <c r="L792" s="1">
        <f t="shared" ca="1" si="37"/>
        <v>119</v>
      </c>
      <c r="M792" t="str">
        <f t="shared" si="38"/>
        <v>26-35</v>
      </c>
    </row>
    <row r="793" spans="1:13" x14ac:dyDescent="0.2">
      <c r="A793" t="s">
        <v>1594</v>
      </c>
      <c r="B793" t="s">
        <v>1595</v>
      </c>
      <c r="C793">
        <v>33</v>
      </c>
      <c r="D793" t="s">
        <v>12</v>
      </c>
      <c r="E793" t="s">
        <v>13</v>
      </c>
      <c r="F793" s="1">
        <v>45527</v>
      </c>
      <c r="G793" s="1">
        <v>46120</v>
      </c>
      <c r="H793">
        <v>50</v>
      </c>
      <c r="I793">
        <v>2</v>
      </c>
      <c r="J793">
        <v>0</v>
      </c>
      <c r="K793" t="str">
        <f t="shared" si="36"/>
        <v>Aug-2024</v>
      </c>
      <c r="L793" s="1">
        <f t="shared" ca="1" si="37"/>
        <v>38</v>
      </c>
      <c r="M793" t="str">
        <f t="shared" si="38"/>
        <v>26-35</v>
      </c>
    </row>
    <row r="794" spans="1:13" x14ac:dyDescent="0.2">
      <c r="A794" t="s">
        <v>1596</v>
      </c>
      <c r="B794" t="s">
        <v>1597</v>
      </c>
      <c r="C794">
        <v>55</v>
      </c>
      <c r="D794" t="s">
        <v>16</v>
      </c>
      <c r="E794" t="s">
        <v>21</v>
      </c>
      <c r="F794" s="1">
        <v>46031</v>
      </c>
      <c r="G794" s="1">
        <v>46099</v>
      </c>
      <c r="H794">
        <v>6</v>
      </c>
      <c r="I794">
        <v>7</v>
      </c>
      <c r="J794">
        <v>0</v>
      </c>
      <c r="K794" t="str">
        <f t="shared" si="36"/>
        <v>Jan-2026</v>
      </c>
      <c r="L794" s="1">
        <f t="shared" ca="1" si="37"/>
        <v>59</v>
      </c>
      <c r="M794" t="str">
        <f t="shared" si="38"/>
        <v>46+</v>
      </c>
    </row>
    <row r="795" spans="1:13" x14ac:dyDescent="0.2">
      <c r="A795" t="s">
        <v>1598</v>
      </c>
      <c r="B795" t="s">
        <v>1599</v>
      </c>
      <c r="C795">
        <v>37</v>
      </c>
      <c r="D795" t="s">
        <v>12</v>
      </c>
      <c r="E795" t="s">
        <v>21</v>
      </c>
      <c r="F795" s="1">
        <v>45524</v>
      </c>
      <c r="G795" s="1">
        <v>46037</v>
      </c>
      <c r="H795">
        <v>71</v>
      </c>
      <c r="I795">
        <v>7</v>
      </c>
      <c r="J795">
        <v>0</v>
      </c>
      <c r="K795" t="str">
        <f t="shared" si="36"/>
        <v>Aug-2024</v>
      </c>
      <c r="L795" s="1">
        <f t="shared" ca="1" si="37"/>
        <v>121</v>
      </c>
      <c r="M795" t="str">
        <f t="shared" si="38"/>
        <v>36-45</v>
      </c>
    </row>
    <row r="796" spans="1:13" x14ac:dyDescent="0.2">
      <c r="A796" t="s">
        <v>1600</v>
      </c>
      <c r="B796" t="s">
        <v>1601</v>
      </c>
      <c r="C796">
        <v>22</v>
      </c>
      <c r="D796" t="s">
        <v>16</v>
      </c>
      <c r="E796" t="s">
        <v>13</v>
      </c>
      <c r="F796" s="1">
        <v>45694</v>
      </c>
      <c r="G796" s="1">
        <v>46047</v>
      </c>
      <c r="H796">
        <v>35</v>
      </c>
      <c r="I796">
        <v>6</v>
      </c>
      <c r="J796">
        <v>1</v>
      </c>
      <c r="K796" t="str">
        <f t="shared" si="36"/>
        <v>Feb-2025</v>
      </c>
      <c r="L796" s="1">
        <f t="shared" ca="1" si="37"/>
        <v>111</v>
      </c>
      <c r="M796" t="str">
        <f t="shared" si="38"/>
        <v>18-25</v>
      </c>
    </row>
    <row r="797" spans="1:13" x14ac:dyDescent="0.2">
      <c r="A797" t="s">
        <v>1602</v>
      </c>
      <c r="B797" t="s">
        <v>1603</v>
      </c>
      <c r="C797">
        <v>58</v>
      </c>
      <c r="D797" t="s">
        <v>20</v>
      </c>
      <c r="E797" t="s">
        <v>13</v>
      </c>
      <c r="F797" s="1">
        <v>46001</v>
      </c>
      <c r="G797" s="1">
        <v>46140</v>
      </c>
      <c r="H797">
        <v>79</v>
      </c>
      <c r="I797">
        <v>6</v>
      </c>
      <c r="J797">
        <v>0</v>
      </c>
      <c r="K797" t="str">
        <f t="shared" si="36"/>
        <v>Dec-2025</v>
      </c>
      <c r="L797" s="1">
        <f t="shared" ca="1" si="37"/>
        <v>18</v>
      </c>
      <c r="M797" t="str">
        <f t="shared" si="38"/>
        <v>46+</v>
      </c>
    </row>
    <row r="798" spans="1:13" x14ac:dyDescent="0.2">
      <c r="A798" t="s">
        <v>1604</v>
      </c>
      <c r="B798" t="s">
        <v>1605</v>
      </c>
      <c r="C798">
        <v>60</v>
      </c>
      <c r="D798" t="s">
        <v>16</v>
      </c>
      <c r="E798" t="s">
        <v>21</v>
      </c>
      <c r="F798" s="1">
        <v>46079</v>
      </c>
      <c r="G798" s="1">
        <v>46042</v>
      </c>
      <c r="H798">
        <v>49</v>
      </c>
      <c r="I798">
        <v>10</v>
      </c>
      <c r="J798">
        <v>0</v>
      </c>
      <c r="K798" t="str">
        <f t="shared" si="36"/>
        <v>Feb-2026</v>
      </c>
      <c r="L798" s="1">
        <f t="shared" ca="1" si="37"/>
        <v>116</v>
      </c>
      <c r="M798" t="str">
        <f t="shared" si="38"/>
        <v>46+</v>
      </c>
    </row>
    <row r="799" spans="1:13" x14ac:dyDescent="0.2">
      <c r="A799" t="s">
        <v>1606</v>
      </c>
      <c r="B799" t="s">
        <v>1607</v>
      </c>
      <c r="C799">
        <v>19</v>
      </c>
      <c r="D799" t="s">
        <v>20</v>
      </c>
      <c r="E799" t="s">
        <v>21</v>
      </c>
      <c r="F799" s="1">
        <v>45714</v>
      </c>
      <c r="G799" s="1">
        <v>46065</v>
      </c>
      <c r="H799">
        <v>69</v>
      </c>
      <c r="I799">
        <v>6</v>
      </c>
      <c r="J799">
        <v>1</v>
      </c>
      <c r="K799" t="str">
        <f t="shared" si="36"/>
        <v>Feb-2025</v>
      </c>
      <c r="L799" s="1">
        <f t="shared" ca="1" si="37"/>
        <v>93</v>
      </c>
      <c r="M799" t="str">
        <f t="shared" si="38"/>
        <v>18-25</v>
      </c>
    </row>
    <row r="800" spans="1:13" x14ac:dyDescent="0.2">
      <c r="A800" t="s">
        <v>1608</v>
      </c>
      <c r="B800" t="s">
        <v>1609</v>
      </c>
      <c r="C800">
        <v>33</v>
      </c>
      <c r="D800" t="s">
        <v>16</v>
      </c>
      <c r="E800" t="s">
        <v>13</v>
      </c>
      <c r="F800" s="1">
        <v>45306</v>
      </c>
      <c r="G800" s="1">
        <v>46089</v>
      </c>
      <c r="H800">
        <v>11</v>
      </c>
      <c r="I800">
        <v>4</v>
      </c>
      <c r="J800">
        <v>1</v>
      </c>
      <c r="K800" t="str">
        <f t="shared" si="36"/>
        <v>Jan-2024</v>
      </c>
      <c r="L800" s="1">
        <f t="shared" ca="1" si="37"/>
        <v>69</v>
      </c>
      <c r="M800" t="str">
        <f t="shared" si="38"/>
        <v>26-35</v>
      </c>
    </row>
    <row r="801" spans="1:13" x14ac:dyDescent="0.2">
      <c r="A801" t="s">
        <v>1610</v>
      </c>
      <c r="B801" t="s">
        <v>1611</v>
      </c>
      <c r="C801">
        <v>30</v>
      </c>
      <c r="D801" t="s">
        <v>20</v>
      </c>
      <c r="E801" t="s">
        <v>17</v>
      </c>
      <c r="F801" s="1">
        <v>45276</v>
      </c>
      <c r="G801" s="1">
        <v>46105</v>
      </c>
      <c r="H801">
        <v>40</v>
      </c>
      <c r="I801">
        <v>2</v>
      </c>
      <c r="J801">
        <v>0</v>
      </c>
      <c r="K801" t="str">
        <f t="shared" si="36"/>
        <v>Dec-2023</v>
      </c>
      <c r="L801" s="1">
        <f t="shared" ca="1" si="37"/>
        <v>53</v>
      </c>
      <c r="M801" t="str">
        <f t="shared" si="38"/>
        <v>26-35</v>
      </c>
    </row>
    <row r="802" spans="1:13" x14ac:dyDescent="0.2">
      <c r="A802" t="s">
        <v>1612</v>
      </c>
      <c r="B802" t="s">
        <v>1613</v>
      </c>
      <c r="C802">
        <v>60</v>
      </c>
      <c r="D802" t="s">
        <v>20</v>
      </c>
      <c r="E802" t="s">
        <v>21</v>
      </c>
      <c r="F802" s="1">
        <v>45771</v>
      </c>
      <c r="G802" s="1">
        <v>46116</v>
      </c>
      <c r="H802">
        <v>23</v>
      </c>
      <c r="I802">
        <v>6</v>
      </c>
      <c r="J802">
        <v>0</v>
      </c>
      <c r="K802" t="str">
        <f t="shared" si="36"/>
        <v>Apr-2025</v>
      </c>
      <c r="L802" s="1">
        <f t="shared" ca="1" si="37"/>
        <v>42</v>
      </c>
      <c r="M802" t="str">
        <f t="shared" si="38"/>
        <v>46+</v>
      </c>
    </row>
    <row r="803" spans="1:13" x14ac:dyDescent="0.2">
      <c r="A803" t="s">
        <v>1614</v>
      </c>
      <c r="B803" t="s">
        <v>1615</v>
      </c>
      <c r="C803">
        <v>33</v>
      </c>
      <c r="D803" t="s">
        <v>20</v>
      </c>
      <c r="E803" t="s">
        <v>21</v>
      </c>
      <c r="F803" s="1">
        <v>45682</v>
      </c>
      <c r="G803" s="1">
        <v>46128</v>
      </c>
      <c r="H803">
        <v>55</v>
      </c>
      <c r="I803">
        <v>10</v>
      </c>
      <c r="J803">
        <v>0</v>
      </c>
      <c r="K803" t="str">
        <f t="shared" si="36"/>
        <v>Jan-2025</v>
      </c>
      <c r="L803" s="1">
        <f t="shared" ca="1" si="37"/>
        <v>30</v>
      </c>
      <c r="M803" t="str">
        <f t="shared" si="38"/>
        <v>26-35</v>
      </c>
    </row>
    <row r="804" spans="1:13" x14ac:dyDescent="0.2">
      <c r="A804" t="s">
        <v>1616</v>
      </c>
      <c r="B804" t="s">
        <v>1617</v>
      </c>
      <c r="C804">
        <v>42</v>
      </c>
      <c r="D804" t="s">
        <v>16</v>
      </c>
      <c r="E804" t="s">
        <v>17</v>
      </c>
      <c r="F804" s="1">
        <v>45984</v>
      </c>
      <c r="G804" s="1">
        <v>46063</v>
      </c>
      <c r="H804">
        <v>33</v>
      </c>
      <c r="I804">
        <v>1</v>
      </c>
      <c r="J804">
        <v>1</v>
      </c>
      <c r="K804" t="str">
        <f t="shared" si="36"/>
        <v>Nov-2025</v>
      </c>
      <c r="L804" s="1">
        <f t="shared" ca="1" si="37"/>
        <v>95</v>
      </c>
      <c r="M804" t="str">
        <f t="shared" si="38"/>
        <v>36-45</v>
      </c>
    </row>
    <row r="805" spans="1:13" x14ac:dyDescent="0.2">
      <c r="A805" t="s">
        <v>1618</v>
      </c>
      <c r="B805" t="s">
        <v>1619</v>
      </c>
      <c r="C805">
        <v>23</v>
      </c>
      <c r="D805" t="s">
        <v>20</v>
      </c>
      <c r="E805" t="s">
        <v>21</v>
      </c>
      <c r="F805" s="1">
        <v>45162</v>
      </c>
      <c r="G805" s="1">
        <v>46089</v>
      </c>
      <c r="H805">
        <v>33</v>
      </c>
      <c r="I805">
        <v>10</v>
      </c>
      <c r="J805">
        <v>1</v>
      </c>
      <c r="K805" t="str">
        <f t="shared" si="36"/>
        <v>Aug-2023</v>
      </c>
      <c r="L805" s="1">
        <f t="shared" ca="1" si="37"/>
        <v>69</v>
      </c>
      <c r="M805" t="str">
        <f t="shared" si="38"/>
        <v>18-25</v>
      </c>
    </row>
    <row r="806" spans="1:13" x14ac:dyDescent="0.2">
      <c r="A806" t="s">
        <v>1620</v>
      </c>
      <c r="B806" t="s">
        <v>1621</v>
      </c>
      <c r="C806">
        <v>26</v>
      </c>
      <c r="D806" t="s">
        <v>16</v>
      </c>
      <c r="E806" t="s">
        <v>13</v>
      </c>
      <c r="F806" s="1">
        <v>45831</v>
      </c>
      <c r="G806" s="1">
        <v>46108</v>
      </c>
      <c r="H806">
        <v>77</v>
      </c>
      <c r="I806">
        <v>4</v>
      </c>
      <c r="J806">
        <v>0</v>
      </c>
      <c r="K806" t="str">
        <f t="shared" si="36"/>
        <v>Jun-2025</v>
      </c>
      <c r="L806" s="1">
        <f t="shared" ca="1" si="37"/>
        <v>50</v>
      </c>
      <c r="M806" t="str">
        <f t="shared" si="38"/>
        <v>26-35</v>
      </c>
    </row>
    <row r="807" spans="1:13" x14ac:dyDescent="0.2">
      <c r="A807" t="s">
        <v>1622</v>
      </c>
      <c r="B807" t="s">
        <v>1623</v>
      </c>
      <c r="C807">
        <v>39</v>
      </c>
      <c r="D807" t="s">
        <v>16</v>
      </c>
      <c r="E807" t="s">
        <v>13</v>
      </c>
      <c r="F807" s="1">
        <v>45970</v>
      </c>
      <c r="G807" s="1">
        <v>46117</v>
      </c>
      <c r="H807">
        <v>23</v>
      </c>
      <c r="I807">
        <v>2</v>
      </c>
      <c r="J807">
        <v>0</v>
      </c>
      <c r="K807" t="str">
        <f t="shared" si="36"/>
        <v>Nov-2025</v>
      </c>
      <c r="L807" s="1">
        <f t="shared" ca="1" si="37"/>
        <v>41</v>
      </c>
      <c r="M807" t="str">
        <f t="shared" si="38"/>
        <v>36-45</v>
      </c>
    </row>
    <row r="808" spans="1:13" x14ac:dyDescent="0.2">
      <c r="A808" t="s">
        <v>1624</v>
      </c>
      <c r="B808" t="s">
        <v>1625</v>
      </c>
      <c r="C808">
        <v>46</v>
      </c>
      <c r="D808" t="s">
        <v>12</v>
      </c>
      <c r="E808" t="s">
        <v>21</v>
      </c>
      <c r="F808" s="1">
        <v>45752</v>
      </c>
      <c r="G808" s="1">
        <v>46033</v>
      </c>
      <c r="H808">
        <v>70</v>
      </c>
      <c r="I808">
        <v>6</v>
      </c>
      <c r="J808">
        <v>0</v>
      </c>
      <c r="K808" t="str">
        <f t="shared" si="36"/>
        <v>Apr-2025</v>
      </c>
      <c r="L808" s="1">
        <f t="shared" ca="1" si="37"/>
        <v>125</v>
      </c>
      <c r="M808" t="str">
        <f t="shared" si="38"/>
        <v>46+</v>
      </c>
    </row>
    <row r="809" spans="1:13" x14ac:dyDescent="0.2">
      <c r="A809" t="s">
        <v>1626</v>
      </c>
      <c r="B809" t="s">
        <v>1627</v>
      </c>
      <c r="C809">
        <v>27</v>
      </c>
      <c r="D809" t="s">
        <v>12</v>
      </c>
      <c r="E809" t="s">
        <v>21</v>
      </c>
      <c r="F809" s="1">
        <v>45953</v>
      </c>
      <c r="G809" s="1">
        <v>46118</v>
      </c>
      <c r="H809">
        <v>12</v>
      </c>
      <c r="I809">
        <v>3</v>
      </c>
      <c r="J809">
        <v>1</v>
      </c>
      <c r="K809" t="str">
        <f t="shared" si="36"/>
        <v>Oct-2025</v>
      </c>
      <c r="L809" s="1">
        <f t="shared" ca="1" si="37"/>
        <v>40</v>
      </c>
      <c r="M809" t="str">
        <f t="shared" si="38"/>
        <v>26-35</v>
      </c>
    </row>
    <row r="810" spans="1:13" x14ac:dyDescent="0.2">
      <c r="A810" t="s">
        <v>1628</v>
      </c>
      <c r="B810" t="s">
        <v>1629</v>
      </c>
      <c r="C810">
        <v>26</v>
      </c>
      <c r="D810" t="s">
        <v>16</v>
      </c>
      <c r="E810" t="s">
        <v>21</v>
      </c>
      <c r="F810" s="1">
        <v>45725</v>
      </c>
      <c r="G810" s="1">
        <v>46100</v>
      </c>
      <c r="H810">
        <v>47</v>
      </c>
      <c r="I810">
        <v>2</v>
      </c>
      <c r="J810">
        <v>0</v>
      </c>
      <c r="K810" t="str">
        <f t="shared" si="36"/>
        <v>Mar-2025</v>
      </c>
      <c r="L810" s="1">
        <f t="shared" ca="1" si="37"/>
        <v>58</v>
      </c>
      <c r="M810" t="str">
        <f t="shared" si="38"/>
        <v>26-35</v>
      </c>
    </row>
    <row r="811" spans="1:13" x14ac:dyDescent="0.2">
      <c r="A811" t="s">
        <v>1630</v>
      </c>
      <c r="B811" t="s">
        <v>1631</v>
      </c>
      <c r="C811">
        <v>24</v>
      </c>
      <c r="D811" t="s">
        <v>12</v>
      </c>
      <c r="E811" t="s">
        <v>21</v>
      </c>
      <c r="F811" s="1">
        <v>45840</v>
      </c>
      <c r="G811" s="1">
        <v>46092</v>
      </c>
      <c r="H811">
        <v>79</v>
      </c>
      <c r="I811">
        <v>4</v>
      </c>
      <c r="J811">
        <v>0</v>
      </c>
      <c r="K811" t="str">
        <f t="shared" si="36"/>
        <v>Jul-2025</v>
      </c>
      <c r="L811" s="1">
        <f t="shared" ca="1" si="37"/>
        <v>66</v>
      </c>
      <c r="M811" t="str">
        <f t="shared" si="38"/>
        <v>18-25</v>
      </c>
    </row>
    <row r="812" spans="1:13" x14ac:dyDescent="0.2">
      <c r="A812" t="s">
        <v>1632</v>
      </c>
      <c r="B812" t="s">
        <v>1633</v>
      </c>
      <c r="C812">
        <v>21</v>
      </c>
      <c r="D812" t="s">
        <v>16</v>
      </c>
      <c r="E812" t="s">
        <v>13</v>
      </c>
      <c r="F812" s="1">
        <v>46068</v>
      </c>
      <c r="G812" s="1">
        <v>46060</v>
      </c>
      <c r="H812">
        <v>54</v>
      </c>
      <c r="I812">
        <v>10</v>
      </c>
      <c r="J812">
        <v>1</v>
      </c>
      <c r="K812" t="str">
        <f t="shared" si="36"/>
        <v>Feb-2026</v>
      </c>
      <c r="L812" s="1">
        <f t="shared" ca="1" si="37"/>
        <v>98</v>
      </c>
      <c r="M812" t="str">
        <f t="shared" si="38"/>
        <v>18-25</v>
      </c>
    </row>
    <row r="813" spans="1:13" x14ac:dyDescent="0.2">
      <c r="A813" t="s">
        <v>1634</v>
      </c>
      <c r="B813" t="s">
        <v>1635</v>
      </c>
      <c r="C813">
        <v>57</v>
      </c>
      <c r="D813" t="s">
        <v>16</v>
      </c>
      <c r="E813" t="s">
        <v>13</v>
      </c>
      <c r="F813" s="1">
        <v>45224</v>
      </c>
      <c r="G813" s="1">
        <v>46132</v>
      </c>
      <c r="H813">
        <v>66</v>
      </c>
      <c r="I813">
        <v>5</v>
      </c>
      <c r="J813">
        <v>0</v>
      </c>
      <c r="K813" t="str">
        <f t="shared" si="36"/>
        <v>Oct-2023</v>
      </c>
      <c r="L813" s="1">
        <f t="shared" ca="1" si="37"/>
        <v>26</v>
      </c>
      <c r="M813" t="str">
        <f t="shared" si="38"/>
        <v>46+</v>
      </c>
    </row>
    <row r="814" spans="1:13" x14ac:dyDescent="0.2">
      <c r="A814" t="s">
        <v>1636</v>
      </c>
      <c r="B814" t="s">
        <v>1637</v>
      </c>
      <c r="C814">
        <v>46</v>
      </c>
      <c r="D814" t="s">
        <v>16</v>
      </c>
      <c r="E814" t="s">
        <v>21</v>
      </c>
      <c r="F814" s="1">
        <v>45545</v>
      </c>
      <c r="G814" s="1">
        <v>46057</v>
      </c>
      <c r="H814">
        <v>28</v>
      </c>
      <c r="I814">
        <v>4</v>
      </c>
      <c r="J814">
        <v>1</v>
      </c>
      <c r="K814" t="str">
        <f t="shared" si="36"/>
        <v>Sep-2024</v>
      </c>
      <c r="L814" s="1">
        <f t="shared" ca="1" si="37"/>
        <v>101</v>
      </c>
      <c r="M814" t="str">
        <f t="shared" si="38"/>
        <v>46+</v>
      </c>
    </row>
    <row r="815" spans="1:13" x14ac:dyDescent="0.2">
      <c r="A815" t="s">
        <v>1638</v>
      </c>
      <c r="B815" t="s">
        <v>1639</v>
      </c>
      <c r="C815">
        <v>19</v>
      </c>
      <c r="D815" t="s">
        <v>20</v>
      </c>
      <c r="E815" t="s">
        <v>21</v>
      </c>
      <c r="F815" s="1">
        <v>46085</v>
      </c>
      <c r="G815" s="1">
        <v>46064</v>
      </c>
      <c r="H815">
        <v>39</v>
      </c>
      <c r="I815">
        <v>1</v>
      </c>
      <c r="J815">
        <v>0</v>
      </c>
      <c r="K815" t="str">
        <f t="shared" si="36"/>
        <v>Mar-2026</v>
      </c>
      <c r="L815" s="1">
        <f t="shared" ca="1" si="37"/>
        <v>94</v>
      </c>
      <c r="M815" t="str">
        <f t="shared" si="38"/>
        <v>18-25</v>
      </c>
    </row>
    <row r="816" spans="1:13" x14ac:dyDescent="0.2">
      <c r="A816" t="s">
        <v>1640</v>
      </c>
      <c r="B816" t="s">
        <v>1641</v>
      </c>
      <c r="C816">
        <v>32</v>
      </c>
      <c r="D816" t="s">
        <v>12</v>
      </c>
      <c r="E816" t="s">
        <v>17</v>
      </c>
      <c r="F816" s="1">
        <v>45714</v>
      </c>
      <c r="G816" s="1">
        <v>46048</v>
      </c>
      <c r="H816">
        <v>67</v>
      </c>
      <c r="I816">
        <v>6</v>
      </c>
      <c r="J816">
        <v>0</v>
      </c>
      <c r="K816" t="str">
        <f t="shared" si="36"/>
        <v>Feb-2025</v>
      </c>
      <c r="L816" s="1">
        <f t="shared" ca="1" si="37"/>
        <v>110</v>
      </c>
      <c r="M816" t="str">
        <f t="shared" si="38"/>
        <v>26-35</v>
      </c>
    </row>
    <row r="817" spans="1:13" x14ac:dyDescent="0.2">
      <c r="A817" t="s">
        <v>1642</v>
      </c>
      <c r="B817" t="s">
        <v>1643</v>
      </c>
      <c r="C817">
        <v>55</v>
      </c>
      <c r="D817" t="s">
        <v>20</v>
      </c>
      <c r="E817" t="s">
        <v>17</v>
      </c>
      <c r="F817" s="1">
        <v>45923</v>
      </c>
      <c r="G817" s="1">
        <v>46141</v>
      </c>
      <c r="H817">
        <v>12</v>
      </c>
      <c r="I817">
        <v>1</v>
      </c>
      <c r="J817">
        <v>0</v>
      </c>
      <c r="K817" t="str">
        <f t="shared" si="36"/>
        <v>Sep-2025</v>
      </c>
      <c r="L817" s="1">
        <f t="shared" ca="1" si="37"/>
        <v>17</v>
      </c>
      <c r="M817" t="str">
        <f t="shared" si="38"/>
        <v>46+</v>
      </c>
    </row>
    <row r="818" spans="1:13" x14ac:dyDescent="0.2">
      <c r="A818" t="s">
        <v>1644</v>
      </c>
      <c r="B818" t="s">
        <v>1645</v>
      </c>
      <c r="C818">
        <v>44</v>
      </c>
      <c r="D818" t="s">
        <v>20</v>
      </c>
      <c r="E818" t="s">
        <v>21</v>
      </c>
      <c r="F818" s="1">
        <v>45209</v>
      </c>
      <c r="G818" s="1">
        <v>46134</v>
      </c>
      <c r="H818">
        <v>28</v>
      </c>
      <c r="I818">
        <v>2</v>
      </c>
      <c r="J818">
        <v>0</v>
      </c>
      <c r="K818" t="str">
        <f t="shared" si="36"/>
        <v>Oct-2023</v>
      </c>
      <c r="L818" s="1">
        <f t="shared" ca="1" si="37"/>
        <v>24</v>
      </c>
      <c r="M818" t="str">
        <f t="shared" si="38"/>
        <v>36-45</v>
      </c>
    </row>
    <row r="819" spans="1:13" x14ac:dyDescent="0.2">
      <c r="A819" t="s">
        <v>1646</v>
      </c>
      <c r="B819" t="s">
        <v>1647</v>
      </c>
      <c r="C819">
        <v>33</v>
      </c>
      <c r="D819" t="s">
        <v>20</v>
      </c>
      <c r="E819" t="s">
        <v>21</v>
      </c>
      <c r="F819" s="1">
        <v>45581</v>
      </c>
      <c r="G819" s="1">
        <v>46107</v>
      </c>
      <c r="H819">
        <v>46</v>
      </c>
      <c r="I819">
        <v>8</v>
      </c>
      <c r="J819">
        <v>0</v>
      </c>
      <c r="K819" t="str">
        <f t="shared" si="36"/>
        <v>Oct-2024</v>
      </c>
      <c r="L819" s="1">
        <f t="shared" ca="1" si="37"/>
        <v>51</v>
      </c>
      <c r="M819" t="str">
        <f t="shared" si="38"/>
        <v>26-35</v>
      </c>
    </row>
    <row r="820" spans="1:13" x14ac:dyDescent="0.2">
      <c r="A820" t="s">
        <v>1648</v>
      </c>
      <c r="B820" t="s">
        <v>1649</v>
      </c>
      <c r="C820">
        <v>57</v>
      </c>
      <c r="D820" t="s">
        <v>20</v>
      </c>
      <c r="E820" t="s">
        <v>21</v>
      </c>
      <c r="F820" s="1">
        <v>45926</v>
      </c>
      <c r="G820" s="1">
        <v>46110</v>
      </c>
      <c r="H820">
        <v>71</v>
      </c>
      <c r="I820">
        <v>7</v>
      </c>
      <c r="J820">
        <v>1</v>
      </c>
      <c r="K820" t="str">
        <f t="shared" si="36"/>
        <v>Sep-2025</v>
      </c>
      <c r="L820" s="1">
        <f t="shared" ca="1" si="37"/>
        <v>48</v>
      </c>
      <c r="M820" t="str">
        <f t="shared" si="38"/>
        <v>46+</v>
      </c>
    </row>
    <row r="821" spans="1:13" x14ac:dyDescent="0.2">
      <c r="A821" t="s">
        <v>1650</v>
      </c>
      <c r="B821" t="s">
        <v>1651</v>
      </c>
      <c r="C821">
        <v>27</v>
      </c>
      <c r="D821" t="s">
        <v>20</v>
      </c>
      <c r="E821" t="s">
        <v>21</v>
      </c>
      <c r="F821" s="1">
        <v>45558</v>
      </c>
      <c r="G821" s="1">
        <v>46032</v>
      </c>
      <c r="H821">
        <v>66</v>
      </c>
      <c r="I821">
        <v>5</v>
      </c>
      <c r="J821">
        <v>1</v>
      </c>
      <c r="K821" t="str">
        <f t="shared" si="36"/>
        <v>Sep-2024</v>
      </c>
      <c r="L821" s="1">
        <f t="shared" ca="1" si="37"/>
        <v>126</v>
      </c>
      <c r="M821" t="str">
        <f t="shared" si="38"/>
        <v>26-35</v>
      </c>
    </row>
    <row r="822" spans="1:13" x14ac:dyDescent="0.2">
      <c r="A822" t="s">
        <v>1652</v>
      </c>
      <c r="B822" t="s">
        <v>1653</v>
      </c>
      <c r="C822">
        <v>57</v>
      </c>
      <c r="D822" t="s">
        <v>16</v>
      </c>
      <c r="E822" t="s">
        <v>21</v>
      </c>
      <c r="F822" s="1">
        <v>45749</v>
      </c>
      <c r="G822" s="1">
        <v>46106</v>
      </c>
      <c r="H822">
        <v>46</v>
      </c>
      <c r="I822">
        <v>7</v>
      </c>
      <c r="J822">
        <v>0</v>
      </c>
      <c r="K822" t="str">
        <f t="shared" si="36"/>
        <v>Apr-2025</v>
      </c>
      <c r="L822" s="1">
        <f t="shared" ca="1" si="37"/>
        <v>52</v>
      </c>
      <c r="M822" t="str">
        <f t="shared" si="38"/>
        <v>46+</v>
      </c>
    </row>
    <row r="823" spans="1:13" x14ac:dyDescent="0.2">
      <c r="A823" t="s">
        <v>1654</v>
      </c>
      <c r="B823" t="s">
        <v>1655</v>
      </c>
      <c r="C823">
        <v>42</v>
      </c>
      <c r="D823" t="s">
        <v>12</v>
      </c>
      <c r="E823" t="s">
        <v>17</v>
      </c>
      <c r="F823" s="1">
        <v>45806</v>
      </c>
      <c r="G823" s="1">
        <v>46144</v>
      </c>
      <c r="H823">
        <v>66</v>
      </c>
      <c r="I823">
        <v>3</v>
      </c>
      <c r="J823">
        <v>1</v>
      </c>
      <c r="K823" t="str">
        <f t="shared" si="36"/>
        <v>May-2025</v>
      </c>
      <c r="L823" s="1">
        <f t="shared" ca="1" si="37"/>
        <v>14</v>
      </c>
      <c r="M823" t="str">
        <f t="shared" si="38"/>
        <v>36-45</v>
      </c>
    </row>
    <row r="824" spans="1:13" x14ac:dyDescent="0.2">
      <c r="A824" t="s">
        <v>1656</v>
      </c>
      <c r="B824" t="s">
        <v>1657</v>
      </c>
      <c r="C824">
        <v>54</v>
      </c>
      <c r="D824" t="s">
        <v>16</v>
      </c>
      <c r="E824" t="s">
        <v>17</v>
      </c>
      <c r="F824" s="1">
        <v>45975</v>
      </c>
      <c r="G824" s="1">
        <v>46124</v>
      </c>
      <c r="H824">
        <v>32</v>
      </c>
      <c r="I824">
        <v>5</v>
      </c>
      <c r="J824">
        <v>0</v>
      </c>
      <c r="K824" t="str">
        <f t="shared" si="36"/>
        <v>Nov-2025</v>
      </c>
      <c r="L824" s="1">
        <f t="shared" ca="1" si="37"/>
        <v>34</v>
      </c>
      <c r="M824" t="str">
        <f t="shared" si="38"/>
        <v>46+</v>
      </c>
    </row>
    <row r="825" spans="1:13" x14ac:dyDescent="0.2">
      <c r="A825" t="s">
        <v>1658</v>
      </c>
      <c r="B825" t="s">
        <v>1659</v>
      </c>
      <c r="C825">
        <v>24</v>
      </c>
      <c r="D825" t="s">
        <v>16</v>
      </c>
      <c r="E825" t="s">
        <v>17</v>
      </c>
      <c r="F825" s="1">
        <v>45299</v>
      </c>
      <c r="G825" s="1">
        <v>46108</v>
      </c>
      <c r="H825">
        <v>19</v>
      </c>
      <c r="I825">
        <v>6</v>
      </c>
      <c r="J825">
        <v>0</v>
      </c>
      <c r="K825" t="str">
        <f t="shared" si="36"/>
        <v>Jan-2024</v>
      </c>
      <c r="L825" s="1">
        <f t="shared" ca="1" si="37"/>
        <v>50</v>
      </c>
      <c r="M825" t="str">
        <f t="shared" si="38"/>
        <v>18-25</v>
      </c>
    </row>
    <row r="826" spans="1:13" x14ac:dyDescent="0.2">
      <c r="A826" t="s">
        <v>1660</v>
      </c>
      <c r="B826" t="s">
        <v>1661</v>
      </c>
      <c r="C826">
        <v>47</v>
      </c>
      <c r="D826" t="s">
        <v>16</v>
      </c>
      <c r="E826" t="s">
        <v>21</v>
      </c>
      <c r="F826" s="1">
        <v>45325</v>
      </c>
      <c r="G826" s="1">
        <v>46149</v>
      </c>
      <c r="H826">
        <v>77</v>
      </c>
      <c r="I826">
        <v>3</v>
      </c>
      <c r="J826">
        <v>1</v>
      </c>
      <c r="K826" t="str">
        <f t="shared" si="36"/>
        <v>Feb-2024</v>
      </c>
      <c r="L826" s="1">
        <f t="shared" ca="1" si="37"/>
        <v>9</v>
      </c>
      <c r="M826" t="str">
        <f t="shared" si="38"/>
        <v>46+</v>
      </c>
    </row>
    <row r="827" spans="1:13" x14ac:dyDescent="0.2">
      <c r="A827" t="s">
        <v>1662</v>
      </c>
      <c r="B827" t="s">
        <v>1663</v>
      </c>
      <c r="C827">
        <v>22</v>
      </c>
      <c r="D827" t="s">
        <v>20</v>
      </c>
      <c r="E827" t="s">
        <v>21</v>
      </c>
      <c r="F827" s="1">
        <v>45431</v>
      </c>
      <c r="G827" s="1">
        <v>46079</v>
      </c>
      <c r="H827">
        <v>79</v>
      </c>
      <c r="I827">
        <v>2</v>
      </c>
      <c r="J827">
        <v>1</v>
      </c>
      <c r="K827" t="str">
        <f t="shared" si="36"/>
        <v>May-2024</v>
      </c>
      <c r="L827" s="1">
        <f t="shared" ca="1" si="37"/>
        <v>79</v>
      </c>
      <c r="M827" t="str">
        <f t="shared" si="38"/>
        <v>18-25</v>
      </c>
    </row>
    <row r="828" spans="1:13" x14ac:dyDescent="0.2">
      <c r="A828" t="s">
        <v>1664</v>
      </c>
      <c r="B828" t="s">
        <v>1665</v>
      </c>
      <c r="C828">
        <v>31</v>
      </c>
      <c r="D828" t="s">
        <v>16</v>
      </c>
      <c r="E828" t="s">
        <v>21</v>
      </c>
      <c r="F828" s="1">
        <v>45763</v>
      </c>
      <c r="G828" s="1">
        <v>46094</v>
      </c>
      <c r="H828">
        <v>14</v>
      </c>
      <c r="I828">
        <v>10</v>
      </c>
      <c r="J828">
        <v>0</v>
      </c>
      <c r="K828" t="str">
        <f t="shared" si="36"/>
        <v>Apr-2025</v>
      </c>
      <c r="L828" s="1">
        <f t="shared" ca="1" si="37"/>
        <v>64</v>
      </c>
      <c r="M828" t="str">
        <f t="shared" si="38"/>
        <v>26-35</v>
      </c>
    </row>
    <row r="829" spans="1:13" x14ac:dyDescent="0.2">
      <c r="A829" t="s">
        <v>1666</v>
      </c>
      <c r="B829" t="s">
        <v>1667</v>
      </c>
      <c r="C829">
        <v>50</v>
      </c>
      <c r="D829" t="s">
        <v>16</v>
      </c>
      <c r="E829" t="s">
        <v>17</v>
      </c>
      <c r="F829" s="1">
        <v>45395</v>
      </c>
      <c r="G829" s="1">
        <v>46090</v>
      </c>
      <c r="H829">
        <v>71</v>
      </c>
      <c r="I829">
        <v>8</v>
      </c>
      <c r="J829">
        <v>0</v>
      </c>
      <c r="K829" t="str">
        <f t="shared" si="36"/>
        <v>Apr-2024</v>
      </c>
      <c r="L829" s="1">
        <f t="shared" ca="1" si="37"/>
        <v>68</v>
      </c>
      <c r="M829" t="str">
        <f t="shared" si="38"/>
        <v>46+</v>
      </c>
    </row>
    <row r="830" spans="1:13" x14ac:dyDescent="0.2">
      <c r="A830" t="s">
        <v>1668</v>
      </c>
      <c r="B830" t="s">
        <v>1669</v>
      </c>
      <c r="C830">
        <v>18</v>
      </c>
      <c r="D830" t="s">
        <v>12</v>
      </c>
      <c r="E830" t="s">
        <v>21</v>
      </c>
      <c r="F830" s="1">
        <v>45333</v>
      </c>
      <c r="G830" s="1">
        <v>46074</v>
      </c>
      <c r="H830">
        <v>73</v>
      </c>
      <c r="I830">
        <v>9</v>
      </c>
      <c r="J830">
        <v>0</v>
      </c>
      <c r="K830" t="str">
        <f t="shared" si="36"/>
        <v>Feb-2024</v>
      </c>
      <c r="L830" s="1">
        <f t="shared" ca="1" si="37"/>
        <v>84</v>
      </c>
      <c r="M830" t="str">
        <f t="shared" si="38"/>
        <v>18-25</v>
      </c>
    </row>
    <row r="831" spans="1:13" x14ac:dyDescent="0.2">
      <c r="A831" t="s">
        <v>1670</v>
      </c>
      <c r="B831" t="s">
        <v>1671</v>
      </c>
      <c r="C831">
        <v>43</v>
      </c>
      <c r="D831" t="s">
        <v>20</v>
      </c>
      <c r="E831" t="s">
        <v>13</v>
      </c>
      <c r="F831" s="1">
        <v>45360</v>
      </c>
      <c r="G831" s="1">
        <v>46032</v>
      </c>
      <c r="H831">
        <v>10</v>
      </c>
      <c r="I831">
        <v>1</v>
      </c>
      <c r="J831">
        <v>0</v>
      </c>
      <c r="K831" t="str">
        <f t="shared" si="36"/>
        <v>Mar-2024</v>
      </c>
      <c r="L831" s="1">
        <f t="shared" ca="1" si="37"/>
        <v>126</v>
      </c>
      <c r="M831" t="str">
        <f t="shared" si="38"/>
        <v>36-45</v>
      </c>
    </row>
    <row r="832" spans="1:13" x14ac:dyDescent="0.2">
      <c r="A832" t="s">
        <v>1672</v>
      </c>
      <c r="B832" t="s">
        <v>1673</v>
      </c>
      <c r="C832">
        <v>33</v>
      </c>
      <c r="D832" t="s">
        <v>12</v>
      </c>
      <c r="E832" t="s">
        <v>21</v>
      </c>
      <c r="F832" s="1">
        <v>45506</v>
      </c>
      <c r="G832" s="1">
        <v>46056</v>
      </c>
      <c r="H832">
        <v>71</v>
      </c>
      <c r="I832">
        <v>1</v>
      </c>
      <c r="J832">
        <v>1</v>
      </c>
      <c r="K832" t="str">
        <f t="shared" si="36"/>
        <v>Aug-2024</v>
      </c>
      <c r="L832" s="1">
        <f t="shared" ca="1" si="37"/>
        <v>102</v>
      </c>
      <c r="M832" t="str">
        <f t="shared" si="38"/>
        <v>26-35</v>
      </c>
    </row>
    <row r="833" spans="1:13" x14ac:dyDescent="0.2">
      <c r="A833" t="s">
        <v>1674</v>
      </c>
      <c r="B833" t="s">
        <v>1675</v>
      </c>
      <c r="C833">
        <v>56</v>
      </c>
      <c r="D833" t="s">
        <v>12</v>
      </c>
      <c r="E833" t="s">
        <v>21</v>
      </c>
      <c r="F833" s="1">
        <v>45737</v>
      </c>
      <c r="G833" s="1">
        <v>46146</v>
      </c>
      <c r="H833">
        <v>37</v>
      </c>
      <c r="I833">
        <v>8</v>
      </c>
      <c r="J833">
        <v>0</v>
      </c>
      <c r="K833" t="str">
        <f t="shared" si="36"/>
        <v>Mar-2025</v>
      </c>
      <c r="L833" s="1">
        <f t="shared" ca="1" si="37"/>
        <v>12</v>
      </c>
      <c r="M833" t="str">
        <f t="shared" si="38"/>
        <v>46+</v>
      </c>
    </row>
    <row r="834" spans="1:13" x14ac:dyDescent="0.2">
      <c r="A834" t="s">
        <v>1676</v>
      </c>
      <c r="B834" t="s">
        <v>1677</v>
      </c>
      <c r="C834">
        <v>41</v>
      </c>
      <c r="D834" t="s">
        <v>16</v>
      </c>
      <c r="E834" t="s">
        <v>21</v>
      </c>
      <c r="F834" s="1">
        <v>45412</v>
      </c>
      <c r="G834" s="1">
        <v>46067</v>
      </c>
      <c r="H834">
        <v>50</v>
      </c>
      <c r="I834">
        <v>5</v>
      </c>
      <c r="J834">
        <v>0</v>
      </c>
      <c r="K834" t="str">
        <f t="shared" si="36"/>
        <v>Apr-2024</v>
      </c>
      <c r="L834" s="1">
        <f t="shared" ca="1" si="37"/>
        <v>91</v>
      </c>
      <c r="M834" t="str">
        <f t="shared" si="38"/>
        <v>36-45</v>
      </c>
    </row>
    <row r="835" spans="1:13" x14ac:dyDescent="0.2">
      <c r="A835" t="s">
        <v>1678</v>
      </c>
      <c r="B835" t="s">
        <v>1679</v>
      </c>
      <c r="C835">
        <v>30</v>
      </c>
      <c r="D835" t="s">
        <v>12</v>
      </c>
      <c r="E835" t="s">
        <v>17</v>
      </c>
      <c r="F835" s="1">
        <v>45175</v>
      </c>
      <c r="G835" s="1">
        <v>46135</v>
      </c>
      <c r="H835">
        <v>69</v>
      </c>
      <c r="I835">
        <v>6</v>
      </c>
      <c r="J835">
        <v>1</v>
      </c>
      <c r="K835" t="str">
        <f t="shared" ref="K835:K898" si="39">TEXT(F835,"MMM-YYYY")</f>
        <v>Sep-2023</v>
      </c>
      <c r="L835" s="1">
        <f t="shared" ref="L835:L898" ca="1" si="40">TODAY()-G835</f>
        <v>23</v>
      </c>
      <c r="M835" t="str">
        <f t="shared" ref="M835:M898" si="41">IF(C835&lt;=25,"18-25",IF(C835&lt;=35,"26-35",IF(C835&lt;=45,"36-45","46+")))</f>
        <v>26-35</v>
      </c>
    </row>
    <row r="836" spans="1:13" x14ac:dyDescent="0.2">
      <c r="A836" t="s">
        <v>1680</v>
      </c>
      <c r="B836" t="s">
        <v>1681</v>
      </c>
      <c r="C836">
        <v>49</v>
      </c>
      <c r="D836" t="s">
        <v>20</v>
      </c>
      <c r="E836" t="s">
        <v>21</v>
      </c>
      <c r="F836" s="1">
        <v>45206</v>
      </c>
      <c r="G836" s="1">
        <v>46107</v>
      </c>
      <c r="H836">
        <v>26</v>
      </c>
      <c r="I836">
        <v>1</v>
      </c>
      <c r="J836">
        <v>0</v>
      </c>
      <c r="K836" t="str">
        <f t="shared" si="39"/>
        <v>Oct-2023</v>
      </c>
      <c r="L836" s="1">
        <f t="shared" ca="1" si="40"/>
        <v>51</v>
      </c>
      <c r="M836" t="str">
        <f t="shared" si="41"/>
        <v>46+</v>
      </c>
    </row>
    <row r="837" spans="1:13" x14ac:dyDescent="0.2">
      <c r="A837" t="s">
        <v>1682</v>
      </c>
      <c r="B837" t="s">
        <v>1683</v>
      </c>
      <c r="C837">
        <v>46</v>
      </c>
      <c r="D837" t="s">
        <v>20</v>
      </c>
      <c r="E837" t="s">
        <v>21</v>
      </c>
      <c r="F837" s="1">
        <v>45298</v>
      </c>
      <c r="G837" s="1">
        <v>46056</v>
      </c>
      <c r="H837">
        <v>13</v>
      </c>
      <c r="I837">
        <v>1</v>
      </c>
      <c r="J837">
        <v>0</v>
      </c>
      <c r="K837" t="str">
        <f t="shared" si="39"/>
        <v>Jan-2024</v>
      </c>
      <c r="L837" s="1">
        <f t="shared" ca="1" si="40"/>
        <v>102</v>
      </c>
      <c r="M837" t="str">
        <f t="shared" si="41"/>
        <v>46+</v>
      </c>
    </row>
    <row r="838" spans="1:13" x14ac:dyDescent="0.2">
      <c r="A838" t="s">
        <v>1684</v>
      </c>
      <c r="B838" t="s">
        <v>1685</v>
      </c>
      <c r="C838">
        <v>43</v>
      </c>
      <c r="D838" t="s">
        <v>12</v>
      </c>
      <c r="E838" t="s">
        <v>13</v>
      </c>
      <c r="F838" s="1">
        <v>45655</v>
      </c>
      <c r="G838" s="1">
        <v>46134</v>
      </c>
      <c r="H838">
        <v>32</v>
      </c>
      <c r="I838">
        <v>9</v>
      </c>
      <c r="J838">
        <v>0</v>
      </c>
      <c r="K838" t="str">
        <f t="shared" si="39"/>
        <v>Dec-2024</v>
      </c>
      <c r="L838" s="1">
        <f t="shared" ca="1" si="40"/>
        <v>24</v>
      </c>
      <c r="M838" t="str">
        <f t="shared" si="41"/>
        <v>36-45</v>
      </c>
    </row>
    <row r="839" spans="1:13" x14ac:dyDescent="0.2">
      <c r="A839" t="s">
        <v>1686</v>
      </c>
      <c r="B839" t="s">
        <v>1687</v>
      </c>
      <c r="C839">
        <v>51</v>
      </c>
      <c r="D839" t="s">
        <v>20</v>
      </c>
      <c r="E839" t="s">
        <v>13</v>
      </c>
      <c r="F839" s="1">
        <v>45824</v>
      </c>
      <c r="G839" s="1">
        <v>46060</v>
      </c>
      <c r="H839">
        <v>31</v>
      </c>
      <c r="I839">
        <v>9</v>
      </c>
      <c r="J839">
        <v>1</v>
      </c>
      <c r="K839" t="str">
        <f t="shared" si="39"/>
        <v>Jun-2025</v>
      </c>
      <c r="L839" s="1">
        <f t="shared" ca="1" si="40"/>
        <v>98</v>
      </c>
      <c r="M839" t="str">
        <f t="shared" si="41"/>
        <v>46+</v>
      </c>
    </row>
    <row r="840" spans="1:13" x14ac:dyDescent="0.2">
      <c r="A840" t="s">
        <v>1688</v>
      </c>
      <c r="B840" t="s">
        <v>1689</v>
      </c>
      <c r="C840">
        <v>44</v>
      </c>
      <c r="D840" t="s">
        <v>12</v>
      </c>
      <c r="E840" t="s">
        <v>21</v>
      </c>
      <c r="F840" s="1">
        <v>46080</v>
      </c>
      <c r="G840" s="1">
        <v>46106</v>
      </c>
      <c r="H840">
        <v>41</v>
      </c>
      <c r="I840">
        <v>7</v>
      </c>
      <c r="J840">
        <v>1</v>
      </c>
      <c r="K840" t="str">
        <f t="shared" si="39"/>
        <v>Feb-2026</v>
      </c>
      <c r="L840" s="1">
        <f t="shared" ca="1" si="40"/>
        <v>52</v>
      </c>
      <c r="M840" t="str">
        <f t="shared" si="41"/>
        <v>36-45</v>
      </c>
    </row>
    <row r="841" spans="1:13" x14ac:dyDescent="0.2">
      <c r="A841" t="s">
        <v>1690</v>
      </c>
      <c r="B841" t="s">
        <v>1691</v>
      </c>
      <c r="C841">
        <v>55</v>
      </c>
      <c r="D841" t="s">
        <v>16</v>
      </c>
      <c r="E841" t="s">
        <v>21</v>
      </c>
      <c r="F841" s="1">
        <v>45592</v>
      </c>
      <c r="G841" s="1">
        <v>46058</v>
      </c>
      <c r="H841">
        <v>35</v>
      </c>
      <c r="I841">
        <v>7</v>
      </c>
      <c r="J841">
        <v>0</v>
      </c>
      <c r="K841" t="str">
        <f t="shared" si="39"/>
        <v>Oct-2024</v>
      </c>
      <c r="L841" s="1">
        <f t="shared" ca="1" si="40"/>
        <v>100</v>
      </c>
      <c r="M841" t="str">
        <f t="shared" si="41"/>
        <v>46+</v>
      </c>
    </row>
    <row r="842" spans="1:13" x14ac:dyDescent="0.2">
      <c r="A842" t="s">
        <v>1692</v>
      </c>
      <c r="B842" t="s">
        <v>1693</v>
      </c>
      <c r="C842">
        <v>58</v>
      </c>
      <c r="D842" t="s">
        <v>16</v>
      </c>
      <c r="E842" t="s">
        <v>21</v>
      </c>
      <c r="F842" s="1">
        <v>45263</v>
      </c>
      <c r="G842" s="1">
        <v>46066</v>
      </c>
      <c r="H842">
        <v>5</v>
      </c>
      <c r="I842">
        <v>8</v>
      </c>
      <c r="J842">
        <v>0</v>
      </c>
      <c r="K842" t="str">
        <f t="shared" si="39"/>
        <v>Dec-2023</v>
      </c>
      <c r="L842" s="1">
        <f t="shared" ca="1" si="40"/>
        <v>92</v>
      </c>
      <c r="M842" t="str">
        <f t="shared" si="41"/>
        <v>46+</v>
      </c>
    </row>
    <row r="843" spans="1:13" x14ac:dyDescent="0.2">
      <c r="A843" t="s">
        <v>1694</v>
      </c>
      <c r="B843" t="s">
        <v>1695</v>
      </c>
      <c r="C843">
        <v>30</v>
      </c>
      <c r="D843" t="s">
        <v>20</v>
      </c>
      <c r="E843" t="s">
        <v>21</v>
      </c>
      <c r="F843" s="1">
        <v>45839</v>
      </c>
      <c r="G843" s="1">
        <v>46050</v>
      </c>
      <c r="H843">
        <v>35</v>
      </c>
      <c r="I843">
        <v>5</v>
      </c>
      <c r="J843">
        <v>1</v>
      </c>
      <c r="K843" t="str">
        <f t="shared" si="39"/>
        <v>Jul-2025</v>
      </c>
      <c r="L843" s="1">
        <f t="shared" ca="1" si="40"/>
        <v>108</v>
      </c>
      <c r="M843" t="str">
        <f t="shared" si="41"/>
        <v>26-35</v>
      </c>
    </row>
    <row r="844" spans="1:13" x14ac:dyDescent="0.2">
      <c r="A844" t="s">
        <v>1696</v>
      </c>
      <c r="B844" t="s">
        <v>1697</v>
      </c>
      <c r="C844">
        <v>32</v>
      </c>
      <c r="D844" t="s">
        <v>12</v>
      </c>
      <c r="E844" t="s">
        <v>17</v>
      </c>
      <c r="F844" s="1">
        <v>45548</v>
      </c>
      <c r="G844" s="1">
        <v>46123</v>
      </c>
      <c r="H844">
        <v>59</v>
      </c>
      <c r="I844">
        <v>10</v>
      </c>
      <c r="J844">
        <v>0</v>
      </c>
      <c r="K844" t="str">
        <f t="shared" si="39"/>
        <v>Sep-2024</v>
      </c>
      <c r="L844" s="1">
        <f t="shared" ca="1" si="40"/>
        <v>35</v>
      </c>
      <c r="M844" t="str">
        <f t="shared" si="41"/>
        <v>26-35</v>
      </c>
    </row>
    <row r="845" spans="1:13" x14ac:dyDescent="0.2">
      <c r="A845" t="s">
        <v>1698</v>
      </c>
      <c r="B845" t="s">
        <v>1699</v>
      </c>
      <c r="C845">
        <v>22</v>
      </c>
      <c r="D845" t="s">
        <v>16</v>
      </c>
      <c r="E845" t="s">
        <v>21</v>
      </c>
      <c r="F845" s="1">
        <v>45958</v>
      </c>
      <c r="G845" s="1">
        <v>46096</v>
      </c>
      <c r="H845">
        <v>64</v>
      </c>
      <c r="I845">
        <v>7</v>
      </c>
      <c r="J845">
        <v>0</v>
      </c>
      <c r="K845" t="str">
        <f t="shared" si="39"/>
        <v>Oct-2025</v>
      </c>
      <c r="L845" s="1">
        <f t="shared" ca="1" si="40"/>
        <v>62</v>
      </c>
      <c r="M845" t="str">
        <f t="shared" si="41"/>
        <v>18-25</v>
      </c>
    </row>
    <row r="846" spans="1:13" x14ac:dyDescent="0.2">
      <c r="A846" t="s">
        <v>1700</v>
      </c>
      <c r="B846" t="s">
        <v>1701</v>
      </c>
      <c r="C846">
        <v>49</v>
      </c>
      <c r="D846" t="s">
        <v>16</v>
      </c>
      <c r="E846" t="s">
        <v>21</v>
      </c>
      <c r="F846" s="1">
        <v>45873</v>
      </c>
      <c r="G846" s="1">
        <v>46082</v>
      </c>
      <c r="H846">
        <v>57</v>
      </c>
      <c r="I846">
        <v>8</v>
      </c>
      <c r="J846">
        <v>0</v>
      </c>
      <c r="K846" t="str">
        <f t="shared" si="39"/>
        <v>Aug-2025</v>
      </c>
      <c r="L846" s="1">
        <f t="shared" ca="1" si="40"/>
        <v>76</v>
      </c>
      <c r="M846" t="str">
        <f t="shared" si="41"/>
        <v>46+</v>
      </c>
    </row>
    <row r="847" spans="1:13" x14ac:dyDescent="0.2">
      <c r="A847" t="s">
        <v>1702</v>
      </c>
      <c r="B847" t="s">
        <v>1703</v>
      </c>
      <c r="C847">
        <v>47</v>
      </c>
      <c r="D847" t="s">
        <v>12</v>
      </c>
      <c r="E847" t="s">
        <v>17</v>
      </c>
      <c r="F847" s="1">
        <v>45746</v>
      </c>
      <c r="G847" s="1">
        <v>46121</v>
      </c>
      <c r="H847">
        <v>52</v>
      </c>
      <c r="I847">
        <v>3</v>
      </c>
      <c r="J847">
        <v>0</v>
      </c>
      <c r="K847" t="str">
        <f t="shared" si="39"/>
        <v>Mar-2025</v>
      </c>
      <c r="L847" s="1">
        <f t="shared" ca="1" si="40"/>
        <v>37</v>
      </c>
      <c r="M847" t="str">
        <f t="shared" si="41"/>
        <v>46+</v>
      </c>
    </row>
    <row r="848" spans="1:13" x14ac:dyDescent="0.2">
      <c r="A848" t="s">
        <v>1704</v>
      </c>
      <c r="B848" t="s">
        <v>1705</v>
      </c>
      <c r="C848">
        <v>53</v>
      </c>
      <c r="D848" t="s">
        <v>12</v>
      </c>
      <c r="E848" t="s">
        <v>21</v>
      </c>
      <c r="F848" s="1">
        <v>45917</v>
      </c>
      <c r="G848" s="1">
        <v>46077</v>
      </c>
      <c r="H848">
        <v>1</v>
      </c>
      <c r="I848">
        <v>10</v>
      </c>
      <c r="J848">
        <v>0</v>
      </c>
      <c r="K848" t="str">
        <f t="shared" si="39"/>
        <v>Sep-2025</v>
      </c>
      <c r="L848" s="1">
        <f t="shared" ca="1" si="40"/>
        <v>81</v>
      </c>
      <c r="M848" t="str">
        <f t="shared" si="41"/>
        <v>46+</v>
      </c>
    </row>
    <row r="849" spans="1:13" x14ac:dyDescent="0.2">
      <c r="A849" t="s">
        <v>1706</v>
      </c>
      <c r="B849" t="s">
        <v>1707</v>
      </c>
      <c r="C849">
        <v>54</v>
      </c>
      <c r="D849" t="s">
        <v>12</v>
      </c>
      <c r="E849" t="s">
        <v>17</v>
      </c>
      <c r="F849" s="1">
        <v>45748</v>
      </c>
      <c r="G849" s="1">
        <v>46082</v>
      </c>
      <c r="H849">
        <v>4</v>
      </c>
      <c r="I849">
        <v>1</v>
      </c>
      <c r="J849">
        <v>1</v>
      </c>
      <c r="K849" t="str">
        <f t="shared" si="39"/>
        <v>Apr-2025</v>
      </c>
      <c r="L849" s="1">
        <f t="shared" ca="1" si="40"/>
        <v>76</v>
      </c>
      <c r="M849" t="str">
        <f t="shared" si="41"/>
        <v>46+</v>
      </c>
    </row>
    <row r="850" spans="1:13" x14ac:dyDescent="0.2">
      <c r="A850" t="s">
        <v>1708</v>
      </c>
      <c r="B850" t="s">
        <v>1709</v>
      </c>
      <c r="C850">
        <v>48</v>
      </c>
      <c r="D850" t="s">
        <v>16</v>
      </c>
      <c r="E850" t="s">
        <v>17</v>
      </c>
      <c r="F850" s="1">
        <v>45235</v>
      </c>
      <c r="G850" s="1">
        <v>46046</v>
      </c>
      <c r="H850">
        <v>55</v>
      </c>
      <c r="I850">
        <v>5</v>
      </c>
      <c r="J850">
        <v>0</v>
      </c>
      <c r="K850" t="str">
        <f t="shared" si="39"/>
        <v>Nov-2023</v>
      </c>
      <c r="L850" s="1">
        <f t="shared" ca="1" si="40"/>
        <v>112</v>
      </c>
      <c r="M850" t="str">
        <f t="shared" si="41"/>
        <v>46+</v>
      </c>
    </row>
    <row r="851" spans="1:13" x14ac:dyDescent="0.2">
      <c r="A851" t="s">
        <v>1710</v>
      </c>
      <c r="B851" t="s">
        <v>1711</v>
      </c>
      <c r="C851">
        <v>33</v>
      </c>
      <c r="D851" t="s">
        <v>16</v>
      </c>
      <c r="E851" t="s">
        <v>13</v>
      </c>
      <c r="F851" s="1">
        <v>45872</v>
      </c>
      <c r="G851" s="1">
        <v>46115</v>
      </c>
      <c r="H851">
        <v>36</v>
      </c>
      <c r="I851">
        <v>4</v>
      </c>
      <c r="J851">
        <v>0</v>
      </c>
      <c r="K851" t="str">
        <f t="shared" si="39"/>
        <v>Aug-2025</v>
      </c>
      <c r="L851" s="1">
        <f t="shared" ca="1" si="40"/>
        <v>43</v>
      </c>
      <c r="M851" t="str">
        <f t="shared" si="41"/>
        <v>26-35</v>
      </c>
    </row>
    <row r="852" spans="1:13" x14ac:dyDescent="0.2">
      <c r="A852" t="s">
        <v>1712</v>
      </c>
      <c r="B852" t="s">
        <v>1713</v>
      </c>
      <c r="C852">
        <v>18</v>
      </c>
      <c r="D852" t="s">
        <v>16</v>
      </c>
      <c r="E852" t="s">
        <v>17</v>
      </c>
      <c r="F852" s="1">
        <v>45688</v>
      </c>
      <c r="G852" s="1">
        <v>46070</v>
      </c>
      <c r="H852">
        <v>13</v>
      </c>
      <c r="I852">
        <v>6</v>
      </c>
      <c r="J852">
        <v>0</v>
      </c>
      <c r="K852" t="str">
        <f t="shared" si="39"/>
        <v>Jan-2025</v>
      </c>
      <c r="L852" s="1">
        <f t="shared" ca="1" si="40"/>
        <v>88</v>
      </c>
      <c r="M852" t="str">
        <f t="shared" si="41"/>
        <v>18-25</v>
      </c>
    </row>
    <row r="853" spans="1:13" x14ac:dyDescent="0.2">
      <c r="A853" t="s">
        <v>1714</v>
      </c>
      <c r="B853" t="s">
        <v>1715</v>
      </c>
      <c r="C853">
        <v>22</v>
      </c>
      <c r="D853" t="s">
        <v>20</v>
      </c>
      <c r="E853" t="s">
        <v>21</v>
      </c>
      <c r="F853" s="1">
        <v>45192</v>
      </c>
      <c r="G853" s="1">
        <v>46150</v>
      </c>
      <c r="H853">
        <v>55</v>
      </c>
      <c r="I853">
        <v>1</v>
      </c>
      <c r="J853">
        <v>1</v>
      </c>
      <c r="K853" t="str">
        <f t="shared" si="39"/>
        <v>Sep-2023</v>
      </c>
      <c r="L853" s="1">
        <f t="shared" ca="1" si="40"/>
        <v>8</v>
      </c>
      <c r="M853" t="str">
        <f t="shared" si="41"/>
        <v>18-25</v>
      </c>
    </row>
    <row r="854" spans="1:13" x14ac:dyDescent="0.2">
      <c r="A854" t="s">
        <v>1716</v>
      </c>
      <c r="B854" t="s">
        <v>1717</v>
      </c>
      <c r="C854">
        <v>22</v>
      </c>
      <c r="D854" t="s">
        <v>16</v>
      </c>
      <c r="E854" t="s">
        <v>13</v>
      </c>
      <c r="F854" s="1">
        <v>45220</v>
      </c>
      <c r="G854" s="1">
        <v>46084</v>
      </c>
      <c r="H854">
        <v>53</v>
      </c>
      <c r="I854">
        <v>8</v>
      </c>
      <c r="J854">
        <v>1</v>
      </c>
      <c r="K854" t="str">
        <f t="shared" si="39"/>
        <v>Oct-2023</v>
      </c>
      <c r="L854" s="1">
        <f t="shared" ca="1" si="40"/>
        <v>74</v>
      </c>
      <c r="M854" t="str">
        <f t="shared" si="41"/>
        <v>18-25</v>
      </c>
    </row>
    <row r="855" spans="1:13" x14ac:dyDescent="0.2">
      <c r="A855" t="s">
        <v>1718</v>
      </c>
      <c r="B855" t="s">
        <v>1719</v>
      </c>
      <c r="C855">
        <v>18</v>
      </c>
      <c r="D855" t="s">
        <v>16</v>
      </c>
      <c r="E855" t="s">
        <v>13</v>
      </c>
      <c r="F855" s="1">
        <v>46004</v>
      </c>
      <c r="G855" s="1">
        <v>46069</v>
      </c>
      <c r="H855">
        <v>37</v>
      </c>
      <c r="I855">
        <v>9</v>
      </c>
      <c r="J855">
        <v>0</v>
      </c>
      <c r="K855" t="str">
        <f t="shared" si="39"/>
        <v>Dec-2025</v>
      </c>
      <c r="L855" s="1">
        <f t="shared" ca="1" si="40"/>
        <v>89</v>
      </c>
      <c r="M855" t="str">
        <f t="shared" si="41"/>
        <v>18-25</v>
      </c>
    </row>
    <row r="856" spans="1:13" x14ac:dyDescent="0.2">
      <c r="A856" t="s">
        <v>1720</v>
      </c>
      <c r="B856" t="s">
        <v>1721</v>
      </c>
      <c r="C856">
        <v>57</v>
      </c>
      <c r="D856" t="s">
        <v>16</v>
      </c>
      <c r="E856" t="s">
        <v>13</v>
      </c>
      <c r="F856" s="1">
        <v>45942</v>
      </c>
      <c r="G856" s="1">
        <v>46082</v>
      </c>
      <c r="H856">
        <v>3</v>
      </c>
      <c r="I856">
        <v>4</v>
      </c>
      <c r="J856">
        <v>1</v>
      </c>
      <c r="K856" t="str">
        <f t="shared" si="39"/>
        <v>Oct-2025</v>
      </c>
      <c r="L856" s="1">
        <f t="shared" ca="1" si="40"/>
        <v>76</v>
      </c>
      <c r="M856" t="str">
        <f t="shared" si="41"/>
        <v>46+</v>
      </c>
    </row>
    <row r="857" spans="1:13" x14ac:dyDescent="0.2">
      <c r="A857" t="s">
        <v>1722</v>
      </c>
      <c r="B857" t="s">
        <v>1723</v>
      </c>
      <c r="C857">
        <v>29</v>
      </c>
      <c r="D857" t="s">
        <v>16</v>
      </c>
      <c r="E857" t="s">
        <v>13</v>
      </c>
      <c r="F857" s="1">
        <v>45763</v>
      </c>
      <c r="G857" s="1">
        <v>46053</v>
      </c>
      <c r="H857">
        <v>14</v>
      </c>
      <c r="I857">
        <v>4</v>
      </c>
      <c r="J857">
        <v>1</v>
      </c>
      <c r="K857" t="str">
        <f t="shared" si="39"/>
        <v>Apr-2025</v>
      </c>
      <c r="L857" s="1">
        <f t="shared" ca="1" si="40"/>
        <v>105</v>
      </c>
      <c r="M857" t="str">
        <f t="shared" si="41"/>
        <v>26-35</v>
      </c>
    </row>
    <row r="858" spans="1:13" x14ac:dyDescent="0.2">
      <c r="A858" t="s">
        <v>1724</v>
      </c>
      <c r="B858" t="s">
        <v>1725</v>
      </c>
      <c r="C858">
        <v>36</v>
      </c>
      <c r="D858" t="s">
        <v>20</v>
      </c>
      <c r="E858" t="s">
        <v>21</v>
      </c>
      <c r="F858" s="1">
        <v>45804</v>
      </c>
      <c r="G858" s="1">
        <v>46063</v>
      </c>
      <c r="H858">
        <v>28</v>
      </c>
      <c r="I858">
        <v>3</v>
      </c>
      <c r="J858">
        <v>1</v>
      </c>
      <c r="K858" t="str">
        <f t="shared" si="39"/>
        <v>May-2025</v>
      </c>
      <c r="L858" s="1">
        <f t="shared" ca="1" si="40"/>
        <v>95</v>
      </c>
      <c r="M858" t="str">
        <f t="shared" si="41"/>
        <v>36-45</v>
      </c>
    </row>
    <row r="859" spans="1:13" x14ac:dyDescent="0.2">
      <c r="A859" t="s">
        <v>1726</v>
      </c>
      <c r="B859" t="s">
        <v>1727</v>
      </c>
      <c r="C859">
        <v>41</v>
      </c>
      <c r="D859" t="s">
        <v>20</v>
      </c>
      <c r="E859" t="s">
        <v>21</v>
      </c>
      <c r="F859" s="1">
        <v>45938</v>
      </c>
      <c r="G859" s="1">
        <v>46139</v>
      </c>
      <c r="H859">
        <v>35</v>
      </c>
      <c r="I859">
        <v>7</v>
      </c>
      <c r="J859">
        <v>0</v>
      </c>
      <c r="K859" t="str">
        <f t="shared" si="39"/>
        <v>Oct-2025</v>
      </c>
      <c r="L859" s="1">
        <f t="shared" ca="1" si="40"/>
        <v>19</v>
      </c>
      <c r="M859" t="str">
        <f t="shared" si="41"/>
        <v>36-45</v>
      </c>
    </row>
    <row r="860" spans="1:13" x14ac:dyDescent="0.2">
      <c r="A860" t="s">
        <v>1728</v>
      </c>
      <c r="B860" t="s">
        <v>1729</v>
      </c>
      <c r="C860">
        <v>26</v>
      </c>
      <c r="D860" t="s">
        <v>20</v>
      </c>
      <c r="E860" t="s">
        <v>21</v>
      </c>
      <c r="F860" s="1">
        <v>45899</v>
      </c>
      <c r="G860" s="1">
        <v>46083</v>
      </c>
      <c r="H860">
        <v>9</v>
      </c>
      <c r="I860">
        <v>8</v>
      </c>
      <c r="J860">
        <v>1</v>
      </c>
      <c r="K860" t="str">
        <f t="shared" si="39"/>
        <v>Aug-2025</v>
      </c>
      <c r="L860" s="1">
        <f t="shared" ca="1" si="40"/>
        <v>75</v>
      </c>
      <c r="M860" t="str">
        <f t="shared" si="41"/>
        <v>26-35</v>
      </c>
    </row>
    <row r="861" spans="1:13" x14ac:dyDescent="0.2">
      <c r="A861" t="s">
        <v>1730</v>
      </c>
      <c r="B861" t="s">
        <v>1731</v>
      </c>
      <c r="C861">
        <v>24</v>
      </c>
      <c r="D861" t="s">
        <v>20</v>
      </c>
      <c r="E861" t="s">
        <v>21</v>
      </c>
      <c r="F861" s="1">
        <v>45200</v>
      </c>
      <c r="G861" s="1">
        <v>46086</v>
      </c>
      <c r="H861">
        <v>36</v>
      </c>
      <c r="I861">
        <v>8</v>
      </c>
      <c r="J861">
        <v>1</v>
      </c>
      <c r="K861" t="str">
        <f t="shared" si="39"/>
        <v>Oct-2023</v>
      </c>
      <c r="L861" s="1">
        <f t="shared" ca="1" si="40"/>
        <v>72</v>
      </c>
      <c r="M861" t="str">
        <f t="shared" si="41"/>
        <v>18-25</v>
      </c>
    </row>
    <row r="862" spans="1:13" x14ac:dyDescent="0.2">
      <c r="A862" t="s">
        <v>1732</v>
      </c>
      <c r="B862" t="s">
        <v>1733</v>
      </c>
      <c r="C862">
        <v>24</v>
      </c>
      <c r="D862" t="s">
        <v>12</v>
      </c>
      <c r="E862" t="s">
        <v>21</v>
      </c>
      <c r="F862" s="1">
        <v>45618</v>
      </c>
      <c r="G862" s="1">
        <v>46122</v>
      </c>
      <c r="H862">
        <v>34</v>
      </c>
      <c r="I862">
        <v>10</v>
      </c>
      <c r="J862">
        <v>0</v>
      </c>
      <c r="K862" t="str">
        <f t="shared" si="39"/>
        <v>Nov-2024</v>
      </c>
      <c r="L862" s="1">
        <f t="shared" ca="1" si="40"/>
        <v>36</v>
      </c>
      <c r="M862" t="str">
        <f t="shared" si="41"/>
        <v>18-25</v>
      </c>
    </row>
    <row r="863" spans="1:13" x14ac:dyDescent="0.2">
      <c r="A863" t="s">
        <v>1734</v>
      </c>
      <c r="B863" t="s">
        <v>1735</v>
      </c>
      <c r="C863">
        <v>47</v>
      </c>
      <c r="D863" t="s">
        <v>20</v>
      </c>
      <c r="E863" t="s">
        <v>21</v>
      </c>
      <c r="F863" s="1">
        <v>45998</v>
      </c>
      <c r="G863" s="1">
        <v>46106</v>
      </c>
      <c r="H863">
        <v>21</v>
      </c>
      <c r="I863">
        <v>7</v>
      </c>
      <c r="J863">
        <v>0</v>
      </c>
      <c r="K863" t="str">
        <f t="shared" si="39"/>
        <v>Dec-2025</v>
      </c>
      <c r="L863" s="1">
        <f t="shared" ca="1" si="40"/>
        <v>52</v>
      </c>
      <c r="M863" t="str">
        <f t="shared" si="41"/>
        <v>46+</v>
      </c>
    </row>
    <row r="864" spans="1:13" x14ac:dyDescent="0.2">
      <c r="A864" t="s">
        <v>1736</v>
      </c>
      <c r="B864" t="s">
        <v>1737</v>
      </c>
      <c r="C864">
        <v>53</v>
      </c>
      <c r="D864" t="s">
        <v>16</v>
      </c>
      <c r="E864" t="s">
        <v>21</v>
      </c>
      <c r="F864" s="1">
        <v>45741</v>
      </c>
      <c r="G864" s="1">
        <v>46102</v>
      </c>
      <c r="H864">
        <v>24</v>
      </c>
      <c r="I864">
        <v>4</v>
      </c>
      <c r="J864">
        <v>0</v>
      </c>
      <c r="K864" t="str">
        <f t="shared" si="39"/>
        <v>Mar-2025</v>
      </c>
      <c r="L864" s="1">
        <f t="shared" ca="1" si="40"/>
        <v>56</v>
      </c>
      <c r="M864" t="str">
        <f t="shared" si="41"/>
        <v>46+</v>
      </c>
    </row>
    <row r="865" spans="1:13" x14ac:dyDescent="0.2">
      <c r="A865" t="s">
        <v>1738</v>
      </c>
      <c r="B865" t="s">
        <v>1739</v>
      </c>
      <c r="C865">
        <v>47</v>
      </c>
      <c r="D865" t="s">
        <v>20</v>
      </c>
      <c r="E865" t="s">
        <v>17</v>
      </c>
      <c r="F865" s="1">
        <v>45738</v>
      </c>
      <c r="G865" s="1">
        <v>46148</v>
      </c>
      <c r="H865">
        <v>7</v>
      </c>
      <c r="I865">
        <v>7</v>
      </c>
      <c r="J865">
        <v>0</v>
      </c>
      <c r="K865" t="str">
        <f t="shared" si="39"/>
        <v>Mar-2025</v>
      </c>
      <c r="L865" s="1">
        <f t="shared" ca="1" si="40"/>
        <v>10</v>
      </c>
      <c r="M865" t="str">
        <f t="shared" si="41"/>
        <v>46+</v>
      </c>
    </row>
    <row r="866" spans="1:13" x14ac:dyDescent="0.2">
      <c r="A866" t="s">
        <v>1740</v>
      </c>
      <c r="B866" t="s">
        <v>1741</v>
      </c>
      <c r="C866">
        <v>57</v>
      </c>
      <c r="D866" t="s">
        <v>12</v>
      </c>
      <c r="E866" t="s">
        <v>21</v>
      </c>
      <c r="F866" s="1">
        <v>45954</v>
      </c>
      <c r="G866" s="1">
        <v>46030</v>
      </c>
      <c r="H866">
        <v>7</v>
      </c>
      <c r="I866">
        <v>5</v>
      </c>
      <c r="J866">
        <v>0</v>
      </c>
      <c r="K866" t="str">
        <f t="shared" si="39"/>
        <v>Oct-2025</v>
      </c>
      <c r="L866" s="1">
        <f t="shared" ca="1" si="40"/>
        <v>128</v>
      </c>
      <c r="M866" t="str">
        <f t="shared" si="41"/>
        <v>46+</v>
      </c>
    </row>
    <row r="867" spans="1:13" x14ac:dyDescent="0.2">
      <c r="A867" t="s">
        <v>1742</v>
      </c>
      <c r="B867" t="s">
        <v>1743</v>
      </c>
      <c r="C867">
        <v>20</v>
      </c>
      <c r="D867" t="s">
        <v>20</v>
      </c>
      <c r="E867" t="s">
        <v>13</v>
      </c>
      <c r="F867" s="1">
        <v>45243</v>
      </c>
      <c r="G867" s="1">
        <v>46074</v>
      </c>
      <c r="H867">
        <v>79</v>
      </c>
      <c r="I867">
        <v>4</v>
      </c>
      <c r="J867">
        <v>1</v>
      </c>
      <c r="K867" t="str">
        <f t="shared" si="39"/>
        <v>Nov-2023</v>
      </c>
      <c r="L867" s="1">
        <f t="shared" ca="1" si="40"/>
        <v>84</v>
      </c>
      <c r="M867" t="str">
        <f t="shared" si="41"/>
        <v>18-25</v>
      </c>
    </row>
    <row r="868" spans="1:13" x14ac:dyDescent="0.2">
      <c r="A868" t="s">
        <v>1744</v>
      </c>
      <c r="B868" t="s">
        <v>1745</v>
      </c>
      <c r="C868">
        <v>28</v>
      </c>
      <c r="D868" t="s">
        <v>20</v>
      </c>
      <c r="E868" t="s">
        <v>21</v>
      </c>
      <c r="F868" s="1">
        <v>45585</v>
      </c>
      <c r="G868" s="1">
        <v>46082</v>
      </c>
      <c r="H868">
        <v>21</v>
      </c>
      <c r="I868">
        <v>1</v>
      </c>
      <c r="J868">
        <v>1</v>
      </c>
      <c r="K868" t="str">
        <f t="shared" si="39"/>
        <v>Oct-2024</v>
      </c>
      <c r="L868" s="1">
        <f t="shared" ca="1" si="40"/>
        <v>76</v>
      </c>
      <c r="M868" t="str">
        <f t="shared" si="41"/>
        <v>26-35</v>
      </c>
    </row>
    <row r="869" spans="1:13" x14ac:dyDescent="0.2">
      <c r="A869" t="s">
        <v>1746</v>
      </c>
      <c r="B869" t="s">
        <v>1747</v>
      </c>
      <c r="C869">
        <v>35</v>
      </c>
      <c r="D869" t="s">
        <v>12</v>
      </c>
      <c r="E869" t="s">
        <v>21</v>
      </c>
      <c r="F869" s="1">
        <v>45648</v>
      </c>
      <c r="G869" s="1">
        <v>46059</v>
      </c>
      <c r="H869">
        <v>56</v>
      </c>
      <c r="I869">
        <v>9</v>
      </c>
      <c r="J869">
        <v>1</v>
      </c>
      <c r="K869" t="str">
        <f t="shared" si="39"/>
        <v>Dec-2024</v>
      </c>
      <c r="L869" s="1">
        <f t="shared" ca="1" si="40"/>
        <v>99</v>
      </c>
      <c r="M869" t="str">
        <f t="shared" si="41"/>
        <v>26-35</v>
      </c>
    </row>
    <row r="870" spans="1:13" x14ac:dyDescent="0.2">
      <c r="A870" t="s">
        <v>1748</v>
      </c>
      <c r="B870" t="s">
        <v>1749</v>
      </c>
      <c r="C870">
        <v>22</v>
      </c>
      <c r="D870" t="s">
        <v>16</v>
      </c>
      <c r="E870" t="s">
        <v>13</v>
      </c>
      <c r="F870" s="1">
        <v>45399</v>
      </c>
      <c r="G870" s="1">
        <v>46075</v>
      </c>
      <c r="H870">
        <v>44</v>
      </c>
      <c r="I870">
        <v>8</v>
      </c>
      <c r="J870">
        <v>0</v>
      </c>
      <c r="K870" t="str">
        <f t="shared" si="39"/>
        <v>Apr-2024</v>
      </c>
      <c r="L870" s="1">
        <f t="shared" ca="1" si="40"/>
        <v>83</v>
      </c>
      <c r="M870" t="str">
        <f t="shared" si="41"/>
        <v>18-25</v>
      </c>
    </row>
    <row r="871" spans="1:13" x14ac:dyDescent="0.2">
      <c r="A871" t="s">
        <v>1750</v>
      </c>
      <c r="B871" t="s">
        <v>1751</v>
      </c>
      <c r="C871">
        <v>33</v>
      </c>
      <c r="D871" t="s">
        <v>16</v>
      </c>
      <c r="E871" t="s">
        <v>13</v>
      </c>
      <c r="F871" s="1">
        <v>45812</v>
      </c>
      <c r="G871" s="1">
        <v>46062</v>
      </c>
      <c r="H871">
        <v>77</v>
      </c>
      <c r="I871">
        <v>5</v>
      </c>
      <c r="J871">
        <v>1</v>
      </c>
      <c r="K871" t="str">
        <f t="shared" si="39"/>
        <v>Jun-2025</v>
      </c>
      <c r="L871" s="1">
        <f t="shared" ca="1" si="40"/>
        <v>96</v>
      </c>
      <c r="M871" t="str">
        <f t="shared" si="41"/>
        <v>26-35</v>
      </c>
    </row>
    <row r="872" spans="1:13" x14ac:dyDescent="0.2">
      <c r="A872" t="s">
        <v>1752</v>
      </c>
      <c r="B872" t="s">
        <v>1753</v>
      </c>
      <c r="C872">
        <v>45</v>
      </c>
      <c r="D872" t="s">
        <v>20</v>
      </c>
      <c r="E872" t="s">
        <v>17</v>
      </c>
      <c r="F872" s="1">
        <v>45928</v>
      </c>
      <c r="G872" s="1">
        <v>46099</v>
      </c>
      <c r="H872">
        <v>4</v>
      </c>
      <c r="I872">
        <v>7</v>
      </c>
      <c r="J872">
        <v>0</v>
      </c>
      <c r="K872" t="str">
        <f t="shared" si="39"/>
        <v>Sep-2025</v>
      </c>
      <c r="L872" s="1">
        <f t="shared" ca="1" si="40"/>
        <v>59</v>
      </c>
      <c r="M872" t="str">
        <f t="shared" si="41"/>
        <v>36-45</v>
      </c>
    </row>
    <row r="873" spans="1:13" x14ac:dyDescent="0.2">
      <c r="A873" t="s">
        <v>1754</v>
      </c>
      <c r="B873" t="s">
        <v>1755</v>
      </c>
      <c r="C873">
        <v>47</v>
      </c>
      <c r="D873" t="s">
        <v>16</v>
      </c>
      <c r="E873" t="s">
        <v>17</v>
      </c>
      <c r="F873" s="1">
        <v>45172</v>
      </c>
      <c r="G873" s="1">
        <v>46050</v>
      </c>
      <c r="H873">
        <v>49</v>
      </c>
      <c r="I873">
        <v>10</v>
      </c>
      <c r="J873">
        <v>0</v>
      </c>
      <c r="K873" t="str">
        <f t="shared" si="39"/>
        <v>Sep-2023</v>
      </c>
      <c r="L873" s="1">
        <f t="shared" ca="1" si="40"/>
        <v>108</v>
      </c>
      <c r="M873" t="str">
        <f t="shared" si="41"/>
        <v>46+</v>
      </c>
    </row>
    <row r="874" spans="1:13" x14ac:dyDescent="0.2">
      <c r="A874" t="s">
        <v>1756</v>
      </c>
      <c r="B874" t="s">
        <v>1757</v>
      </c>
      <c r="C874">
        <v>55</v>
      </c>
      <c r="D874" t="s">
        <v>20</v>
      </c>
      <c r="E874" t="s">
        <v>21</v>
      </c>
      <c r="F874" s="1">
        <v>45283</v>
      </c>
      <c r="G874" s="1">
        <v>46087</v>
      </c>
      <c r="H874">
        <v>17</v>
      </c>
      <c r="I874">
        <v>2</v>
      </c>
      <c r="J874">
        <v>1</v>
      </c>
      <c r="K874" t="str">
        <f t="shared" si="39"/>
        <v>Dec-2023</v>
      </c>
      <c r="L874" s="1">
        <f t="shared" ca="1" si="40"/>
        <v>71</v>
      </c>
      <c r="M874" t="str">
        <f t="shared" si="41"/>
        <v>46+</v>
      </c>
    </row>
    <row r="875" spans="1:13" x14ac:dyDescent="0.2">
      <c r="A875" t="s">
        <v>1758</v>
      </c>
      <c r="B875" t="s">
        <v>1759</v>
      </c>
      <c r="C875">
        <v>29</v>
      </c>
      <c r="D875" t="s">
        <v>12</v>
      </c>
      <c r="E875" t="s">
        <v>13</v>
      </c>
      <c r="F875" s="1">
        <v>45513</v>
      </c>
      <c r="G875" s="1">
        <v>46124</v>
      </c>
      <c r="H875">
        <v>43</v>
      </c>
      <c r="I875">
        <v>9</v>
      </c>
      <c r="J875">
        <v>0</v>
      </c>
      <c r="K875" t="str">
        <f t="shared" si="39"/>
        <v>Aug-2024</v>
      </c>
      <c r="L875" s="1">
        <f t="shared" ca="1" si="40"/>
        <v>34</v>
      </c>
      <c r="M875" t="str">
        <f t="shared" si="41"/>
        <v>26-35</v>
      </c>
    </row>
    <row r="876" spans="1:13" x14ac:dyDescent="0.2">
      <c r="A876" t="s">
        <v>1760</v>
      </c>
      <c r="B876" t="s">
        <v>1761</v>
      </c>
      <c r="C876">
        <v>23</v>
      </c>
      <c r="D876" t="s">
        <v>12</v>
      </c>
      <c r="E876" t="s">
        <v>13</v>
      </c>
      <c r="F876" s="1">
        <v>45262</v>
      </c>
      <c r="G876" s="1">
        <v>46135</v>
      </c>
      <c r="H876">
        <v>72</v>
      </c>
      <c r="I876">
        <v>7</v>
      </c>
      <c r="J876">
        <v>1</v>
      </c>
      <c r="K876" t="str">
        <f t="shared" si="39"/>
        <v>Dec-2023</v>
      </c>
      <c r="L876" s="1">
        <f t="shared" ca="1" si="40"/>
        <v>23</v>
      </c>
      <c r="M876" t="str">
        <f t="shared" si="41"/>
        <v>18-25</v>
      </c>
    </row>
    <row r="877" spans="1:13" x14ac:dyDescent="0.2">
      <c r="A877" t="s">
        <v>1762</v>
      </c>
      <c r="B877" t="s">
        <v>1763</v>
      </c>
      <c r="C877">
        <v>41</v>
      </c>
      <c r="D877" t="s">
        <v>20</v>
      </c>
      <c r="E877" t="s">
        <v>21</v>
      </c>
      <c r="F877" s="1">
        <v>45778</v>
      </c>
      <c r="G877" s="1">
        <v>46039</v>
      </c>
      <c r="H877">
        <v>14</v>
      </c>
      <c r="I877">
        <v>1</v>
      </c>
      <c r="J877">
        <v>0</v>
      </c>
      <c r="K877" t="str">
        <f t="shared" si="39"/>
        <v>May-2025</v>
      </c>
      <c r="L877" s="1">
        <f t="shared" ca="1" si="40"/>
        <v>119</v>
      </c>
      <c r="M877" t="str">
        <f t="shared" si="41"/>
        <v>36-45</v>
      </c>
    </row>
    <row r="878" spans="1:13" x14ac:dyDescent="0.2">
      <c r="A878" t="s">
        <v>1764</v>
      </c>
      <c r="B878" t="s">
        <v>1765</v>
      </c>
      <c r="C878">
        <v>42</v>
      </c>
      <c r="D878" t="s">
        <v>20</v>
      </c>
      <c r="E878" t="s">
        <v>17</v>
      </c>
      <c r="F878" s="1">
        <v>45602</v>
      </c>
      <c r="G878" s="1">
        <v>46072</v>
      </c>
      <c r="H878">
        <v>77</v>
      </c>
      <c r="I878">
        <v>10</v>
      </c>
      <c r="J878">
        <v>1</v>
      </c>
      <c r="K878" t="str">
        <f t="shared" si="39"/>
        <v>Nov-2024</v>
      </c>
      <c r="L878" s="1">
        <f t="shared" ca="1" si="40"/>
        <v>86</v>
      </c>
      <c r="M878" t="str">
        <f t="shared" si="41"/>
        <v>36-45</v>
      </c>
    </row>
    <row r="879" spans="1:13" x14ac:dyDescent="0.2">
      <c r="A879" t="s">
        <v>1766</v>
      </c>
      <c r="B879" t="s">
        <v>1767</v>
      </c>
      <c r="C879">
        <v>57</v>
      </c>
      <c r="D879" t="s">
        <v>12</v>
      </c>
      <c r="E879" t="s">
        <v>21</v>
      </c>
      <c r="F879" s="1">
        <v>45824</v>
      </c>
      <c r="G879" s="1">
        <v>46062</v>
      </c>
      <c r="H879">
        <v>31</v>
      </c>
      <c r="I879">
        <v>4</v>
      </c>
      <c r="J879">
        <v>1</v>
      </c>
      <c r="K879" t="str">
        <f t="shared" si="39"/>
        <v>Jun-2025</v>
      </c>
      <c r="L879" s="1">
        <f t="shared" ca="1" si="40"/>
        <v>96</v>
      </c>
      <c r="M879" t="str">
        <f t="shared" si="41"/>
        <v>46+</v>
      </c>
    </row>
    <row r="880" spans="1:13" x14ac:dyDescent="0.2">
      <c r="A880" t="s">
        <v>1768</v>
      </c>
      <c r="B880" t="s">
        <v>1769</v>
      </c>
      <c r="C880">
        <v>39</v>
      </c>
      <c r="D880" t="s">
        <v>20</v>
      </c>
      <c r="E880" t="s">
        <v>13</v>
      </c>
      <c r="F880" s="1">
        <v>45648</v>
      </c>
      <c r="G880" s="1">
        <v>46049</v>
      </c>
      <c r="H880">
        <v>51</v>
      </c>
      <c r="I880">
        <v>7</v>
      </c>
      <c r="J880">
        <v>0</v>
      </c>
      <c r="K880" t="str">
        <f t="shared" si="39"/>
        <v>Dec-2024</v>
      </c>
      <c r="L880" s="1">
        <f t="shared" ca="1" si="40"/>
        <v>109</v>
      </c>
      <c r="M880" t="str">
        <f t="shared" si="41"/>
        <v>36-45</v>
      </c>
    </row>
    <row r="881" spans="1:13" x14ac:dyDescent="0.2">
      <c r="A881" t="s">
        <v>1770</v>
      </c>
      <c r="B881" t="s">
        <v>1771</v>
      </c>
      <c r="C881">
        <v>58</v>
      </c>
      <c r="D881" t="s">
        <v>16</v>
      </c>
      <c r="E881" t="s">
        <v>21</v>
      </c>
      <c r="F881" s="1">
        <v>45968</v>
      </c>
      <c r="G881" s="1">
        <v>46034</v>
      </c>
      <c r="H881">
        <v>9</v>
      </c>
      <c r="I881">
        <v>7</v>
      </c>
      <c r="J881">
        <v>1</v>
      </c>
      <c r="K881" t="str">
        <f t="shared" si="39"/>
        <v>Nov-2025</v>
      </c>
      <c r="L881" s="1">
        <f t="shared" ca="1" si="40"/>
        <v>124</v>
      </c>
      <c r="M881" t="str">
        <f t="shared" si="41"/>
        <v>46+</v>
      </c>
    </row>
    <row r="882" spans="1:13" x14ac:dyDescent="0.2">
      <c r="A882" t="s">
        <v>1772</v>
      </c>
      <c r="B882" t="s">
        <v>1773</v>
      </c>
      <c r="C882">
        <v>25</v>
      </c>
      <c r="D882" t="s">
        <v>16</v>
      </c>
      <c r="E882" t="s">
        <v>21</v>
      </c>
      <c r="F882" s="1">
        <v>45908</v>
      </c>
      <c r="G882" s="1">
        <v>46065</v>
      </c>
      <c r="H882">
        <v>70</v>
      </c>
      <c r="I882">
        <v>9</v>
      </c>
      <c r="J882">
        <v>1</v>
      </c>
      <c r="K882" t="str">
        <f t="shared" si="39"/>
        <v>Sep-2025</v>
      </c>
      <c r="L882" s="1">
        <f t="shared" ca="1" si="40"/>
        <v>93</v>
      </c>
      <c r="M882" t="str">
        <f t="shared" si="41"/>
        <v>18-25</v>
      </c>
    </row>
    <row r="883" spans="1:13" x14ac:dyDescent="0.2">
      <c r="A883" t="s">
        <v>1774</v>
      </c>
      <c r="B883" t="s">
        <v>1775</v>
      </c>
      <c r="C883">
        <v>45</v>
      </c>
      <c r="D883" t="s">
        <v>20</v>
      </c>
      <c r="E883" t="s">
        <v>13</v>
      </c>
      <c r="F883" s="1">
        <v>46092</v>
      </c>
      <c r="G883" s="1">
        <v>46058</v>
      </c>
      <c r="H883">
        <v>36</v>
      </c>
      <c r="I883">
        <v>10</v>
      </c>
      <c r="J883">
        <v>0</v>
      </c>
      <c r="K883" t="str">
        <f t="shared" si="39"/>
        <v>Mar-2026</v>
      </c>
      <c r="L883" s="1">
        <f t="shared" ca="1" si="40"/>
        <v>100</v>
      </c>
      <c r="M883" t="str">
        <f t="shared" si="41"/>
        <v>36-45</v>
      </c>
    </row>
    <row r="884" spans="1:13" x14ac:dyDescent="0.2">
      <c r="A884" t="s">
        <v>1776</v>
      </c>
      <c r="B884" t="s">
        <v>1777</v>
      </c>
      <c r="C884">
        <v>42</v>
      </c>
      <c r="D884" t="s">
        <v>16</v>
      </c>
      <c r="E884" t="s">
        <v>17</v>
      </c>
      <c r="F884" s="1">
        <v>46110</v>
      </c>
      <c r="G884" s="1">
        <v>46032</v>
      </c>
      <c r="H884">
        <v>61</v>
      </c>
      <c r="I884">
        <v>8</v>
      </c>
      <c r="J884">
        <v>0</v>
      </c>
      <c r="K884" t="str">
        <f t="shared" si="39"/>
        <v>Mar-2026</v>
      </c>
      <c r="L884" s="1">
        <f t="shared" ca="1" si="40"/>
        <v>126</v>
      </c>
      <c r="M884" t="str">
        <f t="shared" si="41"/>
        <v>36-45</v>
      </c>
    </row>
    <row r="885" spans="1:13" x14ac:dyDescent="0.2">
      <c r="A885" t="s">
        <v>1778</v>
      </c>
      <c r="B885" t="s">
        <v>1779</v>
      </c>
      <c r="C885">
        <v>35</v>
      </c>
      <c r="D885" t="s">
        <v>12</v>
      </c>
      <c r="E885" t="s">
        <v>17</v>
      </c>
      <c r="F885" s="1">
        <v>45323</v>
      </c>
      <c r="G885" s="1">
        <v>46064</v>
      </c>
      <c r="H885">
        <v>1</v>
      </c>
      <c r="I885">
        <v>4</v>
      </c>
      <c r="J885">
        <v>1</v>
      </c>
      <c r="K885" t="str">
        <f t="shared" si="39"/>
        <v>Feb-2024</v>
      </c>
      <c r="L885" s="1">
        <f t="shared" ca="1" si="40"/>
        <v>94</v>
      </c>
      <c r="M885" t="str">
        <f t="shared" si="41"/>
        <v>26-35</v>
      </c>
    </row>
    <row r="886" spans="1:13" x14ac:dyDescent="0.2">
      <c r="A886" t="s">
        <v>1780</v>
      </c>
      <c r="B886" t="s">
        <v>1781</v>
      </c>
      <c r="C886">
        <v>37</v>
      </c>
      <c r="D886" t="s">
        <v>16</v>
      </c>
      <c r="E886" t="s">
        <v>21</v>
      </c>
      <c r="F886" s="1">
        <v>45696</v>
      </c>
      <c r="G886" s="1">
        <v>46125</v>
      </c>
      <c r="H886">
        <v>35</v>
      </c>
      <c r="I886">
        <v>2</v>
      </c>
      <c r="J886">
        <v>0</v>
      </c>
      <c r="K886" t="str">
        <f t="shared" si="39"/>
        <v>Feb-2025</v>
      </c>
      <c r="L886" s="1">
        <f t="shared" ca="1" si="40"/>
        <v>33</v>
      </c>
      <c r="M886" t="str">
        <f t="shared" si="41"/>
        <v>36-45</v>
      </c>
    </row>
    <row r="887" spans="1:13" x14ac:dyDescent="0.2">
      <c r="A887" t="s">
        <v>1782</v>
      </c>
      <c r="B887" t="s">
        <v>1783</v>
      </c>
      <c r="C887">
        <v>36</v>
      </c>
      <c r="D887" t="s">
        <v>16</v>
      </c>
      <c r="E887" t="s">
        <v>21</v>
      </c>
      <c r="F887" s="1">
        <v>45543</v>
      </c>
      <c r="G887" s="1">
        <v>46041</v>
      </c>
      <c r="H887">
        <v>31</v>
      </c>
      <c r="I887">
        <v>10</v>
      </c>
      <c r="J887">
        <v>1</v>
      </c>
      <c r="K887" t="str">
        <f t="shared" si="39"/>
        <v>Sep-2024</v>
      </c>
      <c r="L887" s="1">
        <f t="shared" ca="1" si="40"/>
        <v>117</v>
      </c>
      <c r="M887" t="str">
        <f t="shared" si="41"/>
        <v>36-45</v>
      </c>
    </row>
    <row r="888" spans="1:13" x14ac:dyDescent="0.2">
      <c r="A888" t="s">
        <v>1784</v>
      </c>
      <c r="B888" t="s">
        <v>1785</v>
      </c>
      <c r="C888">
        <v>55</v>
      </c>
      <c r="D888" t="s">
        <v>12</v>
      </c>
      <c r="E888" t="s">
        <v>21</v>
      </c>
      <c r="F888" s="1">
        <v>46114</v>
      </c>
      <c r="G888" s="1">
        <v>46150</v>
      </c>
      <c r="H888">
        <v>37</v>
      </c>
      <c r="I888">
        <v>5</v>
      </c>
      <c r="J888">
        <v>0</v>
      </c>
      <c r="K888" t="str">
        <f t="shared" si="39"/>
        <v>Apr-2026</v>
      </c>
      <c r="L888" s="1">
        <f t="shared" ca="1" si="40"/>
        <v>8</v>
      </c>
      <c r="M888" t="str">
        <f t="shared" si="41"/>
        <v>46+</v>
      </c>
    </row>
    <row r="889" spans="1:13" x14ac:dyDescent="0.2">
      <c r="A889" t="s">
        <v>1786</v>
      </c>
      <c r="B889" t="s">
        <v>1787</v>
      </c>
      <c r="C889">
        <v>48</v>
      </c>
      <c r="D889" t="s">
        <v>16</v>
      </c>
      <c r="E889" t="s">
        <v>21</v>
      </c>
      <c r="F889" s="1">
        <v>46082</v>
      </c>
      <c r="G889" s="1">
        <v>46053</v>
      </c>
      <c r="H889">
        <v>52</v>
      </c>
      <c r="I889">
        <v>7</v>
      </c>
      <c r="J889">
        <v>1</v>
      </c>
      <c r="K889" t="str">
        <f t="shared" si="39"/>
        <v>Mar-2026</v>
      </c>
      <c r="L889" s="1">
        <f t="shared" ca="1" si="40"/>
        <v>105</v>
      </c>
      <c r="M889" t="str">
        <f t="shared" si="41"/>
        <v>46+</v>
      </c>
    </row>
    <row r="890" spans="1:13" x14ac:dyDescent="0.2">
      <c r="A890" t="s">
        <v>1788</v>
      </c>
      <c r="B890" t="s">
        <v>1789</v>
      </c>
      <c r="C890">
        <v>38</v>
      </c>
      <c r="D890" t="s">
        <v>20</v>
      </c>
      <c r="E890" t="s">
        <v>21</v>
      </c>
      <c r="F890" s="1">
        <v>45905</v>
      </c>
      <c r="G890" s="1">
        <v>46075</v>
      </c>
      <c r="H890">
        <v>17</v>
      </c>
      <c r="I890">
        <v>8</v>
      </c>
      <c r="J890">
        <v>1</v>
      </c>
      <c r="K890" t="str">
        <f t="shared" si="39"/>
        <v>Sep-2025</v>
      </c>
      <c r="L890" s="1">
        <f t="shared" ca="1" si="40"/>
        <v>83</v>
      </c>
      <c r="M890" t="str">
        <f t="shared" si="41"/>
        <v>36-45</v>
      </c>
    </row>
    <row r="891" spans="1:13" x14ac:dyDescent="0.2">
      <c r="A891" t="s">
        <v>1790</v>
      </c>
      <c r="B891" t="s">
        <v>1791</v>
      </c>
      <c r="C891">
        <v>31</v>
      </c>
      <c r="D891" t="s">
        <v>16</v>
      </c>
      <c r="E891" t="s">
        <v>21</v>
      </c>
      <c r="F891" s="1">
        <v>45545</v>
      </c>
      <c r="G891" s="1">
        <v>46095</v>
      </c>
      <c r="H891">
        <v>18</v>
      </c>
      <c r="I891">
        <v>8</v>
      </c>
      <c r="J891">
        <v>0</v>
      </c>
      <c r="K891" t="str">
        <f t="shared" si="39"/>
        <v>Sep-2024</v>
      </c>
      <c r="L891" s="1">
        <f t="shared" ca="1" si="40"/>
        <v>63</v>
      </c>
      <c r="M891" t="str">
        <f t="shared" si="41"/>
        <v>26-35</v>
      </c>
    </row>
    <row r="892" spans="1:13" x14ac:dyDescent="0.2">
      <c r="A892" t="s">
        <v>1792</v>
      </c>
      <c r="B892" t="s">
        <v>1793</v>
      </c>
      <c r="C892">
        <v>44</v>
      </c>
      <c r="D892" t="s">
        <v>16</v>
      </c>
      <c r="E892" t="s">
        <v>21</v>
      </c>
      <c r="F892" s="1">
        <v>45784</v>
      </c>
      <c r="G892" s="1">
        <v>46037</v>
      </c>
      <c r="H892">
        <v>39</v>
      </c>
      <c r="I892">
        <v>4</v>
      </c>
      <c r="J892">
        <v>1</v>
      </c>
      <c r="K892" t="str">
        <f t="shared" si="39"/>
        <v>May-2025</v>
      </c>
      <c r="L892" s="1">
        <f t="shared" ca="1" si="40"/>
        <v>121</v>
      </c>
      <c r="M892" t="str">
        <f t="shared" si="41"/>
        <v>36-45</v>
      </c>
    </row>
    <row r="893" spans="1:13" x14ac:dyDescent="0.2">
      <c r="A893" t="s">
        <v>1794</v>
      </c>
      <c r="B893" t="s">
        <v>1795</v>
      </c>
      <c r="C893">
        <v>41</v>
      </c>
      <c r="D893" t="s">
        <v>16</v>
      </c>
      <c r="E893" t="s">
        <v>21</v>
      </c>
      <c r="F893" s="1">
        <v>45895</v>
      </c>
      <c r="G893" s="1">
        <v>46101</v>
      </c>
      <c r="H893">
        <v>19</v>
      </c>
      <c r="I893">
        <v>4</v>
      </c>
      <c r="J893">
        <v>0</v>
      </c>
      <c r="K893" t="str">
        <f t="shared" si="39"/>
        <v>Aug-2025</v>
      </c>
      <c r="L893" s="1">
        <f t="shared" ca="1" si="40"/>
        <v>57</v>
      </c>
      <c r="M893" t="str">
        <f t="shared" si="41"/>
        <v>36-45</v>
      </c>
    </row>
    <row r="894" spans="1:13" x14ac:dyDescent="0.2">
      <c r="A894" t="s">
        <v>1796</v>
      </c>
      <c r="B894" t="s">
        <v>1797</v>
      </c>
      <c r="C894">
        <v>59</v>
      </c>
      <c r="D894" t="s">
        <v>20</v>
      </c>
      <c r="E894" t="s">
        <v>21</v>
      </c>
      <c r="F894" s="1">
        <v>45221</v>
      </c>
      <c r="G894" s="1">
        <v>46054</v>
      </c>
      <c r="H894">
        <v>13</v>
      </c>
      <c r="I894">
        <v>7</v>
      </c>
      <c r="J894">
        <v>1</v>
      </c>
      <c r="K894" t="str">
        <f t="shared" si="39"/>
        <v>Oct-2023</v>
      </c>
      <c r="L894" s="1">
        <f t="shared" ca="1" si="40"/>
        <v>104</v>
      </c>
      <c r="M894" t="str">
        <f t="shared" si="41"/>
        <v>46+</v>
      </c>
    </row>
    <row r="895" spans="1:13" x14ac:dyDescent="0.2">
      <c r="A895" t="s">
        <v>1798</v>
      </c>
      <c r="B895" t="s">
        <v>1799</v>
      </c>
      <c r="C895">
        <v>58</v>
      </c>
      <c r="D895" t="s">
        <v>16</v>
      </c>
      <c r="E895" t="s">
        <v>17</v>
      </c>
      <c r="F895" s="1">
        <v>45224</v>
      </c>
      <c r="G895" s="1">
        <v>46097</v>
      </c>
      <c r="H895">
        <v>62</v>
      </c>
      <c r="I895">
        <v>7</v>
      </c>
      <c r="J895">
        <v>0</v>
      </c>
      <c r="K895" t="str">
        <f t="shared" si="39"/>
        <v>Oct-2023</v>
      </c>
      <c r="L895" s="1">
        <f t="shared" ca="1" si="40"/>
        <v>61</v>
      </c>
      <c r="M895" t="str">
        <f t="shared" si="41"/>
        <v>46+</v>
      </c>
    </row>
    <row r="896" spans="1:13" x14ac:dyDescent="0.2">
      <c r="A896" t="s">
        <v>1800</v>
      </c>
      <c r="B896" t="s">
        <v>1801</v>
      </c>
      <c r="C896">
        <v>28</v>
      </c>
      <c r="D896" t="s">
        <v>12</v>
      </c>
      <c r="E896" t="s">
        <v>21</v>
      </c>
      <c r="F896" s="1">
        <v>45244</v>
      </c>
      <c r="G896" s="1">
        <v>46034</v>
      </c>
      <c r="H896">
        <v>45</v>
      </c>
      <c r="I896">
        <v>9</v>
      </c>
      <c r="J896">
        <v>0</v>
      </c>
      <c r="K896" t="str">
        <f t="shared" si="39"/>
        <v>Nov-2023</v>
      </c>
      <c r="L896" s="1">
        <f t="shared" ca="1" si="40"/>
        <v>124</v>
      </c>
      <c r="M896" t="str">
        <f t="shared" si="41"/>
        <v>26-35</v>
      </c>
    </row>
    <row r="897" spans="1:13" x14ac:dyDescent="0.2">
      <c r="A897" t="s">
        <v>1802</v>
      </c>
      <c r="B897" t="s">
        <v>1803</v>
      </c>
      <c r="C897">
        <v>49</v>
      </c>
      <c r="D897" t="s">
        <v>16</v>
      </c>
      <c r="E897" t="s">
        <v>21</v>
      </c>
      <c r="F897" s="1">
        <v>45658</v>
      </c>
      <c r="G897" s="1">
        <v>46148</v>
      </c>
      <c r="H897">
        <v>25</v>
      </c>
      <c r="I897">
        <v>9</v>
      </c>
      <c r="J897">
        <v>1</v>
      </c>
      <c r="K897" t="str">
        <f t="shared" si="39"/>
        <v>Jan-2025</v>
      </c>
      <c r="L897" s="1">
        <f t="shared" ca="1" si="40"/>
        <v>10</v>
      </c>
      <c r="M897" t="str">
        <f t="shared" si="41"/>
        <v>46+</v>
      </c>
    </row>
    <row r="898" spans="1:13" x14ac:dyDescent="0.2">
      <c r="A898" t="s">
        <v>1804</v>
      </c>
      <c r="B898" t="s">
        <v>1805</v>
      </c>
      <c r="C898">
        <v>52</v>
      </c>
      <c r="D898" t="s">
        <v>20</v>
      </c>
      <c r="E898" t="s">
        <v>21</v>
      </c>
      <c r="F898" s="1">
        <v>45568</v>
      </c>
      <c r="G898" s="1">
        <v>46149</v>
      </c>
      <c r="H898">
        <v>30</v>
      </c>
      <c r="I898">
        <v>4</v>
      </c>
      <c r="J898">
        <v>0</v>
      </c>
      <c r="K898" t="str">
        <f t="shared" si="39"/>
        <v>Oct-2024</v>
      </c>
      <c r="L898" s="1">
        <f t="shared" ca="1" si="40"/>
        <v>9</v>
      </c>
      <c r="M898" t="str">
        <f t="shared" si="41"/>
        <v>46+</v>
      </c>
    </row>
    <row r="899" spans="1:13" x14ac:dyDescent="0.2">
      <c r="A899" t="s">
        <v>1806</v>
      </c>
      <c r="B899" t="s">
        <v>1807</v>
      </c>
      <c r="C899">
        <v>56</v>
      </c>
      <c r="D899" t="s">
        <v>20</v>
      </c>
      <c r="E899" t="s">
        <v>21</v>
      </c>
      <c r="F899" s="1">
        <v>45370</v>
      </c>
      <c r="G899" s="1">
        <v>46090</v>
      </c>
      <c r="H899">
        <v>28</v>
      </c>
      <c r="I899">
        <v>7</v>
      </c>
      <c r="J899">
        <v>0</v>
      </c>
      <c r="K899" t="str">
        <f t="shared" ref="K899:K962" si="42">TEXT(F899,"MMM-YYYY")</f>
        <v>Mar-2024</v>
      </c>
      <c r="L899" s="1">
        <f t="shared" ref="L899:L962" ca="1" si="43">TODAY()-G899</f>
        <v>68</v>
      </c>
      <c r="M899" t="str">
        <f t="shared" ref="M899:M962" si="44">IF(C899&lt;=25,"18-25",IF(C899&lt;=35,"26-35",IF(C899&lt;=45,"36-45","46+")))</f>
        <v>46+</v>
      </c>
    </row>
    <row r="900" spans="1:13" x14ac:dyDescent="0.2">
      <c r="A900" t="s">
        <v>1808</v>
      </c>
      <c r="B900" t="s">
        <v>1809</v>
      </c>
      <c r="C900">
        <v>33</v>
      </c>
      <c r="D900" t="s">
        <v>20</v>
      </c>
      <c r="E900" t="s">
        <v>13</v>
      </c>
      <c r="F900" s="1">
        <v>45166</v>
      </c>
      <c r="G900" s="1">
        <v>46075</v>
      </c>
      <c r="H900">
        <v>39</v>
      </c>
      <c r="I900">
        <v>5</v>
      </c>
      <c r="J900">
        <v>0</v>
      </c>
      <c r="K900" t="str">
        <f t="shared" si="42"/>
        <v>Aug-2023</v>
      </c>
      <c r="L900" s="1">
        <f t="shared" ca="1" si="43"/>
        <v>83</v>
      </c>
      <c r="M900" t="str">
        <f t="shared" si="44"/>
        <v>26-35</v>
      </c>
    </row>
    <row r="901" spans="1:13" x14ac:dyDescent="0.2">
      <c r="A901" t="s">
        <v>1810</v>
      </c>
      <c r="B901" t="s">
        <v>1811</v>
      </c>
      <c r="C901">
        <v>56</v>
      </c>
      <c r="D901" t="s">
        <v>20</v>
      </c>
      <c r="E901" t="s">
        <v>21</v>
      </c>
      <c r="F901" s="1">
        <v>45632</v>
      </c>
      <c r="G901" s="1">
        <v>46134</v>
      </c>
      <c r="H901">
        <v>0</v>
      </c>
      <c r="I901">
        <v>3</v>
      </c>
      <c r="J901">
        <v>1</v>
      </c>
      <c r="K901" t="str">
        <f t="shared" si="42"/>
        <v>Dec-2024</v>
      </c>
      <c r="L901" s="1">
        <f t="shared" ca="1" si="43"/>
        <v>24</v>
      </c>
      <c r="M901" t="str">
        <f t="shared" si="44"/>
        <v>46+</v>
      </c>
    </row>
    <row r="902" spans="1:13" x14ac:dyDescent="0.2">
      <c r="A902" t="s">
        <v>1812</v>
      </c>
      <c r="B902" t="s">
        <v>1813</v>
      </c>
      <c r="C902">
        <v>51</v>
      </c>
      <c r="D902" t="s">
        <v>16</v>
      </c>
      <c r="E902" t="s">
        <v>21</v>
      </c>
      <c r="F902" s="1">
        <v>45399</v>
      </c>
      <c r="G902" s="1">
        <v>46091</v>
      </c>
      <c r="H902">
        <v>61</v>
      </c>
      <c r="I902">
        <v>6</v>
      </c>
      <c r="J902">
        <v>1</v>
      </c>
      <c r="K902" t="str">
        <f t="shared" si="42"/>
        <v>Apr-2024</v>
      </c>
      <c r="L902" s="1">
        <f t="shared" ca="1" si="43"/>
        <v>67</v>
      </c>
      <c r="M902" t="str">
        <f t="shared" si="44"/>
        <v>46+</v>
      </c>
    </row>
    <row r="903" spans="1:13" x14ac:dyDescent="0.2">
      <c r="A903" t="s">
        <v>1814</v>
      </c>
      <c r="B903" t="s">
        <v>1815</v>
      </c>
      <c r="C903">
        <v>56</v>
      </c>
      <c r="D903" t="s">
        <v>20</v>
      </c>
      <c r="E903" t="s">
        <v>17</v>
      </c>
      <c r="F903" s="1">
        <v>45659</v>
      </c>
      <c r="G903" s="1">
        <v>46096</v>
      </c>
      <c r="H903">
        <v>74</v>
      </c>
      <c r="I903">
        <v>7</v>
      </c>
      <c r="J903">
        <v>0</v>
      </c>
      <c r="K903" t="str">
        <f t="shared" si="42"/>
        <v>Jan-2025</v>
      </c>
      <c r="L903" s="1">
        <f t="shared" ca="1" si="43"/>
        <v>62</v>
      </c>
      <c r="M903" t="str">
        <f t="shared" si="44"/>
        <v>46+</v>
      </c>
    </row>
    <row r="904" spans="1:13" x14ac:dyDescent="0.2">
      <c r="A904" t="s">
        <v>1816</v>
      </c>
      <c r="B904" t="s">
        <v>1817</v>
      </c>
      <c r="C904">
        <v>44</v>
      </c>
      <c r="D904" t="s">
        <v>12</v>
      </c>
      <c r="E904" t="s">
        <v>21</v>
      </c>
      <c r="F904" s="1">
        <v>45856</v>
      </c>
      <c r="G904" s="1">
        <v>46038</v>
      </c>
      <c r="H904">
        <v>57</v>
      </c>
      <c r="I904">
        <v>8</v>
      </c>
      <c r="J904">
        <v>1</v>
      </c>
      <c r="K904" t="str">
        <f t="shared" si="42"/>
        <v>Jul-2025</v>
      </c>
      <c r="L904" s="1">
        <f t="shared" ca="1" si="43"/>
        <v>120</v>
      </c>
      <c r="M904" t="str">
        <f t="shared" si="44"/>
        <v>36-45</v>
      </c>
    </row>
    <row r="905" spans="1:13" x14ac:dyDescent="0.2">
      <c r="A905" t="s">
        <v>1818</v>
      </c>
      <c r="B905" t="s">
        <v>1819</v>
      </c>
      <c r="C905">
        <v>53</v>
      </c>
      <c r="D905" t="s">
        <v>12</v>
      </c>
      <c r="E905" t="s">
        <v>21</v>
      </c>
      <c r="F905" s="1">
        <v>45988</v>
      </c>
      <c r="G905" s="1">
        <v>46079</v>
      </c>
      <c r="H905">
        <v>37</v>
      </c>
      <c r="I905">
        <v>4</v>
      </c>
      <c r="J905">
        <v>1</v>
      </c>
      <c r="K905" t="str">
        <f t="shared" si="42"/>
        <v>Nov-2025</v>
      </c>
      <c r="L905" s="1">
        <f t="shared" ca="1" si="43"/>
        <v>79</v>
      </c>
      <c r="M905" t="str">
        <f t="shared" si="44"/>
        <v>46+</v>
      </c>
    </row>
    <row r="906" spans="1:13" x14ac:dyDescent="0.2">
      <c r="A906" t="s">
        <v>1820</v>
      </c>
      <c r="B906" t="s">
        <v>1821</v>
      </c>
      <c r="C906">
        <v>43</v>
      </c>
      <c r="D906" t="s">
        <v>16</v>
      </c>
      <c r="E906" t="s">
        <v>21</v>
      </c>
      <c r="F906" s="1">
        <v>45196</v>
      </c>
      <c r="G906" s="1">
        <v>46058</v>
      </c>
      <c r="H906">
        <v>18</v>
      </c>
      <c r="I906">
        <v>3</v>
      </c>
      <c r="J906">
        <v>1</v>
      </c>
      <c r="K906" t="str">
        <f t="shared" si="42"/>
        <v>Sep-2023</v>
      </c>
      <c r="L906" s="1">
        <f t="shared" ca="1" si="43"/>
        <v>100</v>
      </c>
      <c r="M906" t="str">
        <f t="shared" si="44"/>
        <v>36-45</v>
      </c>
    </row>
    <row r="907" spans="1:13" x14ac:dyDescent="0.2">
      <c r="A907" t="s">
        <v>1822</v>
      </c>
      <c r="B907" t="s">
        <v>1823</v>
      </c>
      <c r="C907">
        <v>43</v>
      </c>
      <c r="D907" t="s">
        <v>12</v>
      </c>
      <c r="E907" t="s">
        <v>17</v>
      </c>
      <c r="F907" s="1">
        <v>45774</v>
      </c>
      <c r="G907" s="1">
        <v>46076</v>
      </c>
      <c r="H907">
        <v>23</v>
      </c>
      <c r="I907">
        <v>7</v>
      </c>
      <c r="J907">
        <v>1</v>
      </c>
      <c r="K907" t="str">
        <f t="shared" si="42"/>
        <v>Apr-2025</v>
      </c>
      <c r="L907" s="1">
        <f t="shared" ca="1" si="43"/>
        <v>82</v>
      </c>
      <c r="M907" t="str">
        <f t="shared" si="44"/>
        <v>36-45</v>
      </c>
    </row>
    <row r="908" spans="1:13" x14ac:dyDescent="0.2">
      <c r="A908" t="s">
        <v>1824</v>
      </c>
      <c r="B908" t="s">
        <v>1825</v>
      </c>
      <c r="C908">
        <v>22</v>
      </c>
      <c r="D908" t="s">
        <v>12</v>
      </c>
      <c r="E908" t="s">
        <v>21</v>
      </c>
      <c r="F908" s="1">
        <v>45213</v>
      </c>
      <c r="G908" s="1">
        <v>46075</v>
      </c>
      <c r="H908">
        <v>55</v>
      </c>
      <c r="I908">
        <v>5</v>
      </c>
      <c r="J908">
        <v>1</v>
      </c>
      <c r="K908" t="str">
        <f t="shared" si="42"/>
        <v>Oct-2023</v>
      </c>
      <c r="L908" s="1">
        <f t="shared" ca="1" si="43"/>
        <v>83</v>
      </c>
      <c r="M908" t="str">
        <f t="shared" si="44"/>
        <v>18-25</v>
      </c>
    </row>
    <row r="909" spans="1:13" x14ac:dyDescent="0.2">
      <c r="A909" t="s">
        <v>1826</v>
      </c>
      <c r="B909" t="s">
        <v>1827</v>
      </c>
      <c r="C909">
        <v>56</v>
      </c>
      <c r="D909" t="s">
        <v>20</v>
      </c>
      <c r="E909" t="s">
        <v>21</v>
      </c>
      <c r="F909" s="1">
        <v>45874</v>
      </c>
      <c r="G909" s="1">
        <v>46137</v>
      </c>
      <c r="H909">
        <v>15</v>
      </c>
      <c r="I909">
        <v>2</v>
      </c>
      <c r="J909">
        <v>0</v>
      </c>
      <c r="K909" t="str">
        <f t="shared" si="42"/>
        <v>Aug-2025</v>
      </c>
      <c r="L909" s="1">
        <f t="shared" ca="1" si="43"/>
        <v>21</v>
      </c>
      <c r="M909" t="str">
        <f t="shared" si="44"/>
        <v>46+</v>
      </c>
    </row>
    <row r="910" spans="1:13" x14ac:dyDescent="0.2">
      <c r="A910" t="s">
        <v>1828</v>
      </c>
      <c r="B910" t="s">
        <v>1829</v>
      </c>
      <c r="C910">
        <v>24</v>
      </c>
      <c r="D910" t="s">
        <v>16</v>
      </c>
      <c r="E910" t="s">
        <v>13</v>
      </c>
      <c r="F910" s="1">
        <v>45796</v>
      </c>
      <c r="G910" s="1">
        <v>46058</v>
      </c>
      <c r="H910">
        <v>19</v>
      </c>
      <c r="I910">
        <v>8</v>
      </c>
      <c r="J910">
        <v>1</v>
      </c>
      <c r="K910" t="str">
        <f t="shared" si="42"/>
        <v>May-2025</v>
      </c>
      <c r="L910" s="1">
        <f t="shared" ca="1" si="43"/>
        <v>100</v>
      </c>
      <c r="M910" t="str">
        <f t="shared" si="44"/>
        <v>18-25</v>
      </c>
    </row>
    <row r="911" spans="1:13" x14ac:dyDescent="0.2">
      <c r="A911" t="s">
        <v>1830</v>
      </c>
      <c r="B911" t="s">
        <v>1831</v>
      </c>
      <c r="C911">
        <v>48</v>
      </c>
      <c r="D911" t="s">
        <v>12</v>
      </c>
      <c r="E911" t="s">
        <v>17</v>
      </c>
      <c r="F911" s="1">
        <v>45745</v>
      </c>
      <c r="G911" s="1">
        <v>46039</v>
      </c>
      <c r="H911">
        <v>37</v>
      </c>
      <c r="I911">
        <v>8</v>
      </c>
      <c r="J911">
        <v>0</v>
      </c>
      <c r="K911" t="str">
        <f t="shared" si="42"/>
        <v>Mar-2025</v>
      </c>
      <c r="L911" s="1">
        <f t="shared" ca="1" si="43"/>
        <v>119</v>
      </c>
      <c r="M911" t="str">
        <f t="shared" si="44"/>
        <v>46+</v>
      </c>
    </row>
    <row r="912" spans="1:13" x14ac:dyDescent="0.2">
      <c r="A912" t="s">
        <v>1832</v>
      </c>
      <c r="B912" t="s">
        <v>1833</v>
      </c>
      <c r="C912">
        <v>26</v>
      </c>
      <c r="D912" t="s">
        <v>20</v>
      </c>
      <c r="E912" t="s">
        <v>17</v>
      </c>
      <c r="F912" s="1">
        <v>45732</v>
      </c>
      <c r="G912" s="1">
        <v>46112</v>
      </c>
      <c r="H912">
        <v>15</v>
      </c>
      <c r="I912">
        <v>2</v>
      </c>
      <c r="J912">
        <v>0</v>
      </c>
      <c r="K912" t="str">
        <f t="shared" si="42"/>
        <v>Mar-2025</v>
      </c>
      <c r="L912" s="1">
        <f t="shared" ca="1" si="43"/>
        <v>46</v>
      </c>
      <c r="M912" t="str">
        <f t="shared" si="44"/>
        <v>26-35</v>
      </c>
    </row>
    <row r="913" spans="1:13" x14ac:dyDescent="0.2">
      <c r="A913" t="s">
        <v>1834</v>
      </c>
      <c r="B913" t="s">
        <v>1835</v>
      </c>
      <c r="C913">
        <v>34</v>
      </c>
      <c r="D913" t="s">
        <v>16</v>
      </c>
      <c r="E913" t="s">
        <v>21</v>
      </c>
      <c r="F913" s="1">
        <v>45489</v>
      </c>
      <c r="G913" s="1">
        <v>46039</v>
      </c>
      <c r="H913">
        <v>32</v>
      </c>
      <c r="I913">
        <v>3</v>
      </c>
      <c r="J913">
        <v>1</v>
      </c>
      <c r="K913" t="str">
        <f t="shared" si="42"/>
        <v>Jul-2024</v>
      </c>
      <c r="L913" s="1">
        <f t="shared" ca="1" si="43"/>
        <v>119</v>
      </c>
      <c r="M913" t="str">
        <f t="shared" si="44"/>
        <v>26-35</v>
      </c>
    </row>
    <row r="914" spans="1:13" x14ac:dyDescent="0.2">
      <c r="A914" t="s">
        <v>1836</v>
      </c>
      <c r="B914" t="s">
        <v>1837</v>
      </c>
      <c r="C914">
        <v>22</v>
      </c>
      <c r="D914" t="s">
        <v>20</v>
      </c>
      <c r="E914" t="s">
        <v>21</v>
      </c>
      <c r="F914" s="1">
        <v>45718</v>
      </c>
      <c r="G914" s="1">
        <v>46085</v>
      </c>
      <c r="H914">
        <v>15</v>
      </c>
      <c r="I914">
        <v>10</v>
      </c>
      <c r="J914">
        <v>1</v>
      </c>
      <c r="K914" t="str">
        <f t="shared" si="42"/>
        <v>Mar-2025</v>
      </c>
      <c r="L914" s="1">
        <f t="shared" ca="1" si="43"/>
        <v>73</v>
      </c>
      <c r="M914" t="str">
        <f t="shared" si="44"/>
        <v>18-25</v>
      </c>
    </row>
    <row r="915" spans="1:13" x14ac:dyDescent="0.2">
      <c r="A915" t="s">
        <v>1838</v>
      </c>
      <c r="B915" t="s">
        <v>1839</v>
      </c>
      <c r="C915">
        <v>41</v>
      </c>
      <c r="D915" t="s">
        <v>20</v>
      </c>
      <c r="E915" t="s">
        <v>21</v>
      </c>
      <c r="F915" s="1">
        <v>46097</v>
      </c>
      <c r="G915" s="1">
        <v>46149</v>
      </c>
      <c r="H915">
        <v>4</v>
      </c>
      <c r="I915">
        <v>10</v>
      </c>
      <c r="J915">
        <v>1</v>
      </c>
      <c r="K915" t="str">
        <f t="shared" si="42"/>
        <v>Mar-2026</v>
      </c>
      <c r="L915" s="1">
        <f t="shared" ca="1" si="43"/>
        <v>9</v>
      </c>
      <c r="M915" t="str">
        <f t="shared" si="44"/>
        <v>36-45</v>
      </c>
    </row>
    <row r="916" spans="1:13" x14ac:dyDescent="0.2">
      <c r="A916" t="s">
        <v>1840</v>
      </c>
      <c r="B916" t="s">
        <v>1841</v>
      </c>
      <c r="C916">
        <v>19</v>
      </c>
      <c r="D916" t="s">
        <v>12</v>
      </c>
      <c r="E916" t="s">
        <v>21</v>
      </c>
      <c r="F916" s="1">
        <v>45786</v>
      </c>
      <c r="G916" s="1">
        <v>46141</v>
      </c>
      <c r="H916">
        <v>43</v>
      </c>
      <c r="I916">
        <v>7</v>
      </c>
      <c r="J916">
        <v>0</v>
      </c>
      <c r="K916" t="str">
        <f t="shared" si="42"/>
        <v>May-2025</v>
      </c>
      <c r="L916" s="1">
        <f t="shared" ca="1" si="43"/>
        <v>17</v>
      </c>
      <c r="M916" t="str">
        <f t="shared" si="44"/>
        <v>18-25</v>
      </c>
    </row>
    <row r="917" spans="1:13" x14ac:dyDescent="0.2">
      <c r="A917" t="s">
        <v>1842</v>
      </c>
      <c r="B917" t="s">
        <v>1843</v>
      </c>
      <c r="C917">
        <v>42</v>
      </c>
      <c r="D917" t="s">
        <v>12</v>
      </c>
      <c r="E917" t="s">
        <v>17</v>
      </c>
      <c r="F917" s="1">
        <v>45625</v>
      </c>
      <c r="G917" s="1">
        <v>46063</v>
      </c>
      <c r="H917">
        <v>34</v>
      </c>
      <c r="I917">
        <v>5</v>
      </c>
      <c r="J917">
        <v>1</v>
      </c>
      <c r="K917" t="str">
        <f t="shared" si="42"/>
        <v>Nov-2024</v>
      </c>
      <c r="L917" s="1">
        <f t="shared" ca="1" si="43"/>
        <v>95</v>
      </c>
      <c r="M917" t="str">
        <f t="shared" si="44"/>
        <v>36-45</v>
      </c>
    </row>
    <row r="918" spans="1:13" x14ac:dyDescent="0.2">
      <c r="A918" t="s">
        <v>1844</v>
      </c>
      <c r="B918" t="s">
        <v>1845</v>
      </c>
      <c r="C918">
        <v>32</v>
      </c>
      <c r="D918" t="s">
        <v>12</v>
      </c>
      <c r="E918" t="s">
        <v>17</v>
      </c>
      <c r="F918" s="1">
        <v>45857</v>
      </c>
      <c r="G918" s="1">
        <v>46034</v>
      </c>
      <c r="H918">
        <v>27</v>
      </c>
      <c r="I918">
        <v>9</v>
      </c>
      <c r="J918">
        <v>0</v>
      </c>
      <c r="K918" t="str">
        <f t="shared" si="42"/>
        <v>Jul-2025</v>
      </c>
      <c r="L918" s="1">
        <f t="shared" ca="1" si="43"/>
        <v>124</v>
      </c>
      <c r="M918" t="str">
        <f t="shared" si="44"/>
        <v>26-35</v>
      </c>
    </row>
    <row r="919" spans="1:13" x14ac:dyDescent="0.2">
      <c r="A919" t="s">
        <v>1846</v>
      </c>
      <c r="B919" t="s">
        <v>1847</v>
      </c>
      <c r="C919">
        <v>30</v>
      </c>
      <c r="D919" t="s">
        <v>12</v>
      </c>
      <c r="E919" t="s">
        <v>17</v>
      </c>
      <c r="F919" s="1">
        <v>45163</v>
      </c>
      <c r="G919" s="1">
        <v>46038</v>
      </c>
      <c r="H919">
        <v>41</v>
      </c>
      <c r="I919">
        <v>7</v>
      </c>
      <c r="J919">
        <v>1</v>
      </c>
      <c r="K919" t="str">
        <f t="shared" si="42"/>
        <v>Aug-2023</v>
      </c>
      <c r="L919" s="1">
        <f t="shared" ca="1" si="43"/>
        <v>120</v>
      </c>
      <c r="M919" t="str">
        <f t="shared" si="44"/>
        <v>26-35</v>
      </c>
    </row>
    <row r="920" spans="1:13" x14ac:dyDescent="0.2">
      <c r="A920" t="s">
        <v>1848</v>
      </c>
      <c r="B920" t="s">
        <v>1849</v>
      </c>
      <c r="C920">
        <v>38</v>
      </c>
      <c r="D920" t="s">
        <v>20</v>
      </c>
      <c r="E920" t="s">
        <v>17</v>
      </c>
      <c r="F920" s="1">
        <v>45243</v>
      </c>
      <c r="G920" s="1">
        <v>46139</v>
      </c>
      <c r="H920">
        <v>52</v>
      </c>
      <c r="I920">
        <v>9</v>
      </c>
      <c r="J920">
        <v>1</v>
      </c>
      <c r="K920" t="str">
        <f t="shared" si="42"/>
        <v>Nov-2023</v>
      </c>
      <c r="L920" s="1">
        <f t="shared" ca="1" si="43"/>
        <v>19</v>
      </c>
      <c r="M920" t="str">
        <f t="shared" si="44"/>
        <v>36-45</v>
      </c>
    </row>
    <row r="921" spans="1:13" x14ac:dyDescent="0.2">
      <c r="A921" t="s">
        <v>1850</v>
      </c>
      <c r="B921" t="s">
        <v>1851</v>
      </c>
      <c r="C921">
        <v>46</v>
      </c>
      <c r="D921" t="s">
        <v>20</v>
      </c>
      <c r="E921" t="s">
        <v>13</v>
      </c>
      <c r="F921" s="1">
        <v>45691</v>
      </c>
      <c r="G921" s="1">
        <v>46089</v>
      </c>
      <c r="H921">
        <v>23</v>
      </c>
      <c r="I921">
        <v>5</v>
      </c>
      <c r="J921">
        <v>1</v>
      </c>
      <c r="K921" t="str">
        <f t="shared" si="42"/>
        <v>Feb-2025</v>
      </c>
      <c r="L921" s="1">
        <f t="shared" ca="1" si="43"/>
        <v>69</v>
      </c>
      <c r="M921" t="str">
        <f t="shared" si="44"/>
        <v>46+</v>
      </c>
    </row>
    <row r="922" spans="1:13" x14ac:dyDescent="0.2">
      <c r="A922" t="s">
        <v>1852</v>
      </c>
      <c r="B922" t="s">
        <v>1853</v>
      </c>
      <c r="C922">
        <v>31</v>
      </c>
      <c r="D922" t="s">
        <v>12</v>
      </c>
      <c r="E922" t="s">
        <v>21</v>
      </c>
      <c r="F922" s="1">
        <v>45703</v>
      </c>
      <c r="G922" s="1">
        <v>46090</v>
      </c>
      <c r="H922">
        <v>43</v>
      </c>
      <c r="I922">
        <v>5</v>
      </c>
      <c r="J922">
        <v>0</v>
      </c>
      <c r="K922" t="str">
        <f t="shared" si="42"/>
        <v>Feb-2025</v>
      </c>
      <c r="L922" s="1">
        <f t="shared" ca="1" si="43"/>
        <v>68</v>
      </c>
      <c r="M922" t="str">
        <f t="shared" si="44"/>
        <v>26-35</v>
      </c>
    </row>
    <row r="923" spans="1:13" x14ac:dyDescent="0.2">
      <c r="A923" t="s">
        <v>1854</v>
      </c>
      <c r="B923" t="s">
        <v>1855</v>
      </c>
      <c r="C923">
        <v>46</v>
      </c>
      <c r="D923" t="s">
        <v>16</v>
      </c>
      <c r="E923" t="s">
        <v>21</v>
      </c>
      <c r="F923" s="1">
        <v>45516</v>
      </c>
      <c r="G923" s="1">
        <v>46033</v>
      </c>
      <c r="H923">
        <v>69</v>
      </c>
      <c r="I923">
        <v>7</v>
      </c>
      <c r="J923">
        <v>0</v>
      </c>
      <c r="K923" t="str">
        <f t="shared" si="42"/>
        <v>Aug-2024</v>
      </c>
      <c r="L923" s="1">
        <f t="shared" ca="1" si="43"/>
        <v>125</v>
      </c>
      <c r="M923" t="str">
        <f t="shared" si="44"/>
        <v>46+</v>
      </c>
    </row>
    <row r="924" spans="1:13" x14ac:dyDescent="0.2">
      <c r="A924" t="s">
        <v>1856</v>
      </c>
      <c r="B924" t="s">
        <v>1857</v>
      </c>
      <c r="C924">
        <v>39</v>
      </c>
      <c r="D924" t="s">
        <v>20</v>
      </c>
      <c r="E924" t="s">
        <v>21</v>
      </c>
      <c r="F924" s="1">
        <v>45584</v>
      </c>
      <c r="G924" s="1">
        <v>46124</v>
      </c>
      <c r="H924">
        <v>50</v>
      </c>
      <c r="I924">
        <v>7</v>
      </c>
      <c r="J924">
        <v>0</v>
      </c>
      <c r="K924" t="str">
        <f t="shared" si="42"/>
        <v>Oct-2024</v>
      </c>
      <c r="L924" s="1">
        <f t="shared" ca="1" si="43"/>
        <v>34</v>
      </c>
      <c r="M924" t="str">
        <f t="shared" si="44"/>
        <v>36-45</v>
      </c>
    </row>
    <row r="925" spans="1:13" x14ac:dyDescent="0.2">
      <c r="A925" t="s">
        <v>1858</v>
      </c>
      <c r="B925" t="s">
        <v>792</v>
      </c>
      <c r="C925">
        <v>51</v>
      </c>
      <c r="D925" t="s">
        <v>20</v>
      </c>
      <c r="E925" t="s">
        <v>17</v>
      </c>
      <c r="F925" s="1">
        <v>45735</v>
      </c>
      <c r="G925" s="1">
        <v>46144</v>
      </c>
      <c r="H925">
        <v>17</v>
      </c>
      <c r="I925">
        <v>4</v>
      </c>
      <c r="J925">
        <v>1</v>
      </c>
      <c r="K925" t="str">
        <f t="shared" si="42"/>
        <v>Mar-2025</v>
      </c>
      <c r="L925" s="1">
        <f t="shared" ca="1" si="43"/>
        <v>14</v>
      </c>
      <c r="M925" t="str">
        <f t="shared" si="44"/>
        <v>46+</v>
      </c>
    </row>
    <row r="926" spans="1:13" x14ac:dyDescent="0.2">
      <c r="A926" t="s">
        <v>1859</v>
      </c>
      <c r="B926" t="s">
        <v>1860</v>
      </c>
      <c r="C926">
        <v>56</v>
      </c>
      <c r="D926" t="s">
        <v>20</v>
      </c>
      <c r="E926" t="s">
        <v>21</v>
      </c>
      <c r="F926" s="1">
        <v>46006</v>
      </c>
      <c r="G926" s="1">
        <v>46119</v>
      </c>
      <c r="H926">
        <v>72</v>
      </c>
      <c r="I926">
        <v>1</v>
      </c>
      <c r="J926">
        <v>1</v>
      </c>
      <c r="K926" t="str">
        <f t="shared" si="42"/>
        <v>Dec-2025</v>
      </c>
      <c r="L926" s="1">
        <f t="shared" ca="1" si="43"/>
        <v>39</v>
      </c>
      <c r="M926" t="str">
        <f t="shared" si="44"/>
        <v>46+</v>
      </c>
    </row>
    <row r="927" spans="1:13" x14ac:dyDescent="0.2">
      <c r="A927" t="s">
        <v>1861</v>
      </c>
      <c r="B927" t="s">
        <v>1862</v>
      </c>
      <c r="C927">
        <v>28</v>
      </c>
      <c r="D927" t="s">
        <v>16</v>
      </c>
      <c r="E927" t="s">
        <v>21</v>
      </c>
      <c r="F927" s="1">
        <v>45459</v>
      </c>
      <c r="G927" s="1">
        <v>46078</v>
      </c>
      <c r="H927">
        <v>64</v>
      </c>
      <c r="I927">
        <v>2</v>
      </c>
      <c r="J927">
        <v>1</v>
      </c>
      <c r="K927" t="str">
        <f t="shared" si="42"/>
        <v>Jun-2024</v>
      </c>
      <c r="L927" s="1">
        <f t="shared" ca="1" si="43"/>
        <v>80</v>
      </c>
      <c r="M927" t="str">
        <f t="shared" si="44"/>
        <v>26-35</v>
      </c>
    </row>
    <row r="928" spans="1:13" x14ac:dyDescent="0.2">
      <c r="A928" t="s">
        <v>1863</v>
      </c>
      <c r="B928" t="s">
        <v>1864</v>
      </c>
      <c r="C928">
        <v>39</v>
      </c>
      <c r="D928" t="s">
        <v>16</v>
      </c>
      <c r="E928" t="s">
        <v>17</v>
      </c>
      <c r="F928" s="1">
        <v>45901</v>
      </c>
      <c r="G928" s="1">
        <v>46067</v>
      </c>
      <c r="H928">
        <v>11</v>
      </c>
      <c r="I928">
        <v>6</v>
      </c>
      <c r="J928">
        <v>1</v>
      </c>
      <c r="K928" t="str">
        <f t="shared" si="42"/>
        <v>Sep-2025</v>
      </c>
      <c r="L928" s="1">
        <f t="shared" ca="1" si="43"/>
        <v>91</v>
      </c>
      <c r="M928" t="str">
        <f t="shared" si="44"/>
        <v>36-45</v>
      </c>
    </row>
    <row r="929" spans="1:13" x14ac:dyDescent="0.2">
      <c r="A929" t="s">
        <v>1865</v>
      </c>
      <c r="B929" t="s">
        <v>1866</v>
      </c>
      <c r="C929">
        <v>34</v>
      </c>
      <c r="D929" t="s">
        <v>12</v>
      </c>
      <c r="E929" t="s">
        <v>17</v>
      </c>
      <c r="F929" s="1">
        <v>45522</v>
      </c>
      <c r="G929" s="1">
        <v>46030</v>
      </c>
      <c r="H929">
        <v>38</v>
      </c>
      <c r="I929">
        <v>7</v>
      </c>
      <c r="J929">
        <v>1</v>
      </c>
      <c r="K929" t="str">
        <f t="shared" si="42"/>
        <v>Aug-2024</v>
      </c>
      <c r="L929" s="1">
        <f t="shared" ca="1" si="43"/>
        <v>128</v>
      </c>
      <c r="M929" t="str">
        <f t="shared" si="44"/>
        <v>26-35</v>
      </c>
    </row>
    <row r="930" spans="1:13" x14ac:dyDescent="0.2">
      <c r="A930" t="s">
        <v>1867</v>
      </c>
      <c r="B930" t="s">
        <v>1868</v>
      </c>
      <c r="C930">
        <v>27</v>
      </c>
      <c r="D930" t="s">
        <v>12</v>
      </c>
      <c r="E930" t="s">
        <v>13</v>
      </c>
      <c r="F930" s="1">
        <v>46100</v>
      </c>
      <c r="G930" s="1">
        <v>46150</v>
      </c>
      <c r="H930">
        <v>53</v>
      </c>
      <c r="I930">
        <v>3</v>
      </c>
      <c r="J930">
        <v>1</v>
      </c>
      <c r="K930" t="str">
        <f t="shared" si="42"/>
        <v>Mar-2026</v>
      </c>
      <c r="L930" s="1">
        <f t="shared" ca="1" si="43"/>
        <v>8</v>
      </c>
      <c r="M930" t="str">
        <f t="shared" si="44"/>
        <v>26-35</v>
      </c>
    </row>
    <row r="931" spans="1:13" x14ac:dyDescent="0.2">
      <c r="A931" t="s">
        <v>1869</v>
      </c>
      <c r="B931" t="s">
        <v>1870</v>
      </c>
      <c r="C931">
        <v>44</v>
      </c>
      <c r="D931" t="s">
        <v>16</v>
      </c>
      <c r="E931" t="s">
        <v>21</v>
      </c>
      <c r="F931" s="1">
        <v>45935</v>
      </c>
      <c r="G931" s="1">
        <v>46120</v>
      </c>
      <c r="H931">
        <v>51</v>
      </c>
      <c r="I931">
        <v>10</v>
      </c>
      <c r="J931">
        <v>0</v>
      </c>
      <c r="K931" t="str">
        <f t="shared" si="42"/>
        <v>Oct-2025</v>
      </c>
      <c r="L931" s="1">
        <f t="shared" ca="1" si="43"/>
        <v>38</v>
      </c>
      <c r="M931" t="str">
        <f t="shared" si="44"/>
        <v>36-45</v>
      </c>
    </row>
    <row r="932" spans="1:13" x14ac:dyDescent="0.2">
      <c r="A932" t="s">
        <v>1871</v>
      </c>
      <c r="B932" t="s">
        <v>1872</v>
      </c>
      <c r="C932">
        <v>26</v>
      </c>
      <c r="D932" t="s">
        <v>16</v>
      </c>
      <c r="E932" t="s">
        <v>13</v>
      </c>
      <c r="F932" s="1">
        <v>45168</v>
      </c>
      <c r="G932" s="1">
        <v>46138</v>
      </c>
      <c r="H932">
        <v>50</v>
      </c>
      <c r="I932">
        <v>5</v>
      </c>
      <c r="J932">
        <v>0</v>
      </c>
      <c r="K932" t="str">
        <f t="shared" si="42"/>
        <v>Aug-2023</v>
      </c>
      <c r="L932" s="1">
        <f t="shared" ca="1" si="43"/>
        <v>20</v>
      </c>
      <c r="M932" t="str">
        <f t="shared" si="44"/>
        <v>26-35</v>
      </c>
    </row>
    <row r="933" spans="1:13" x14ac:dyDescent="0.2">
      <c r="A933" t="s">
        <v>1873</v>
      </c>
      <c r="B933" t="s">
        <v>1874</v>
      </c>
      <c r="C933">
        <v>42</v>
      </c>
      <c r="D933" t="s">
        <v>20</v>
      </c>
      <c r="E933" t="s">
        <v>21</v>
      </c>
      <c r="F933" s="1">
        <v>45423</v>
      </c>
      <c r="G933" s="1">
        <v>46138</v>
      </c>
      <c r="H933">
        <v>39</v>
      </c>
      <c r="I933">
        <v>4</v>
      </c>
      <c r="J933">
        <v>1</v>
      </c>
      <c r="K933" t="str">
        <f t="shared" si="42"/>
        <v>May-2024</v>
      </c>
      <c r="L933" s="1">
        <f t="shared" ca="1" si="43"/>
        <v>20</v>
      </c>
      <c r="M933" t="str">
        <f t="shared" si="44"/>
        <v>36-45</v>
      </c>
    </row>
    <row r="934" spans="1:13" x14ac:dyDescent="0.2">
      <c r="A934" t="s">
        <v>1875</v>
      </c>
      <c r="B934" t="s">
        <v>1876</v>
      </c>
      <c r="C934">
        <v>29</v>
      </c>
      <c r="D934" t="s">
        <v>20</v>
      </c>
      <c r="E934" t="s">
        <v>13</v>
      </c>
      <c r="F934" s="1">
        <v>45721</v>
      </c>
      <c r="G934" s="1">
        <v>46038</v>
      </c>
      <c r="H934">
        <v>1</v>
      </c>
      <c r="I934">
        <v>8</v>
      </c>
      <c r="J934">
        <v>0</v>
      </c>
      <c r="K934" t="str">
        <f t="shared" si="42"/>
        <v>Mar-2025</v>
      </c>
      <c r="L934" s="1">
        <f t="shared" ca="1" si="43"/>
        <v>120</v>
      </c>
      <c r="M934" t="str">
        <f t="shared" si="44"/>
        <v>26-35</v>
      </c>
    </row>
    <row r="935" spans="1:13" x14ac:dyDescent="0.2">
      <c r="A935" t="s">
        <v>1877</v>
      </c>
      <c r="B935" t="s">
        <v>1878</v>
      </c>
      <c r="C935">
        <v>34</v>
      </c>
      <c r="D935" t="s">
        <v>20</v>
      </c>
      <c r="E935" t="s">
        <v>21</v>
      </c>
      <c r="F935" s="1">
        <v>45457</v>
      </c>
      <c r="G935" s="1">
        <v>46044</v>
      </c>
      <c r="H935">
        <v>28</v>
      </c>
      <c r="I935">
        <v>10</v>
      </c>
      <c r="J935">
        <v>0</v>
      </c>
      <c r="K935" t="str">
        <f t="shared" si="42"/>
        <v>Jun-2024</v>
      </c>
      <c r="L935" s="1">
        <f t="shared" ca="1" si="43"/>
        <v>114</v>
      </c>
      <c r="M935" t="str">
        <f t="shared" si="44"/>
        <v>26-35</v>
      </c>
    </row>
    <row r="936" spans="1:13" x14ac:dyDescent="0.2">
      <c r="A936" t="s">
        <v>1879</v>
      </c>
      <c r="B936" t="s">
        <v>1880</v>
      </c>
      <c r="C936">
        <v>24</v>
      </c>
      <c r="D936" t="s">
        <v>12</v>
      </c>
      <c r="E936" t="s">
        <v>21</v>
      </c>
      <c r="F936" s="1">
        <v>45811</v>
      </c>
      <c r="G936" s="1">
        <v>46048</v>
      </c>
      <c r="H936">
        <v>1</v>
      </c>
      <c r="I936">
        <v>8</v>
      </c>
      <c r="J936">
        <v>1</v>
      </c>
      <c r="K936" t="str">
        <f t="shared" si="42"/>
        <v>Jun-2025</v>
      </c>
      <c r="L936" s="1">
        <f t="shared" ca="1" si="43"/>
        <v>110</v>
      </c>
      <c r="M936" t="str">
        <f t="shared" si="44"/>
        <v>18-25</v>
      </c>
    </row>
    <row r="937" spans="1:13" x14ac:dyDescent="0.2">
      <c r="A937" t="s">
        <v>1881</v>
      </c>
      <c r="B937" t="s">
        <v>1882</v>
      </c>
      <c r="C937">
        <v>55</v>
      </c>
      <c r="D937" t="s">
        <v>12</v>
      </c>
      <c r="E937" t="s">
        <v>17</v>
      </c>
      <c r="F937" s="1">
        <v>45561</v>
      </c>
      <c r="G937" s="1">
        <v>46101</v>
      </c>
      <c r="H937">
        <v>46</v>
      </c>
      <c r="I937">
        <v>1</v>
      </c>
      <c r="J937">
        <v>0</v>
      </c>
      <c r="K937" t="str">
        <f t="shared" si="42"/>
        <v>Sep-2024</v>
      </c>
      <c r="L937" s="1">
        <f t="shared" ca="1" si="43"/>
        <v>57</v>
      </c>
      <c r="M937" t="str">
        <f t="shared" si="44"/>
        <v>46+</v>
      </c>
    </row>
    <row r="938" spans="1:13" x14ac:dyDescent="0.2">
      <c r="A938" t="s">
        <v>1883</v>
      </c>
      <c r="B938" t="s">
        <v>1884</v>
      </c>
      <c r="C938">
        <v>20</v>
      </c>
      <c r="D938" t="s">
        <v>16</v>
      </c>
      <c r="E938" t="s">
        <v>21</v>
      </c>
      <c r="F938" s="1">
        <v>45158</v>
      </c>
      <c r="G938" s="1">
        <v>46136</v>
      </c>
      <c r="H938">
        <v>2</v>
      </c>
      <c r="I938">
        <v>10</v>
      </c>
      <c r="J938">
        <v>0</v>
      </c>
      <c r="K938" t="str">
        <f t="shared" si="42"/>
        <v>Aug-2023</v>
      </c>
      <c r="L938" s="1">
        <f t="shared" ca="1" si="43"/>
        <v>22</v>
      </c>
      <c r="M938" t="str">
        <f t="shared" si="44"/>
        <v>18-25</v>
      </c>
    </row>
    <row r="939" spans="1:13" x14ac:dyDescent="0.2">
      <c r="A939" t="s">
        <v>1885</v>
      </c>
      <c r="B939" t="s">
        <v>1886</v>
      </c>
      <c r="C939">
        <v>58</v>
      </c>
      <c r="D939" t="s">
        <v>16</v>
      </c>
      <c r="E939" t="s">
        <v>17</v>
      </c>
      <c r="F939" s="1">
        <v>45721</v>
      </c>
      <c r="G939" s="1">
        <v>46079</v>
      </c>
      <c r="H939">
        <v>39</v>
      </c>
      <c r="I939">
        <v>5</v>
      </c>
      <c r="J939">
        <v>0</v>
      </c>
      <c r="K939" t="str">
        <f t="shared" si="42"/>
        <v>Mar-2025</v>
      </c>
      <c r="L939" s="1">
        <f t="shared" ca="1" si="43"/>
        <v>79</v>
      </c>
      <c r="M939" t="str">
        <f t="shared" si="44"/>
        <v>46+</v>
      </c>
    </row>
    <row r="940" spans="1:13" x14ac:dyDescent="0.2">
      <c r="A940" t="s">
        <v>1887</v>
      </c>
      <c r="B940" t="s">
        <v>1888</v>
      </c>
      <c r="C940">
        <v>33</v>
      </c>
      <c r="D940" t="s">
        <v>20</v>
      </c>
      <c r="E940" t="s">
        <v>17</v>
      </c>
      <c r="F940" s="1">
        <v>45487</v>
      </c>
      <c r="G940" s="1">
        <v>46140</v>
      </c>
      <c r="H940">
        <v>51</v>
      </c>
      <c r="I940">
        <v>2</v>
      </c>
      <c r="J940">
        <v>0</v>
      </c>
      <c r="K940" t="str">
        <f t="shared" si="42"/>
        <v>Jul-2024</v>
      </c>
      <c r="L940" s="1">
        <f t="shared" ca="1" si="43"/>
        <v>18</v>
      </c>
      <c r="M940" t="str">
        <f t="shared" si="44"/>
        <v>26-35</v>
      </c>
    </row>
    <row r="941" spans="1:13" x14ac:dyDescent="0.2">
      <c r="A941" t="s">
        <v>1889</v>
      </c>
      <c r="B941" t="s">
        <v>1890</v>
      </c>
      <c r="C941">
        <v>46</v>
      </c>
      <c r="D941" t="s">
        <v>12</v>
      </c>
      <c r="E941" t="s">
        <v>13</v>
      </c>
      <c r="F941" s="1">
        <v>45702</v>
      </c>
      <c r="G941" s="1">
        <v>46105</v>
      </c>
      <c r="H941">
        <v>6</v>
      </c>
      <c r="I941">
        <v>2</v>
      </c>
      <c r="J941">
        <v>0</v>
      </c>
      <c r="K941" t="str">
        <f t="shared" si="42"/>
        <v>Feb-2025</v>
      </c>
      <c r="L941" s="1">
        <f t="shared" ca="1" si="43"/>
        <v>53</v>
      </c>
      <c r="M941" t="str">
        <f t="shared" si="44"/>
        <v>46+</v>
      </c>
    </row>
    <row r="942" spans="1:13" x14ac:dyDescent="0.2">
      <c r="A942" t="s">
        <v>1891</v>
      </c>
      <c r="B942" t="s">
        <v>1892</v>
      </c>
      <c r="C942">
        <v>50</v>
      </c>
      <c r="D942" t="s">
        <v>16</v>
      </c>
      <c r="E942" t="s">
        <v>21</v>
      </c>
      <c r="F942" s="1">
        <v>45701</v>
      </c>
      <c r="G942" s="1">
        <v>46126</v>
      </c>
      <c r="H942">
        <v>46</v>
      </c>
      <c r="I942">
        <v>6</v>
      </c>
      <c r="J942">
        <v>0</v>
      </c>
      <c r="K942" t="str">
        <f t="shared" si="42"/>
        <v>Feb-2025</v>
      </c>
      <c r="L942" s="1">
        <f t="shared" ca="1" si="43"/>
        <v>32</v>
      </c>
      <c r="M942" t="str">
        <f t="shared" si="44"/>
        <v>46+</v>
      </c>
    </row>
    <row r="943" spans="1:13" x14ac:dyDescent="0.2">
      <c r="A943" t="s">
        <v>1893</v>
      </c>
      <c r="B943" t="s">
        <v>1894</v>
      </c>
      <c r="C943">
        <v>38</v>
      </c>
      <c r="D943" t="s">
        <v>16</v>
      </c>
      <c r="E943" t="s">
        <v>21</v>
      </c>
      <c r="F943" s="1">
        <v>45544</v>
      </c>
      <c r="G943" s="1">
        <v>46045</v>
      </c>
      <c r="H943">
        <v>29</v>
      </c>
      <c r="I943">
        <v>4</v>
      </c>
      <c r="J943">
        <v>1</v>
      </c>
      <c r="K943" t="str">
        <f t="shared" si="42"/>
        <v>Sep-2024</v>
      </c>
      <c r="L943" s="1">
        <f t="shared" ca="1" si="43"/>
        <v>113</v>
      </c>
      <c r="M943" t="str">
        <f t="shared" si="44"/>
        <v>36-45</v>
      </c>
    </row>
    <row r="944" spans="1:13" x14ac:dyDescent="0.2">
      <c r="A944" t="s">
        <v>1895</v>
      </c>
      <c r="B944" t="s">
        <v>1896</v>
      </c>
      <c r="C944">
        <v>29</v>
      </c>
      <c r="D944" t="s">
        <v>12</v>
      </c>
      <c r="E944" t="s">
        <v>21</v>
      </c>
      <c r="F944" s="1">
        <v>45199</v>
      </c>
      <c r="G944" s="1">
        <v>46037</v>
      </c>
      <c r="H944">
        <v>42</v>
      </c>
      <c r="I944">
        <v>6</v>
      </c>
      <c r="J944">
        <v>1</v>
      </c>
      <c r="K944" t="str">
        <f t="shared" si="42"/>
        <v>Sep-2023</v>
      </c>
      <c r="L944" s="1">
        <f t="shared" ca="1" si="43"/>
        <v>121</v>
      </c>
      <c r="M944" t="str">
        <f t="shared" si="44"/>
        <v>26-35</v>
      </c>
    </row>
    <row r="945" spans="1:13" x14ac:dyDescent="0.2">
      <c r="A945" t="s">
        <v>1897</v>
      </c>
      <c r="B945" t="s">
        <v>1898</v>
      </c>
      <c r="C945">
        <v>35</v>
      </c>
      <c r="D945" t="s">
        <v>20</v>
      </c>
      <c r="E945" t="s">
        <v>13</v>
      </c>
      <c r="F945" s="1">
        <v>46118</v>
      </c>
      <c r="G945" s="1">
        <v>46136</v>
      </c>
      <c r="H945">
        <v>79</v>
      </c>
      <c r="I945">
        <v>5</v>
      </c>
      <c r="J945">
        <v>0</v>
      </c>
      <c r="K945" t="str">
        <f t="shared" si="42"/>
        <v>Apr-2026</v>
      </c>
      <c r="L945" s="1">
        <f t="shared" ca="1" si="43"/>
        <v>22</v>
      </c>
      <c r="M945" t="str">
        <f t="shared" si="44"/>
        <v>26-35</v>
      </c>
    </row>
    <row r="946" spans="1:13" x14ac:dyDescent="0.2">
      <c r="A946" t="s">
        <v>1899</v>
      </c>
      <c r="B946" t="s">
        <v>1900</v>
      </c>
      <c r="C946">
        <v>45</v>
      </c>
      <c r="D946" t="s">
        <v>20</v>
      </c>
      <c r="E946" t="s">
        <v>21</v>
      </c>
      <c r="F946" s="1">
        <v>45477</v>
      </c>
      <c r="G946" s="1">
        <v>46054</v>
      </c>
      <c r="H946">
        <v>51</v>
      </c>
      <c r="I946">
        <v>10</v>
      </c>
      <c r="J946">
        <v>1</v>
      </c>
      <c r="K946" t="str">
        <f t="shared" si="42"/>
        <v>Jul-2024</v>
      </c>
      <c r="L946" s="1">
        <f t="shared" ca="1" si="43"/>
        <v>104</v>
      </c>
      <c r="M946" t="str">
        <f t="shared" si="44"/>
        <v>36-45</v>
      </c>
    </row>
    <row r="947" spans="1:13" x14ac:dyDescent="0.2">
      <c r="A947" t="s">
        <v>1901</v>
      </c>
      <c r="B947" t="s">
        <v>1902</v>
      </c>
      <c r="C947">
        <v>20</v>
      </c>
      <c r="D947" t="s">
        <v>16</v>
      </c>
      <c r="E947" t="s">
        <v>21</v>
      </c>
      <c r="F947" s="1">
        <v>45881</v>
      </c>
      <c r="G947" s="1">
        <v>46098</v>
      </c>
      <c r="H947">
        <v>21</v>
      </c>
      <c r="I947">
        <v>2</v>
      </c>
      <c r="J947">
        <v>0</v>
      </c>
      <c r="K947" t="str">
        <f t="shared" si="42"/>
        <v>Aug-2025</v>
      </c>
      <c r="L947" s="1">
        <f t="shared" ca="1" si="43"/>
        <v>60</v>
      </c>
      <c r="M947" t="str">
        <f t="shared" si="44"/>
        <v>18-25</v>
      </c>
    </row>
    <row r="948" spans="1:13" x14ac:dyDescent="0.2">
      <c r="A948" t="s">
        <v>1903</v>
      </c>
      <c r="B948" t="s">
        <v>1904</v>
      </c>
      <c r="C948">
        <v>20</v>
      </c>
      <c r="D948" t="s">
        <v>20</v>
      </c>
      <c r="E948" t="s">
        <v>21</v>
      </c>
      <c r="F948" s="1">
        <v>45855</v>
      </c>
      <c r="G948" s="1">
        <v>46058</v>
      </c>
      <c r="H948">
        <v>28</v>
      </c>
      <c r="I948">
        <v>6</v>
      </c>
      <c r="J948">
        <v>0</v>
      </c>
      <c r="K948" t="str">
        <f t="shared" si="42"/>
        <v>Jul-2025</v>
      </c>
      <c r="L948" s="1">
        <f t="shared" ca="1" si="43"/>
        <v>100</v>
      </c>
      <c r="M948" t="str">
        <f t="shared" si="44"/>
        <v>18-25</v>
      </c>
    </row>
    <row r="949" spans="1:13" x14ac:dyDescent="0.2">
      <c r="A949" t="s">
        <v>1905</v>
      </c>
      <c r="B949" t="s">
        <v>1906</v>
      </c>
      <c r="C949">
        <v>49</v>
      </c>
      <c r="D949" t="s">
        <v>12</v>
      </c>
      <c r="E949" t="s">
        <v>13</v>
      </c>
      <c r="F949" s="1">
        <v>45889</v>
      </c>
      <c r="G949" s="1">
        <v>46114</v>
      </c>
      <c r="H949">
        <v>2</v>
      </c>
      <c r="I949">
        <v>1</v>
      </c>
      <c r="J949">
        <v>1</v>
      </c>
      <c r="K949" t="str">
        <f t="shared" si="42"/>
        <v>Aug-2025</v>
      </c>
      <c r="L949" s="1">
        <f t="shared" ca="1" si="43"/>
        <v>44</v>
      </c>
      <c r="M949" t="str">
        <f t="shared" si="44"/>
        <v>46+</v>
      </c>
    </row>
    <row r="950" spans="1:13" x14ac:dyDescent="0.2">
      <c r="A950" t="s">
        <v>1907</v>
      </c>
      <c r="B950" t="s">
        <v>1908</v>
      </c>
      <c r="C950">
        <v>37</v>
      </c>
      <c r="D950" t="s">
        <v>12</v>
      </c>
      <c r="E950" t="s">
        <v>13</v>
      </c>
      <c r="F950" s="1">
        <v>45620</v>
      </c>
      <c r="G950" s="1">
        <v>46046</v>
      </c>
      <c r="H950">
        <v>27</v>
      </c>
      <c r="I950">
        <v>6</v>
      </c>
      <c r="J950">
        <v>1</v>
      </c>
      <c r="K950" t="str">
        <f t="shared" si="42"/>
        <v>Nov-2024</v>
      </c>
      <c r="L950" s="1">
        <f t="shared" ca="1" si="43"/>
        <v>112</v>
      </c>
      <c r="M950" t="str">
        <f t="shared" si="44"/>
        <v>36-45</v>
      </c>
    </row>
    <row r="951" spans="1:13" x14ac:dyDescent="0.2">
      <c r="A951" t="s">
        <v>1909</v>
      </c>
      <c r="B951" t="s">
        <v>1910</v>
      </c>
      <c r="C951">
        <v>50</v>
      </c>
      <c r="D951" t="s">
        <v>20</v>
      </c>
      <c r="E951" t="s">
        <v>21</v>
      </c>
      <c r="F951" s="1">
        <v>45206</v>
      </c>
      <c r="G951" s="1">
        <v>46077</v>
      </c>
      <c r="H951">
        <v>6</v>
      </c>
      <c r="I951">
        <v>1</v>
      </c>
      <c r="J951">
        <v>1</v>
      </c>
      <c r="K951" t="str">
        <f t="shared" si="42"/>
        <v>Oct-2023</v>
      </c>
      <c r="L951" s="1">
        <f t="shared" ca="1" si="43"/>
        <v>81</v>
      </c>
      <c r="M951" t="str">
        <f t="shared" si="44"/>
        <v>46+</v>
      </c>
    </row>
    <row r="952" spans="1:13" x14ac:dyDescent="0.2">
      <c r="A952" t="s">
        <v>1911</v>
      </c>
      <c r="B952" t="s">
        <v>1912</v>
      </c>
      <c r="C952">
        <v>57</v>
      </c>
      <c r="D952" t="s">
        <v>12</v>
      </c>
      <c r="E952" t="s">
        <v>17</v>
      </c>
      <c r="F952" s="1">
        <v>45524</v>
      </c>
      <c r="G952" s="1">
        <v>46108</v>
      </c>
      <c r="H952">
        <v>23</v>
      </c>
      <c r="I952">
        <v>6</v>
      </c>
      <c r="J952">
        <v>0</v>
      </c>
      <c r="K952" t="str">
        <f t="shared" si="42"/>
        <v>Aug-2024</v>
      </c>
      <c r="L952" s="1">
        <f t="shared" ca="1" si="43"/>
        <v>50</v>
      </c>
      <c r="M952" t="str">
        <f t="shared" si="44"/>
        <v>46+</v>
      </c>
    </row>
    <row r="953" spans="1:13" x14ac:dyDescent="0.2">
      <c r="A953" t="s">
        <v>1913</v>
      </c>
      <c r="B953" t="s">
        <v>1914</v>
      </c>
      <c r="C953">
        <v>28</v>
      </c>
      <c r="D953" t="s">
        <v>12</v>
      </c>
      <c r="E953" t="s">
        <v>17</v>
      </c>
      <c r="F953" s="1">
        <v>45979</v>
      </c>
      <c r="G953" s="1">
        <v>46059</v>
      </c>
      <c r="H953">
        <v>60</v>
      </c>
      <c r="I953">
        <v>3</v>
      </c>
      <c r="J953">
        <v>0</v>
      </c>
      <c r="K953" t="str">
        <f t="shared" si="42"/>
        <v>Nov-2025</v>
      </c>
      <c r="L953" s="1">
        <f t="shared" ca="1" si="43"/>
        <v>99</v>
      </c>
      <c r="M953" t="str">
        <f t="shared" si="44"/>
        <v>26-35</v>
      </c>
    </row>
    <row r="954" spans="1:13" x14ac:dyDescent="0.2">
      <c r="A954" t="s">
        <v>1915</v>
      </c>
      <c r="B954" t="s">
        <v>1916</v>
      </c>
      <c r="C954">
        <v>35</v>
      </c>
      <c r="D954" t="s">
        <v>20</v>
      </c>
      <c r="E954" t="s">
        <v>13</v>
      </c>
      <c r="F954" s="1">
        <v>45610</v>
      </c>
      <c r="G954" s="1">
        <v>46058</v>
      </c>
      <c r="H954">
        <v>59</v>
      </c>
      <c r="I954">
        <v>1</v>
      </c>
      <c r="J954">
        <v>1</v>
      </c>
      <c r="K954" t="str">
        <f t="shared" si="42"/>
        <v>Nov-2024</v>
      </c>
      <c r="L954" s="1">
        <f t="shared" ca="1" si="43"/>
        <v>100</v>
      </c>
      <c r="M954" t="str">
        <f t="shared" si="44"/>
        <v>26-35</v>
      </c>
    </row>
    <row r="955" spans="1:13" x14ac:dyDescent="0.2">
      <c r="A955" t="s">
        <v>1917</v>
      </c>
      <c r="B955" t="s">
        <v>1918</v>
      </c>
      <c r="C955">
        <v>46</v>
      </c>
      <c r="D955" t="s">
        <v>12</v>
      </c>
      <c r="E955" t="s">
        <v>21</v>
      </c>
      <c r="F955" s="1">
        <v>45591</v>
      </c>
      <c r="G955" s="1">
        <v>46090</v>
      </c>
      <c r="H955">
        <v>43</v>
      </c>
      <c r="I955">
        <v>7</v>
      </c>
      <c r="J955">
        <v>0</v>
      </c>
      <c r="K955" t="str">
        <f t="shared" si="42"/>
        <v>Oct-2024</v>
      </c>
      <c r="L955" s="1">
        <f t="shared" ca="1" si="43"/>
        <v>68</v>
      </c>
      <c r="M955" t="str">
        <f t="shared" si="44"/>
        <v>46+</v>
      </c>
    </row>
    <row r="956" spans="1:13" x14ac:dyDescent="0.2">
      <c r="A956" t="s">
        <v>1919</v>
      </c>
      <c r="B956" t="s">
        <v>1920</v>
      </c>
      <c r="C956">
        <v>56</v>
      </c>
      <c r="D956" t="s">
        <v>12</v>
      </c>
      <c r="E956" t="s">
        <v>17</v>
      </c>
      <c r="F956" s="1">
        <v>45612</v>
      </c>
      <c r="G956" s="1">
        <v>46096</v>
      </c>
      <c r="H956">
        <v>25</v>
      </c>
      <c r="I956">
        <v>1</v>
      </c>
      <c r="J956">
        <v>0</v>
      </c>
      <c r="K956" t="str">
        <f t="shared" si="42"/>
        <v>Nov-2024</v>
      </c>
      <c r="L956" s="1">
        <f t="shared" ca="1" si="43"/>
        <v>62</v>
      </c>
      <c r="M956" t="str">
        <f t="shared" si="44"/>
        <v>46+</v>
      </c>
    </row>
    <row r="957" spans="1:13" x14ac:dyDescent="0.2">
      <c r="A957" t="s">
        <v>1921</v>
      </c>
      <c r="B957" t="s">
        <v>1922</v>
      </c>
      <c r="C957">
        <v>30</v>
      </c>
      <c r="D957" t="s">
        <v>12</v>
      </c>
      <c r="E957" t="s">
        <v>21</v>
      </c>
      <c r="F957" s="1">
        <v>46055</v>
      </c>
      <c r="G957" s="1">
        <v>46088</v>
      </c>
      <c r="H957">
        <v>70</v>
      </c>
      <c r="I957">
        <v>1</v>
      </c>
      <c r="J957">
        <v>1</v>
      </c>
      <c r="K957" t="str">
        <f t="shared" si="42"/>
        <v>Feb-2026</v>
      </c>
      <c r="L957" s="1">
        <f t="shared" ca="1" si="43"/>
        <v>70</v>
      </c>
      <c r="M957" t="str">
        <f t="shared" si="44"/>
        <v>26-35</v>
      </c>
    </row>
    <row r="958" spans="1:13" x14ac:dyDescent="0.2">
      <c r="A958" t="s">
        <v>1923</v>
      </c>
      <c r="B958" t="s">
        <v>1924</v>
      </c>
      <c r="C958">
        <v>23</v>
      </c>
      <c r="D958" t="s">
        <v>12</v>
      </c>
      <c r="E958" t="s">
        <v>13</v>
      </c>
      <c r="F958" s="1">
        <v>45439</v>
      </c>
      <c r="G958" s="1">
        <v>46045</v>
      </c>
      <c r="H958">
        <v>9</v>
      </c>
      <c r="I958">
        <v>4</v>
      </c>
      <c r="J958">
        <v>1</v>
      </c>
      <c r="K958" t="str">
        <f t="shared" si="42"/>
        <v>May-2024</v>
      </c>
      <c r="L958" s="1">
        <f t="shared" ca="1" si="43"/>
        <v>113</v>
      </c>
      <c r="M958" t="str">
        <f t="shared" si="44"/>
        <v>18-25</v>
      </c>
    </row>
    <row r="959" spans="1:13" x14ac:dyDescent="0.2">
      <c r="A959" t="s">
        <v>1925</v>
      </c>
      <c r="B959" t="s">
        <v>792</v>
      </c>
      <c r="C959">
        <v>43</v>
      </c>
      <c r="D959" t="s">
        <v>12</v>
      </c>
      <c r="E959" t="s">
        <v>17</v>
      </c>
      <c r="F959" s="1">
        <v>45172</v>
      </c>
      <c r="G959" s="1">
        <v>46060</v>
      </c>
      <c r="H959">
        <v>31</v>
      </c>
      <c r="I959">
        <v>10</v>
      </c>
      <c r="J959">
        <v>1</v>
      </c>
      <c r="K959" t="str">
        <f t="shared" si="42"/>
        <v>Sep-2023</v>
      </c>
      <c r="L959" s="1">
        <f t="shared" ca="1" si="43"/>
        <v>98</v>
      </c>
      <c r="M959" t="str">
        <f t="shared" si="44"/>
        <v>36-45</v>
      </c>
    </row>
    <row r="960" spans="1:13" x14ac:dyDescent="0.2">
      <c r="A960" t="s">
        <v>1926</v>
      </c>
      <c r="B960" t="s">
        <v>1927</v>
      </c>
      <c r="C960">
        <v>46</v>
      </c>
      <c r="D960" t="s">
        <v>12</v>
      </c>
      <c r="E960" t="s">
        <v>17</v>
      </c>
      <c r="F960" s="1">
        <v>45672</v>
      </c>
      <c r="G960" s="1">
        <v>46066</v>
      </c>
      <c r="H960">
        <v>57</v>
      </c>
      <c r="I960">
        <v>6</v>
      </c>
      <c r="J960">
        <v>1</v>
      </c>
      <c r="K960" t="str">
        <f t="shared" si="42"/>
        <v>Jan-2025</v>
      </c>
      <c r="L960" s="1">
        <f t="shared" ca="1" si="43"/>
        <v>92</v>
      </c>
      <c r="M960" t="str">
        <f t="shared" si="44"/>
        <v>46+</v>
      </c>
    </row>
    <row r="961" spans="1:13" x14ac:dyDescent="0.2">
      <c r="A961" t="s">
        <v>1928</v>
      </c>
      <c r="B961" t="s">
        <v>1929</v>
      </c>
      <c r="C961">
        <v>60</v>
      </c>
      <c r="D961" t="s">
        <v>16</v>
      </c>
      <c r="E961" t="s">
        <v>21</v>
      </c>
      <c r="F961" s="1">
        <v>45270</v>
      </c>
      <c r="G961" s="1">
        <v>46107</v>
      </c>
      <c r="H961">
        <v>60</v>
      </c>
      <c r="I961">
        <v>10</v>
      </c>
      <c r="J961">
        <v>1</v>
      </c>
      <c r="K961" t="str">
        <f t="shared" si="42"/>
        <v>Dec-2023</v>
      </c>
      <c r="L961" s="1">
        <f t="shared" ca="1" si="43"/>
        <v>51</v>
      </c>
      <c r="M961" t="str">
        <f t="shared" si="44"/>
        <v>46+</v>
      </c>
    </row>
    <row r="962" spans="1:13" x14ac:dyDescent="0.2">
      <c r="A962" t="s">
        <v>1930</v>
      </c>
      <c r="B962" t="s">
        <v>1931</v>
      </c>
      <c r="C962">
        <v>38</v>
      </c>
      <c r="D962" t="s">
        <v>12</v>
      </c>
      <c r="E962" t="s">
        <v>17</v>
      </c>
      <c r="F962" s="1">
        <v>45183</v>
      </c>
      <c r="G962" s="1">
        <v>46060</v>
      </c>
      <c r="H962">
        <v>7</v>
      </c>
      <c r="I962">
        <v>1</v>
      </c>
      <c r="J962">
        <v>1</v>
      </c>
      <c r="K962" t="str">
        <f t="shared" si="42"/>
        <v>Sep-2023</v>
      </c>
      <c r="L962" s="1">
        <f t="shared" ca="1" si="43"/>
        <v>98</v>
      </c>
      <c r="M962" t="str">
        <f t="shared" si="44"/>
        <v>36-45</v>
      </c>
    </row>
    <row r="963" spans="1:13" x14ac:dyDescent="0.2">
      <c r="A963" t="s">
        <v>1932</v>
      </c>
      <c r="B963" t="s">
        <v>1933</v>
      </c>
      <c r="C963">
        <v>40</v>
      </c>
      <c r="D963" t="s">
        <v>20</v>
      </c>
      <c r="E963" t="s">
        <v>21</v>
      </c>
      <c r="F963" s="1">
        <v>45598</v>
      </c>
      <c r="G963" s="1">
        <v>46077</v>
      </c>
      <c r="H963">
        <v>43</v>
      </c>
      <c r="I963">
        <v>9</v>
      </c>
      <c r="J963">
        <v>1</v>
      </c>
      <c r="K963" t="str">
        <f t="shared" ref="K963:K1026" si="45">TEXT(F963,"MMM-YYYY")</f>
        <v>Nov-2024</v>
      </c>
      <c r="L963" s="1">
        <f t="shared" ref="L963:L1026" ca="1" si="46">TODAY()-G963</f>
        <v>81</v>
      </c>
      <c r="M963" t="str">
        <f t="shared" ref="M963:M1026" si="47">IF(C963&lt;=25,"18-25",IF(C963&lt;=35,"26-35",IF(C963&lt;=45,"36-45","46+")))</f>
        <v>36-45</v>
      </c>
    </row>
    <row r="964" spans="1:13" x14ac:dyDescent="0.2">
      <c r="A964" t="s">
        <v>1934</v>
      </c>
      <c r="B964" t="s">
        <v>1935</v>
      </c>
      <c r="C964">
        <v>35</v>
      </c>
      <c r="D964" t="s">
        <v>12</v>
      </c>
      <c r="E964" t="s">
        <v>17</v>
      </c>
      <c r="F964" s="1">
        <v>45974</v>
      </c>
      <c r="G964" s="1">
        <v>46069</v>
      </c>
      <c r="H964">
        <v>43</v>
      </c>
      <c r="I964">
        <v>6</v>
      </c>
      <c r="J964">
        <v>0</v>
      </c>
      <c r="K964" t="str">
        <f t="shared" si="45"/>
        <v>Nov-2025</v>
      </c>
      <c r="L964" s="1">
        <f t="shared" ca="1" si="46"/>
        <v>89</v>
      </c>
      <c r="M964" t="str">
        <f t="shared" si="47"/>
        <v>26-35</v>
      </c>
    </row>
    <row r="965" spans="1:13" x14ac:dyDescent="0.2">
      <c r="A965" t="s">
        <v>1936</v>
      </c>
      <c r="B965" t="s">
        <v>1937</v>
      </c>
      <c r="C965">
        <v>47</v>
      </c>
      <c r="D965" t="s">
        <v>20</v>
      </c>
      <c r="E965" t="s">
        <v>21</v>
      </c>
      <c r="F965" s="1">
        <v>45861</v>
      </c>
      <c r="G965" s="1">
        <v>46061</v>
      </c>
      <c r="H965">
        <v>37</v>
      </c>
      <c r="I965">
        <v>10</v>
      </c>
      <c r="J965">
        <v>1</v>
      </c>
      <c r="K965" t="str">
        <f t="shared" si="45"/>
        <v>Jul-2025</v>
      </c>
      <c r="L965" s="1">
        <f t="shared" ca="1" si="46"/>
        <v>97</v>
      </c>
      <c r="M965" t="str">
        <f t="shared" si="47"/>
        <v>46+</v>
      </c>
    </row>
    <row r="966" spans="1:13" x14ac:dyDescent="0.2">
      <c r="A966" t="s">
        <v>1938</v>
      </c>
      <c r="B966" t="s">
        <v>1939</v>
      </c>
      <c r="C966">
        <v>47</v>
      </c>
      <c r="D966" t="s">
        <v>16</v>
      </c>
      <c r="E966" t="s">
        <v>21</v>
      </c>
      <c r="F966" s="1">
        <v>45456</v>
      </c>
      <c r="G966" s="1">
        <v>46089</v>
      </c>
      <c r="H966">
        <v>77</v>
      </c>
      <c r="I966">
        <v>4</v>
      </c>
      <c r="J966">
        <v>1</v>
      </c>
      <c r="K966" t="str">
        <f t="shared" si="45"/>
        <v>Jun-2024</v>
      </c>
      <c r="L966" s="1">
        <f t="shared" ca="1" si="46"/>
        <v>69</v>
      </c>
      <c r="M966" t="str">
        <f t="shared" si="47"/>
        <v>46+</v>
      </c>
    </row>
    <row r="967" spans="1:13" x14ac:dyDescent="0.2">
      <c r="A967" t="s">
        <v>1940</v>
      </c>
      <c r="B967" t="s">
        <v>1941</v>
      </c>
      <c r="C967">
        <v>47</v>
      </c>
      <c r="D967" t="s">
        <v>16</v>
      </c>
      <c r="E967" t="s">
        <v>17</v>
      </c>
      <c r="F967" s="1">
        <v>45465</v>
      </c>
      <c r="G967" s="1">
        <v>46078</v>
      </c>
      <c r="H967">
        <v>43</v>
      </c>
      <c r="I967">
        <v>5</v>
      </c>
      <c r="J967">
        <v>0</v>
      </c>
      <c r="K967" t="str">
        <f t="shared" si="45"/>
        <v>Jun-2024</v>
      </c>
      <c r="L967" s="1">
        <f t="shared" ca="1" si="46"/>
        <v>80</v>
      </c>
      <c r="M967" t="str">
        <f t="shared" si="47"/>
        <v>46+</v>
      </c>
    </row>
    <row r="968" spans="1:13" x14ac:dyDescent="0.2">
      <c r="A968" t="s">
        <v>1942</v>
      </c>
      <c r="B968" t="s">
        <v>1943</v>
      </c>
      <c r="C968">
        <v>39</v>
      </c>
      <c r="D968" t="s">
        <v>12</v>
      </c>
      <c r="E968" t="s">
        <v>21</v>
      </c>
      <c r="F968" s="1">
        <v>45251</v>
      </c>
      <c r="G968" s="1">
        <v>46146</v>
      </c>
      <c r="H968">
        <v>57</v>
      </c>
      <c r="I968">
        <v>9</v>
      </c>
      <c r="J968">
        <v>0</v>
      </c>
      <c r="K968" t="str">
        <f t="shared" si="45"/>
        <v>Nov-2023</v>
      </c>
      <c r="L968" s="1">
        <f t="shared" ca="1" si="46"/>
        <v>12</v>
      </c>
      <c r="M968" t="str">
        <f t="shared" si="47"/>
        <v>36-45</v>
      </c>
    </row>
    <row r="969" spans="1:13" x14ac:dyDescent="0.2">
      <c r="A969" t="s">
        <v>1944</v>
      </c>
      <c r="B969" t="s">
        <v>1945</v>
      </c>
      <c r="C969">
        <v>37</v>
      </c>
      <c r="D969" t="s">
        <v>20</v>
      </c>
      <c r="E969" t="s">
        <v>17</v>
      </c>
      <c r="F969" s="1">
        <v>45261</v>
      </c>
      <c r="G969" s="1">
        <v>46095</v>
      </c>
      <c r="H969">
        <v>43</v>
      </c>
      <c r="I969">
        <v>8</v>
      </c>
      <c r="J969">
        <v>0</v>
      </c>
      <c r="K969" t="str">
        <f t="shared" si="45"/>
        <v>Dec-2023</v>
      </c>
      <c r="L969" s="1">
        <f t="shared" ca="1" si="46"/>
        <v>63</v>
      </c>
      <c r="M969" t="str">
        <f t="shared" si="47"/>
        <v>36-45</v>
      </c>
    </row>
    <row r="970" spans="1:13" x14ac:dyDescent="0.2">
      <c r="A970" t="s">
        <v>1946</v>
      </c>
      <c r="B970" t="s">
        <v>1947</v>
      </c>
      <c r="C970">
        <v>23</v>
      </c>
      <c r="D970" t="s">
        <v>12</v>
      </c>
      <c r="E970" t="s">
        <v>21</v>
      </c>
      <c r="F970" s="1">
        <v>46052</v>
      </c>
      <c r="G970" s="1">
        <v>46136</v>
      </c>
      <c r="H970">
        <v>39</v>
      </c>
      <c r="I970">
        <v>6</v>
      </c>
      <c r="J970">
        <v>1</v>
      </c>
      <c r="K970" t="str">
        <f t="shared" si="45"/>
        <v>Jan-2026</v>
      </c>
      <c r="L970" s="1">
        <f t="shared" ca="1" si="46"/>
        <v>22</v>
      </c>
      <c r="M970" t="str">
        <f t="shared" si="47"/>
        <v>18-25</v>
      </c>
    </row>
    <row r="971" spans="1:13" x14ac:dyDescent="0.2">
      <c r="A971" t="s">
        <v>1948</v>
      </c>
      <c r="B971" t="s">
        <v>1949</v>
      </c>
      <c r="C971">
        <v>48</v>
      </c>
      <c r="D971" t="s">
        <v>12</v>
      </c>
      <c r="E971" t="s">
        <v>21</v>
      </c>
      <c r="F971" s="1">
        <v>46105</v>
      </c>
      <c r="G971" s="1">
        <v>46081</v>
      </c>
      <c r="H971">
        <v>60</v>
      </c>
      <c r="I971">
        <v>3</v>
      </c>
      <c r="J971">
        <v>1</v>
      </c>
      <c r="K971" t="str">
        <f t="shared" si="45"/>
        <v>Mar-2026</v>
      </c>
      <c r="L971" s="1">
        <f t="shared" ca="1" si="46"/>
        <v>77</v>
      </c>
      <c r="M971" t="str">
        <f t="shared" si="47"/>
        <v>46+</v>
      </c>
    </row>
    <row r="972" spans="1:13" x14ac:dyDescent="0.2">
      <c r="A972" t="s">
        <v>1950</v>
      </c>
      <c r="B972" t="s">
        <v>1951</v>
      </c>
      <c r="C972">
        <v>46</v>
      </c>
      <c r="D972" t="s">
        <v>20</v>
      </c>
      <c r="E972" t="s">
        <v>21</v>
      </c>
      <c r="F972" s="1">
        <v>45374</v>
      </c>
      <c r="G972" s="1">
        <v>46120</v>
      </c>
      <c r="H972">
        <v>58</v>
      </c>
      <c r="I972">
        <v>2</v>
      </c>
      <c r="J972">
        <v>0</v>
      </c>
      <c r="K972" t="str">
        <f t="shared" si="45"/>
        <v>Mar-2024</v>
      </c>
      <c r="L972" s="1">
        <f t="shared" ca="1" si="46"/>
        <v>38</v>
      </c>
      <c r="M972" t="str">
        <f t="shared" si="47"/>
        <v>46+</v>
      </c>
    </row>
    <row r="973" spans="1:13" x14ac:dyDescent="0.2">
      <c r="A973" t="s">
        <v>1952</v>
      </c>
      <c r="B973" t="s">
        <v>1953</v>
      </c>
      <c r="C973">
        <v>33</v>
      </c>
      <c r="D973" t="s">
        <v>20</v>
      </c>
      <c r="E973" t="s">
        <v>17</v>
      </c>
      <c r="F973" s="1">
        <v>45567</v>
      </c>
      <c r="G973" s="1">
        <v>46125</v>
      </c>
      <c r="H973">
        <v>2</v>
      </c>
      <c r="I973">
        <v>8</v>
      </c>
      <c r="J973">
        <v>1</v>
      </c>
      <c r="K973" t="str">
        <f t="shared" si="45"/>
        <v>Oct-2024</v>
      </c>
      <c r="L973" s="1">
        <f t="shared" ca="1" si="46"/>
        <v>33</v>
      </c>
      <c r="M973" t="str">
        <f t="shared" si="47"/>
        <v>26-35</v>
      </c>
    </row>
    <row r="974" spans="1:13" x14ac:dyDescent="0.2">
      <c r="A974" t="s">
        <v>1954</v>
      </c>
      <c r="B974" t="s">
        <v>1955</v>
      </c>
      <c r="C974">
        <v>32</v>
      </c>
      <c r="D974" t="s">
        <v>16</v>
      </c>
      <c r="E974" t="s">
        <v>17</v>
      </c>
      <c r="F974" s="1">
        <v>45324</v>
      </c>
      <c r="G974" s="1">
        <v>46096</v>
      </c>
      <c r="H974">
        <v>36</v>
      </c>
      <c r="I974">
        <v>8</v>
      </c>
      <c r="J974">
        <v>0</v>
      </c>
      <c r="K974" t="str">
        <f t="shared" si="45"/>
        <v>Feb-2024</v>
      </c>
      <c r="L974" s="1">
        <f t="shared" ca="1" si="46"/>
        <v>62</v>
      </c>
      <c r="M974" t="str">
        <f t="shared" si="47"/>
        <v>26-35</v>
      </c>
    </row>
    <row r="975" spans="1:13" x14ac:dyDescent="0.2">
      <c r="A975" t="s">
        <v>1956</v>
      </c>
      <c r="B975" t="s">
        <v>1957</v>
      </c>
      <c r="C975">
        <v>36</v>
      </c>
      <c r="D975" t="s">
        <v>12</v>
      </c>
      <c r="E975" t="s">
        <v>21</v>
      </c>
      <c r="F975" s="1">
        <v>45735</v>
      </c>
      <c r="G975" s="1">
        <v>46076</v>
      </c>
      <c r="H975">
        <v>43</v>
      </c>
      <c r="I975">
        <v>6</v>
      </c>
      <c r="J975">
        <v>0</v>
      </c>
      <c r="K975" t="str">
        <f t="shared" si="45"/>
        <v>Mar-2025</v>
      </c>
      <c r="L975" s="1">
        <f t="shared" ca="1" si="46"/>
        <v>82</v>
      </c>
      <c r="M975" t="str">
        <f t="shared" si="47"/>
        <v>36-45</v>
      </c>
    </row>
    <row r="976" spans="1:13" x14ac:dyDescent="0.2">
      <c r="A976" t="s">
        <v>1958</v>
      </c>
      <c r="B976" t="s">
        <v>1959</v>
      </c>
      <c r="C976">
        <v>46</v>
      </c>
      <c r="D976" t="s">
        <v>12</v>
      </c>
      <c r="E976" t="s">
        <v>13</v>
      </c>
      <c r="F976" s="1">
        <v>45219</v>
      </c>
      <c r="G976" s="1">
        <v>46084</v>
      </c>
      <c r="H976">
        <v>25</v>
      </c>
      <c r="I976">
        <v>10</v>
      </c>
      <c r="J976">
        <v>1</v>
      </c>
      <c r="K976" t="str">
        <f t="shared" si="45"/>
        <v>Oct-2023</v>
      </c>
      <c r="L976" s="1">
        <f t="shared" ca="1" si="46"/>
        <v>74</v>
      </c>
      <c r="M976" t="str">
        <f t="shared" si="47"/>
        <v>46+</v>
      </c>
    </row>
    <row r="977" spans="1:13" x14ac:dyDescent="0.2">
      <c r="A977" t="s">
        <v>1960</v>
      </c>
      <c r="B977" t="s">
        <v>1961</v>
      </c>
      <c r="C977">
        <v>53</v>
      </c>
      <c r="D977" t="s">
        <v>20</v>
      </c>
      <c r="E977" t="s">
        <v>21</v>
      </c>
      <c r="F977" s="1">
        <v>45558</v>
      </c>
      <c r="G977" s="1">
        <v>46127</v>
      </c>
      <c r="H977">
        <v>39</v>
      </c>
      <c r="I977">
        <v>7</v>
      </c>
      <c r="J977">
        <v>1</v>
      </c>
      <c r="K977" t="str">
        <f t="shared" si="45"/>
        <v>Sep-2024</v>
      </c>
      <c r="L977" s="1">
        <f t="shared" ca="1" si="46"/>
        <v>31</v>
      </c>
      <c r="M977" t="str">
        <f t="shared" si="47"/>
        <v>46+</v>
      </c>
    </row>
    <row r="978" spans="1:13" x14ac:dyDescent="0.2">
      <c r="A978" t="s">
        <v>1962</v>
      </c>
      <c r="B978" t="s">
        <v>1963</v>
      </c>
      <c r="C978">
        <v>33</v>
      </c>
      <c r="D978" t="s">
        <v>12</v>
      </c>
      <c r="E978" t="s">
        <v>21</v>
      </c>
      <c r="F978" s="1">
        <v>45451</v>
      </c>
      <c r="G978" s="1">
        <v>46135</v>
      </c>
      <c r="H978">
        <v>19</v>
      </c>
      <c r="I978">
        <v>2</v>
      </c>
      <c r="J978">
        <v>1</v>
      </c>
      <c r="K978" t="str">
        <f t="shared" si="45"/>
        <v>Jun-2024</v>
      </c>
      <c r="L978" s="1">
        <f t="shared" ca="1" si="46"/>
        <v>23</v>
      </c>
      <c r="M978" t="str">
        <f t="shared" si="47"/>
        <v>26-35</v>
      </c>
    </row>
    <row r="979" spans="1:13" x14ac:dyDescent="0.2">
      <c r="A979" t="s">
        <v>1964</v>
      </c>
      <c r="B979" t="s">
        <v>1965</v>
      </c>
      <c r="C979">
        <v>27</v>
      </c>
      <c r="D979" t="s">
        <v>12</v>
      </c>
      <c r="E979" t="s">
        <v>17</v>
      </c>
      <c r="F979" s="1">
        <v>45717</v>
      </c>
      <c r="G979" s="1">
        <v>46088</v>
      </c>
      <c r="H979">
        <v>0</v>
      </c>
      <c r="I979">
        <v>7</v>
      </c>
      <c r="J979">
        <v>0</v>
      </c>
      <c r="K979" t="str">
        <f t="shared" si="45"/>
        <v>Mar-2025</v>
      </c>
      <c r="L979" s="1">
        <f t="shared" ca="1" si="46"/>
        <v>70</v>
      </c>
      <c r="M979" t="str">
        <f t="shared" si="47"/>
        <v>26-35</v>
      </c>
    </row>
    <row r="980" spans="1:13" x14ac:dyDescent="0.2">
      <c r="A980" t="s">
        <v>1966</v>
      </c>
      <c r="B980" t="s">
        <v>1967</v>
      </c>
      <c r="C980">
        <v>47</v>
      </c>
      <c r="D980" t="s">
        <v>16</v>
      </c>
      <c r="E980" t="s">
        <v>13</v>
      </c>
      <c r="F980" s="1">
        <v>45438</v>
      </c>
      <c r="G980" s="1">
        <v>46095</v>
      </c>
      <c r="H980">
        <v>74</v>
      </c>
      <c r="I980">
        <v>3</v>
      </c>
      <c r="J980">
        <v>0</v>
      </c>
      <c r="K980" t="str">
        <f t="shared" si="45"/>
        <v>May-2024</v>
      </c>
      <c r="L980" s="1">
        <f t="shared" ca="1" si="46"/>
        <v>63</v>
      </c>
      <c r="M980" t="str">
        <f t="shared" si="47"/>
        <v>46+</v>
      </c>
    </row>
    <row r="981" spans="1:13" x14ac:dyDescent="0.2">
      <c r="A981" t="s">
        <v>1968</v>
      </c>
      <c r="B981" t="s">
        <v>31</v>
      </c>
      <c r="C981">
        <v>26</v>
      </c>
      <c r="D981" t="s">
        <v>16</v>
      </c>
      <c r="E981" t="s">
        <v>21</v>
      </c>
      <c r="F981" s="1">
        <v>45658</v>
      </c>
      <c r="G981" s="1">
        <v>46048</v>
      </c>
      <c r="H981">
        <v>51</v>
      </c>
      <c r="I981">
        <v>3</v>
      </c>
      <c r="J981">
        <v>1</v>
      </c>
      <c r="K981" t="str">
        <f t="shared" si="45"/>
        <v>Jan-2025</v>
      </c>
      <c r="L981" s="1">
        <f t="shared" ca="1" si="46"/>
        <v>110</v>
      </c>
      <c r="M981" t="str">
        <f t="shared" si="47"/>
        <v>26-35</v>
      </c>
    </row>
    <row r="982" spans="1:13" x14ac:dyDescent="0.2">
      <c r="A982" t="s">
        <v>1969</v>
      </c>
      <c r="B982" t="s">
        <v>1970</v>
      </c>
      <c r="C982">
        <v>41</v>
      </c>
      <c r="D982" t="s">
        <v>12</v>
      </c>
      <c r="E982" t="s">
        <v>21</v>
      </c>
      <c r="F982" s="1">
        <v>45847</v>
      </c>
      <c r="G982" s="1">
        <v>46064</v>
      </c>
      <c r="H982">
        <v>1</v>
      </c>
      <c r="I982">
        <v>5</v>
      </c>
      <c r="J982">
        <v>1</v>
      </c>
      <c r="K982" t="str">
        <f t="shared" si="45"/>
        <v>Jul-2025</v>
      </c>
      <c r="L982" s="1">
        <f t="shared" ca="1" si="46"/>
        <v>94</v>
      </c>
      <c r="M982" t="str">
        <f t="shared" si="47"/>
        <v>36-45</v>
      </c>
    </row>
    <row r="983" spans="1:13" x14ac:dyDescent="0.2">
      <c r="A983" t="s">
        <v>1971</v>
      </c>
      <c r="B983" t="s">
        <v>1972</v>
      </c>
      <c r="C983">
        <v>50</v>
      </c>
      <c r="D983" t="s">
        <v>16</v>
      </c>
      <c r="E983" t="s">
        <v>13</v>
      </c>
      <c r="F983" s="1">
        <v>45467</v>
      </c>
      <c r="G983" s="1">
        <v>46134</v>
      </c>
      <c r="H983">
        <v>7</v>
      </c>
      <c r="I983">
        <v>1</v>
      </c>
      <c r="J983">
        <v>1</v>
      </c>
      <c r="K983" t="str">
        <f t="shared" si="45"/>
        <v>Jun-2024</v>
      </c>
      <c r="L983" s="1">
        <f t="shared" ca="1" si="46"/>
        <v>24</v>
      </c>
      <c r="M983" t="str">
        <f t="shared" si="47"/>
        <v>46+</v>
      </c>
    </row>
    <row r="984" spans="1:13" x14ac:dyDescent="0.2">
      <c r="A984" t="s">
        <v>1973</v>
      </c>
      <c r="B984" t="s">
        <v>1974</v>
      </c>
      <c r="C984">
        <v>28</v>
      </c>
      <c r="D984" t="s">
        <v>16</v>
      </c>
      <c r="E984" t="s">
        <v>13</v>
      </c>
      <c r="F984" s="1">
        <v>45730</v>
      </c>
      <c r="G984" s="1">
        <v>46116</v>
      </c>
      <c r="H984">
        <v>1</v>
      </c>
      <c r="I984">
        <v>1</v>
      </c>
      <c r="J984">
        <v>1</v>
      </c>
      <c r="K984" t="str">
        <f t="shared" si="45"/>
        <v>Mar-2025</v>
      </c>
      <c r="L984" s="1">
        <f t="shared" ca="1" si="46"/>
        <v>42</v>
      </c>
      <c r="M984" t="str">
        <f t="shared" si="47"/>
        <v>26-35</v>
      </c>
    </row>
    <row r="985" spans="1:13" x14ac:dyDescent="0.2">
      <c r="A985" t="s">
        <v>1975</v>
      </c>
      <c r="B985" t="s">
        <v>1976</v>
      </c>
      <c r="C985">
        <v>20</v>
      </c>
      <c r="D985" t="s">
        <v>20</v>
      </c>
      <c r="E985" t="s">
        <v>21</v>
      </c>
      <c r="F985" s="1">
        <v>45902</v>
      </c>
      <c r="G985" s="1">
        <v>46145</v>
      </c>
      <c r="H985">
        <v>69</v>
      </c>
      <c r="I985">
        <v>9</v>
      </c>
      <c r="J985">
        <v>1</v>
      </c>
      <c r="K985" t="str">
        <f t="shared" si="45"/>
        <v>Sep-2025</v>
      </c>
      <c r="L985" s="1">
        <f t="shared" ca="1" si="46"/>
        <v>13</v>
      </c>
      <c r="M985" t="str">
        <f t="shared" si="47"/>
        <v>18-25</v>
      </c>
    </row>
    <row r="986" spans="1:13" x14ac:dyDescent="0.2">
      <c r="A986" t="s">
        <v>1977</v>
      </c>
      <c r="B986" t="s">
        <v>1978</v>
      </c>
      <c r="C986">
        <v>42</v>
      </c>
      <c r="D986" t="s">
        <v>12</v>
      </c>
      <c r="E986" t="s">
        <v>17</v>
      </c>
      <c r="F986" s="1">
        <v>45315</v>
      </c>
      <c r="G986" s="1">
        <v>46077</v>
      </c>
      <c r="H986">
        <v>39</v>
      </c>
      <c r="I986">
        <v>7</v>
      </c>
      <c r="J986">
        <v>0</v>
      </c>
      <c r="K986" t="str">
        <f t="shared" si="45"/>
        <v>Jan-2024</v>
      </c>
      <c r="L986" s="1">
        <f t="shared" ca="1" si="46"/>
        <v>81</v>
      </c>
      <c r="M986" t="str">
        <f t="shared" si="47"/>
        <v>36-45</v>
      </c>
    </row>
    <row r="987" spans="1:13" x14ac:dyDescent="0.2">
      <c r="A987" t="s">
        <v>1979</v>
      </c>
      <c r="B987" t="s">
        <v>1980</v>
      </c>
      <c r="C987">
        <v>18</v>
      </c>
      <c r="D987" t="s">
        <v>12</v>
      </c>
      <c r="E987" t="s">
        <v>21</v>
      </c>
      <c r="F987" s="1">
        <v>45177</v>
      </c>
      <c r="G987" s="1">
        <v>46053</v>
      </c>
      <c r="H987">
        <v>42</v>
      </c>
      <c r="I987">
        <v>6</v>
      </c>
      <c r="J987">
        <v>1</v>
      </c>
      <c r="K987" t="str">
        <f t="shared" si="45"/>
        <v>Sep-2023</v>
      </c>
      <c r="L987" s="1">
        <f t="shared" ca="1" si="46"/>
        <v>105</v>
      </c>
      <c r="M987" t="str">
        <f t="shared" si="47"/>
        <v>18-25</v>
      </c>
    </row>
    <row r="988" spans="1:13" x14ac:dyDescent="0.2">
      <c r="A988" t="s">
        <v>1981</v>
      </c>
      <c r="B988" t="s">
        <v>1982</v>
      </c>
      <c r="C988">
        <v>37</v>
      </c>
      <c r="D988" t="s">
        <v>20</v>
      </c>
      <c r="E988" t="s">
        <v>21</v>
      </c>
      <c r="F988" s="1">
        <v>45606</v>
      </c>
      <c r="G988" s="1">
        <v>46102</v>
      </c>
      <c r="H988">
        <v>35</v>
      </c>
      <c r="I988">
        <v>2</v>
      </c>
      <c r="J988">
        <v>1</v>
      </c>
      <c r="K988" t="str">
        <f t="shared" si="45"/>
        <v>Nov-2024</v>
      </c>
      <c r="L988" s="1">
        <f t="shared" ca="1" si="46"/>
        <v>56</v>
      </c>
      <c r="M988" t="str">
        <f t="shared" si="47"/>
        <v>36-45</v>
      </c>
    </row>
    <row r="989" spans="1:13" x14ac:dyDescent="0.2">
      <c r="A989" t="s">
        <v>1983</v>
      </c>
      <c r="B989" t="s">
        <v>1984</v>
      </c>
      <c r="C989">
        <v>51</v>
      </c>
      <c r="D989" t="s">
        <v>20</v>
      </c>
      <c r="E989" t="s">
        <v>13</v>
      </c>
      <c r="F989" s="1">
        <v>46000</v>
      </c>
      <c r="G989" s="1">
        <v>46125</v>
      </c>
      <c r="H989">
        <v>8</v>
      </c>
      <c r="I989">
        <v>7</v>
      </c>
      <c r="J989">
        <v>0</v>
      </c>
      <c r="K989" t="str">
        <f t="shared" si="45"/>
        <v>Dec-2025</v>
      </c>
      <c r="L989" s="1">
        <f t="shared" ca="1" si="46"/>
        <v>33</v>
      </c>
      <c r="M989" t="str">
        <f t="shared" si="47"/>
        <v>46+</v>
      </c>
    </row>
    <row r="990" spans="1:13" x14ac:dyDescent="0.2">
      <c r="A990" t="s">
        <v>1985</v>
      </c>
      <c r="B990" t="s">
        <v>1986</v>
      </c>
      <c r="C990">
        <v>57</v>
      </c>
      <c r="D990" t="s">
        <v>16</v>
      </c>
      <c r="E990" t="s">
        <v>17</v>
      </c>
      <c r="F990" s="1">
        <v>45331</v>
      </c>
      <c r="G990" s="1">
        <v>46137</v>
      </c>
      <c r="H990">
        <v>22</v>
      </c>
      <c r="I990">
        <v>2</v>
      </c>
      <c r="J990">
        <v>0</v>
      </c>
      <c r="K990" t="str">
        <f t="shared" si="45"/>
        <v>Feb-2024</v>
      </c>
      <c r="L990" s="1">
        <f t="shared" ca="1" si="46"/>
        <v>21</v>
      </c>
      <c r="M990" t="str">
        <f t="shared" si="47"/>
        <v>46+</v>
      </c>
    </row>
    <row r="991" spans="1:13" x14ac:dyDescent="0.2">
      <c r="A991" t="s">
        <v>1987</v>
      </c>
      <c r="B991" t="s">
        <v>1988</v>
      </c>
      <c r="C991">
        <v>51</v>
      </c>
      <c r="D991" t="s">
        <v>16</v>
      </c>
      <c r="E991" t="s">
        <v>13</v>
      </c>
      <c r="F991" s="1">
        <v>45984</v>
      </c>
      <c r="G991" s="1">
        <v>46043</v>
      </c>
      <c r="H991">
        <v>10</v>
      </c>
      <c r="I991">
        <v>7</v>
      </c>
      <c r="J991">
        <v>0</v>
      </c>
      <c r="K991" t="str">
        <f t="shared" si="45"/>
        <v>Nov-2025</v>
      </c>
      <c r="L991" s="1">
        <f t="shared" ca="1" si="46"/>
        <v>115</v>
      </c>
      <c r="M991" t="str">
        <f t="shared" si="47"/>
        <v>46+</v>
      </c>
    </row>
    <row r="992" spans="1:13" x14ac:dyDescent="0.2">
      <c r="A992" t="s">
        <v>1989</v>
      </c>
      <c r="B992" t="s">
        <v>1990</v>
      </c>
      <c r="C992">
        <v>42</v>
      </c>
      <c r="D992" t="s">
        <v>16</v>
      </c>
      <c r="E992" t="s">
        <v>17</v>
      </c>
      <c r="F992" s="1">
        <v>46116</v>
      </c>
      <c r="G992" s="1">
        <v>46068</v>
      </c>
      <c r="H992">
        <v>30</v>
      </c>
      <c r="I992">
        <v>2</v>
      </c>
      <c r="J992">
        <v>1</v>
      </c>
      <c r="K992" t="str">
        <f t="shared" si="45"/>
        <v>Apr-2026</v>
      </c>
      <c r="L992" s="1">
        <f t="shared" ca="1" si="46"/>
        <v>90</v>
      </c>
      <c r="M992" t="str">
        <f t="shared" si="47"/>
        <v>36-45</v>
      </c>
    </row>
    <row r="993" spans="1:13" x14ac:dyDescent="0.2">
      <c r="A993" t="s">
        <v>1991</v>
      </c>
      <c r="B993" t="s">
        <v>1188</v>
      </c>
      <c r="C993">
        <v>23</v>
      </c>
      <c r="D993" t="s">
        <v>20</v>
      </c>
      <c r="E993" t="s">
        <v>17</v>
      </c>
      <c r="F993" s="1">
        <v>45761</v>
      </c>
      <c r="G993" s="1">
        <v>46069</v>
      </c>
      <c r="H993">
        <v>77</v>
      </c>
      <c r="I993">
        <v>4</v>
      </c>
      <c r="J993">
        <v>0</v>
      </c>
      <c r="K993" t="str">
        <f t="shared" si="45"/>
        <v>Apr-2025</v>
      </c>
      <c r="L993" s="1">
        <f t="shared" ca="1" si="46"/>
        <v>89</v>
      </c>
      <c r="M993" t="str">
        <f t="shared" si="47"/>
        <v>18-25</v>
      </c>
    </row>
    <row r="994" spans="1:13" x14ac:dyDescent="0.2">
      <c r="A994" t="s">
        <v>1992</v>
      </c>
      <c r="B994" t="s">
        <v>1993</v>
      </c>
      <c r="C994">
        <v>47</v>
      </c>
      <c r="D994" t="s">
        <v>16</v>
      </c>
      <c r="E994" t="s">
        <v>21</v>
      </c>
      <c r="F994" s="1">
        <v>45570</v>
      </c>
      <c r="G994" s="1">
        <v>46127</v>
      </c>
      <c r="H994">
        <v>70</v>
      </c>
      <c r="I994">
        <v>9</v>
      </c>
      <c r="J994">
        <v>0</v>
      </c>
      <c r="K994" t="str">
        <f t="shared" si="45"/>
        <v>Oct-2024</v>
      </c>
      <c r="L994" s="1">
        <f t="shared" ca="1" si="46"/>
        <v>31</v>
      </c>
      <c r="M994" t="str">
        <f t="shared" si="47"/>
        <v>46+</v>
      </c>
    </row>
    <row r="995" spans="1:13" x14ac:dyDescent="0.2">
      <c r="A995" t="s">
        <v>1994</v>
      </c>
      <c r="B995" t="s">
        <v>1995</v>
      </c>
      <c r="C995">
        <v>46</v>
      </c>
      <c r="D995" t="s">
        <v>12</v>
      </c>
      <c r="E995" t="s">
        <v>21</v>
      </c>
      <c r="F995" s="1">
        <v>46048</v>
      </c>
      <c r="G995" s="1">
        <v>46115</v>
      </c>
      <c r="H995">
        <v>38</v>
      </c>
      <c r="I995">
        <v>3</v>
      </c>
      <c r="J995">
        <v>0</v>
      </c>
      <c r="K995" t="str">
        <f t="shared" si="45"/>
        <v>Jan-2026</v>
      </c>
      <c r="L995" s="1">
        <f t="shared" ca="1" si="46"/>
        <v>43</v>
      </c>
      <c r="M995" t="str">
        <f t="shared" si="47"/>
        <v>46+</v>
      </c>
    </row>
    <row r="996" spans="1:13" x14ac:dyDescent="0.2">
      <c r="A996" t="s">
        <v>1996</v>
      </c>
      <c r="B996" t="s">
        <v>1997</v>
      </c>
      <c r="C996">
        <v>44</v>
      </c>
      <c r="D996" t="s">
        <v>16</v>
      </c>
      <c r="E996" t="s">
        <v>17</v>
      </c>
      <c r="F996" s="1">
        <v>45614</v>
      </c>
      <c r="G996" s="1">
        <v>46059</v>
      </c>
      <c r="H996">
        <v>67</v>
      </c>
      <c r="I996">
        <v>8</v>
      </c>
      <c r="J996">
        <v>0</v>
      </c>
      <c r="K996" t="str">
        <f t="shared" si="45"/>
        <v>Nov-2024</v>
      </c>
      <c r="L996" s="1">
        <f t="shared" ca="1" si="46"/>
        <v>99</v>
      </c>
      <c r="M996" t="str">
        <f t="shared" si="47"/>
        <v>36-45</v>
      </c>
    </row>
    <row r="997" spans="1:13" x14ac:dyDescent="0.2">
      <c r="A997" t="s">
        <v>1998</v>
      </c>
      <c r="B997" t="s">
        <v>1999</v>
      </c>
      <c r="C997">
        <v>26</v>
      </c>
      <c r="D997" t="s">
        <v>12</v>
      </c>
      <c r="E997" t="s">
        <v>17</v>
      </c>
      <c r="F997" s="1">
        <v>45514</v>
      </c>
      <c r="G997" s="1">
        <v>46091</v>
      </c>
      <c r="H997">
        <v>62</v>
      </c>
      <c r="I997">
        <v>1</v>
      </c>
      <c r="J997">
        <v>1</v>
      </c>
      <c r="K997" t="str">
        <f t="shared" si="45"/>
        <v>Aug-2024</v>
      </c>
      <c r="L997" s="1">
        <f t="shared" ca="1" si="46"/>
        <v>67</v>
      </c>
      <c r="M997" t="str">
        <f t="shared" si="47"/>
        <v>26-35</v>
      </c>
    </row>
    <row r="998" spans="1:13" x14ac:dyDescent="0.2">
      <c r="A998" t="s">
        <v>2000</v>
      </c>
      <c r="B998" t="s">
        <v>2001</v>
      </c>
      <c r="C998">
        <v>34</v>
      </c>
      <c r="D998" t="s">
        <v>12</v>
      </c>
      <c r="E998" t="s">
        <v>21</v>
      </c>
      <c r="F998" s="1">
        <v>45169</v>
      </c>
      <c r="G998" s="1">
        <v>46070</v>
      </c>
      <c r="H998">
        <v>13</v>
      </c>
      <c r="I998">
        <v>5</v>
      </c>
      <c r="J998">
        <v>1</v>
      </c>
      <c r="K998" t="str">
        <f t="shared" si="45"/>
        <v>Aug-2023</v>
      </c>
      <c r="L998" s="1">
        <f t="shared" ca="1" si="46"/>
        <v>88</v>
      </c>
      <c r="M998" t="str">
        <f t="shared" si="47"/>
        <v>26-35</v>
      </c>
    </row>
    <row r="999" spans="1:13" x14ac:dyDescent="0.2">
      <c r="A999" t="s">
        <v>2002</v>
      </c>
      <c r="B999" t="s">
        <v>2003</v>
      </c>
      <c r="C999">
        <v>39</v>
      </c>
      <c r="D999" t="s">
        <v>16</v>
      </c>
      <c r="E999" t="s">
        <v>17</v>
      </c>
      <c r="F999" s="1">
        <v>45480</v>
      </c>
      <c r="G999" s="1">
        <v>46088</v>
      </c>
      <c r="H999">
        <v>42</v>
      </c>
      <c r="I999">
        <v>2</v>
      </c>
      <c r="J999">
        <v>0</v>
      </c>
      <c r="K999" t="str">
        <f t="shared" si="45"/>
        <v>Jul-2024</v>
      </c>
      <c r="L999" s="1">
        <f t="shared" ca="1" si="46"/>
        <v>70</v>
      </c>
      <c r="M999" t="str">
        <f t="shared" si="47"/>
        <v>36-45</v>
      </c>
    </row>
    <row r="1000" spans="1:13" x14ac:dyDescent="0.2">
      <c r="A1000" t="s">
        <v>2004</v>
      </c>
      <c r="B1000" t="s">
        <v>2005</v>
      </c>
      <c r="C1000">
        <v>39</v>
      </c>
      <c r="D1000" t="s">
        <v>12</v>
      </c>
      <c r="E1000" t="s">
        <v>13</v>
      </c>
      <c r="F1000" s="1">
        <v>45562</v>
      </c>
      <c r="G1000" s="1">
        <v>46122</v>
      </c>
      <c r="H1000">
        <v>4</v>
      </c>
      <c r="I1000">
        <v>4</v>
      </c>
      <c r="J1000">
        <v>0</v>
      </c>
      <c r="K1000" t="str">
        <f t="shared" si="45"/>
        <v>Sep-2024</v>
      </c>
      <c r="L1000" s="1">
        <f t="shared" ca="1" si="46"/>
        <v>36</v>
      </c>
      <c r="M1000" t="str">
        <f t="shared" si="47"/>
        <v>36-45</v>
      </c>
    </row>
    <row r="1001" spans="1:13" x14ac:dyDescent="0.2">
      <c r="A1001" t="s">
        <v>2006</v>
      </c>
      <c r="B1001" t="s">
        <v>2007</v>
      </c>
      <c r="C1001">
        <v>40</v>
      </c>
      <c r="D1001" t="s">
        <v>16</v>
      </c>
      <c r="E1001" t="s">
        <v>21</v>
      </c>
      <c r="F1001" s="1">
        <v>45282</v>
      </c>
      <c r="G1001" s="1">
        <v>46030</v>
      </c>
      <c r="H1001">
        <v>48</v>
      </c>
      <c r="I1001">
        <v>2</v>
      </c>
      <c r="J1001">
        <v>1</v>
      </c>
      <c r="K1001" t="str">
        <f t="shared" si="45"/>
        <v>Dec-2023</v>
      </c>
      <c r="L1001" s="1">
        <f t="shared" ca="1" si="46"/>
        <v>128</v>
      </c>
      <c r="M1001" t="str">
        <f t="shared" si="47"/>
        <v>36-45</v>
      </c>
    </row>
    <row r="1002" spans="1:13" x14ac:dyDescent="0.2">
      <c r="A1002" t="s">
        <v>2008</v>
      </c>
      <c r="B1002" t="s">
        <v>2009</v>
      </c>
      <c r="C1002">
        <v>27</v>
      </c>
      <c r="D1002" t="s">
        <v>12</v>
      </c>
      <c r="E1002" t="s">
        <v>13</v>
      </c>
      <c r="F1002" s="1">
        <v>45419</v>
      </c>
      <c r="G1002" s="1">
        <v>46145</v>
      </c>
      <c r="H1002">
        <v>70</v>
      </c>
      <c r="I1002">
        <v>7</v>
      </c>
      <c r="J1002">
        <v>0</v>
      </c>
      <c r="K1002" t="str">
        <f t="shared" si="45"/>
        <v>May-2024</v>
      </c>
      <c r="L1002" s="1">
        <f t="shared" ca="1" si="46"/>
        <v>13</v>
      </c>
      <c r="M1002" t="str">
        <f t="shared" si="47"/>
        <v>26-35</v>
      </c>
    </row>
    <row r="1003" spans="1:13" x14ac:dyDescent="0.2">
      <c r="A1003" t="s">
        <v>2010</v>
      </c>
      <c r="B1003" t="s">
        <v>2011</v>
      </c>
      <c r="C1003">
        <v>58</v>
      </c>
      <c r="D1003" t="s">
        <v>20</v>
      </c>
      <c r="E1003" t="s">
        <v>17</v>
      </c>
      <c r="F1003" s="1">
        <v>45797</v>
      </c>
      <c r="G1003" s="1">
        <v>46062</v>
      </c>
      <c r="H1003">
        <v>66</v>
      </c>
      <c r="I1003">
        <v>2</v>
      </c>
      <c r="J1003">
        <v>1</v>
      </c>
      <c r="K1003" t="str">
        <f t="shared" si="45"/>
        <v>May-2025</v>
      </c>
      <c r="L1003" s="1">
        <f t="shared" ca="1" si="46"/>
        <v>96</v>
      </c>
      <c r="M1003" t="str">
        <f t="shared" si="47"/>
        <v>46+</v>
      </c>
    </row>
    <row r="1004" spans="1:13" x14ac:dyDescent="0.2">
      <c r="A1004" t="s">
        <v>2012</v>
      </c>
      <c r="B1004" t="s">
        <v>2013</v>
      </c>
      <c r="C1004">
        <v>28</v>
      </c>
      <c r="D1004" t="s">
        <v>16</v>
      </c>
      <c r="E1004" t="s">
        <v>17</v>
      </c>
      <c r="F1004" s="1">
        <v>45399</v>
      </c>
      <c r="G1004" s="1">
        <v>46072</v>
      </c>
      <c r="H1004">
        <v>40</v>
      </c>
      <c r="I1004">
        <v>2</v>
      </c>
      <c r="J1004">
        <v>1</v>
      </c>
      <c r="K1004" t="str">
        <f t="shared" si="45"/>
        <v>Apr-2024</v>
      </c>
      <c r="L1004" s="1">
        <f t="shared" ca="1" si="46"/>
        <v>86</v>
      </c>
      <c r="M1004" t="str">
        <f t="shared" si="47"/>
        <v>26-35</v>
      </c>
    </row>
    <row r="1005" spans="1:13" x14ac:dyDescent="0.2">
      <c r="A1005" t="s">
        <v>2014</v>
      </c>
      <c r="B1005" t="s">
        <v>2015</v>
      </c>
      <c r="C1005">
        <v>23</v>
      </c>
      <c r="D1005" t="s">
        <v>12</v>
      </c>
      <c r="E1005" t="s">
        <v>17</v>
      </c>
      <c r="F1005" s="1">
        <v>45314</v>
      </c>
      <c r="G1005" s="1">
        <v>46106</v>
      </c>
      <c r="H1005">
        <v>47</v>
      </c>
      <c r="I1005">
        <v>7</v>
      </c>
      <c r="J1005">
        <v>0</v>
      </c>
      <c r="K1005" t="str">
        <f t="shared" si="45"/>
        <v>Jan-2024</v>
      </c>
      <c r="L1005" s="1">
        <f t="shared" ca="1" si="46"/>
        <v>52</v>
      </c>
      <c r="M1005" t="str">
        <f t="shared" si="47"/>
        <v>18-25</v>
      </c>
    </row>
    <row r="1006" spans="1:13" x14ac:dyDescent="0.2">
      <c r="A1006" t="s">
        <v>2016</v>
      </c>
      <c r="B1006" t="s">
        <v>2017</v>
      </c>
      <c r="C1006">
        <v>51</v>
      </c>
      <c r="D1006" t="s">
        <v>12</v>
      </c>
      <c r="E1006" t="s">
        <v>17</v>
      </c>
      <c r="F1006" s="1">
        <v>46110</v>
      </c>
      <c r="G1006" s="1">
        <v>46133</v>
      </c>
      <c r="H1006">
        <v>73</v>
      </c>
      <c r="I1006">
        <v>7</v>
      </c>
      <c r="J1006">
        <v>0</v>
      </c>
      <c r="K1006" t="str">
        <f t="shared" si="45"/>
        <v>Mar-2026</v>
      </c>
      <c r="L1006" s="1">
        <f t="shared" ca="1" si="46"/>
        <v>25</v>
      </c>
      <c r="M1006" t="str">
        <f t="shared" si="47"/>
        <v>46+</v>
      </c>
    </row>
    <row r="1007" spans="1:13" x14ac:dyDescent="0.2">
      <c r="A1007" t="s">
        <v>2018</v>
      </c>
      <c r="B1007" t="s">
        <v>2019</v>
      </c>
      <c r="C1007">
        <v>59</v>
      </c>
      <c r="D1007" t="s">
        <v>16</v>
      </c>
      <c r="E1007" t="s">
        <v>13</v>
      </c>
      <c r="F1007" s="1">
        <v>45790</v>
      </c>
      <c r="G1007" s="1">
        <v>46044</v>
      </c>
      <c r="H1007">
        <v>76</v>
      </c>
      <c r="I1007">
        <v>4</v>
      </c>
      <c r="J1007">
        <v>0</v>
      </c>
      <c r="K1007" t="str">
        <f t="shared" si="45"/>
        <v>May-2025</v>
      </c>
      <c r="L1007" s="1">
        <f t="shared" ca="1" si="46"/>
        <v>114</v>
      </c>
      <c r="M1007" t="str">
        <f t="shared" si="47"/>
        <v>46+</v>
      </c>
    </row>
    <row r="1008" spans="1:13" x14ac:dyDescent="0.2">
      <c r="A1008" t="s">
        <v>2020</v>
      </c>
      <c r="B1008" t="s">
        <v>2021</v>
      </c>
      <c r="C1008">
        <v>57</v>
      </c>
      <c r="D1008" t="s">
        <v>20</v>
      </c>
      <c r="E1008" t="s">
        <v>17</v>
      </c>
      <c r="F1008" s="1">
        <v>46048</v>
      </c>
      <c r="G1008" s="1">
        <v>46129</v>
      </c>
      <c r="H1008">
        <v>49</v>
      </c>
      <c r="I1008">
        <v>6</v>
      </c>
      <c r="J1008">
        <v>0</v>
      </c>
      <c r="K1008" t="str">
        <f t="shared" si="45"/>
        <v>Jan-2026</v>
      </c>
      <c r="L1008" s="1">
        <f t="shared" ca="1" si="46"/>
        <v>29</v>
      </c>
      <c r="M1008" t="str">
        <f t="shared" si="47"/>
        <v>46+</v>
      </c>
    </row>
    <row r="1009" spans="1:13" x14ac:dyDescent="0.2">
      <c r="A1009" t="s">
        <v>2022</v>
      </c>
      <c r="B1009" t="s">
        <v>2023</v>
      </c>
      <c r="C1009">
        <v>44</v>
      </c>
      <c r="D1009" t="s">
        <v>16</v>
      </c>
      <c r="E1009" t="s">
        <v>17</v>
      </c>
      <c r="F1009" s="1">
        <v>45813</v>
      </c>
      <c r="G1009" s="1">
        <v>46117</v>
      </c>
      <c r="H1009">
        <v>65</v>
      </c>
      <c r="I1009">
        <v>10</v>
      </c>
      <c r="J1009">
        <v>0</v>
      </c>
      <c r="K1009" t="str">
        <f t="shared" si="45"/>
        <v>Jun-2025</v>
      </c>
      <c r="L1009" s="1">
        <f t="shared" ca="1" si="46"/>
        <v>41</v>
      </c>
      <c r="M1009" t="str">
        <f t="shared" si="47"/>
        <v>36-45</v>
      </c>
    </row>
    <row r="1010" spans="1:13" x14ac:dyDescent="0.2">
      <c r="A1010" t="s">
        <v>2024</v>
      </c>
      <c r="B1010" t="s">
        <v>2025</v>
      </c>
      <c r="C1010">
        <v>35</v>
      </c>
      <c r="D1010" t="s">
        <v>12</v>
      </c>
      <c r="E1010" t="s">
        <v>17</v>
      </c>
      <c r="F1010" s="1">
        <v>45506</v>
      </c>
      <c r="G1010" s="1">
        <v>46070</v>
      </c>
      <c r="H1010">
        <v>80</v>
      </c>
      <c r="I1010">
        <v>10</v>
      </c>
      <c r="J1010">
        <v>0</v>
      </c>
      <c r="K1010" t="str">
        <f t="shared" si="45"/>
        <v>Aug-2024</v>
      </c>
      <c r="L1010" s="1">
        <f t="shared" ca="1" si="46"/>
        <v>88</v>
      </c>
      <c r="M1010" t="str">
        <f t="shared" si="47"/>
        <v>26-35</v>
      </c>
    </row>
    <row r="1011" spans="1:13" x14ac:dyDescent="0.2">
      <c r="A1011" t="s">
        <v>2026</v>
      </c>
      <c r="B1011" t="s">
        <v>2027</v>
      </c>
      <c r="C1011">
        <v>53</v>
      </c>
      <c r="D1011" t="s">
        <v>16</v>
      </c>
      <c r="E1011" t="s">
        <v>17</v>
      </c>
      <c r="F1011" s="1">
        <v>45893</v>
      </c>
      <c r="G1011" s="1">
        <v>46128</v>
      </c>
      <c r="H1011">
        <v>54</v>
      </c>
      <c r="I1011">
        <v>7</v>
      </c>
      <c r="J1011">
        <v>0</v>
      </c>
      <c r="K1011" t="str">
        <f t="shared" si="45"/>
        <v>Aug-2025</v>
      </c>
      <c r="L1011" s="1">
        <f t="shared" ca="1" si="46"/>
        <v>30</v>
      </c>
      <c r="M1011" t="str">
        <f t="shared" si="47"/>
        <v>46+</v>
      </c>
    </row>
    <row r="1012" spans="1:13" x14ac:dyDescent="0.2">
      <c r="A1012" t="s">
        <v>2028</v>
      </c>
      <c r="B1012" t="s">
        <v>2029</v>
      </c>
      <c r="C1012">
        <v>32</v>
      </c>
      <c r="D1012" t="s">
        <v>16</v>
      </c>
      <c r="E1012" t="s">
        <v>17</v>
      </c>
      <c r="F1012" s="1">
        <v>45656</v>
      </c>
      <c r="G1012" s="1">
        <v>46078</v>
      </c>
      <c r="H1012">
        <v>32</v>
      </c>
      <c r="I1012">
        <v>4</v>
      </c>
      <c r="J1012">
        <v>0</v>
      </c>
      <c r="K1012" t="str">
        <f t="shared" si="45"/>
        <v>Dec-2024</v>
      </c>
      <c r="L1012" s="1">
        <f t="shared" ca="1" si="46"/>
        <v>80</v>
      </c>
      <c r="M1012" t="str">
        <f t="shared" si="47"/>
        <v>26-35</v>
      </c>
    </row>
    <row r="1013" spans="1:13" x14ac:dyDescent="0.2">
      <c r="A1013" t="s">
        <v>2030</v>
      </c>
      <c r="B1013" t="s">
        <v>2031</v>
      </c>
      <c r="C1013">
        <v>33</v>
      </c>
      <c r="D1013" t="s">
        <v>20</v>
      </c>
      <c r="E1013" t="s">
        <v>13</v>
      </c>
      <c r="F1013" s="1">
        <v>45427</v>
      </c>
      <c r="G1013" s="1">
        <v>46059</v>
      </c>
      <c r="H1013">
        <v>44</v>
      </c>
      <c r="I1013">
        <v>1</v>
      </c>
      <c r="J1013">
        <v>0</v>
      </c>
      <c r="K1013" t="str">
        <f t="shared" si="45"/>
        <v>May-2024</v>
      </c>
      <c r="L1013" s="1">
        <f t="shared" ca="1" si="46"/>
        <v>99</v>
      </c>
      <c r="M1013" t="str">
        <f t="shared" si="47"/>
        <v>26-35</v>
      </c>
    </row>
    <row r="1014" spans="1:13" x14ac:dyDescent="0.2">
      <c r="A1014" t="s">
        <v>2032</v>
      </c>
      <c r="B1014" t="s">
        <v>2033</v>
      </c>
      <c r="C1014">
        <v>30</v>
      </c>
      <c r="D1014" t="s">
        <v>12</v>
      </c>
      <c r="E1014" t="s">
        <v>13</v>
      </c>
      <c r="F1014" s="1">
        <v>45264</v>
      </c>
      <c r="G1014" s="1">
        <v>46126</v>
      </c>
      <c r="H1014">
        <v>4</v>
      </c>
      <c r="I1014">
        <v>6</v>
      </c>
      <c r="J1014">
        <v>0</v>
      </c>
      <c r="K1014" t="str">
        <f t="shared" si="45"/>
        <v>Dec-2023</v>
      </c>
      <c r="L1014" s="1">
        <f t="shared" ca="1" si="46"/>
        <v>32</v>
      </c>
      <c r="M1014" t="str">
        <f t="shared" si="47"/>
        <v>26-35</v>
      </c>
    </row>
    <row r="1015" spans="1:13" x14ac:dyDescent="0.2">
      <c r="A1015" t="s">
        <v>2034</v>
      </c>
      <c r="B1015" t="s">
        <v>2035</v>
      </c>
      <c r="C1015">
        <v>45</v>
      </c>
      <c r="D1015" t="s">
        <v>12</v>
      </c>
      <c r="E1015" t="s">
        <v>21</v>
      </c>
      <c r="F1015" s="1">
        <v>45558</v>
      </c>
      <c r="G1015" s="1">
        <v>46112</v>
      </c>
      <c r="H1015">
        <v>64</v>
      </c>
      <c r="I1015">
        <v>1</v>
      </c>
      <c r="J1015">
        <v>0</v>
      </c>
      <c r="K1015" t="str">
        <f t="shared" si="45"/>
        <v>Sep-2024</v>
      </c>
      <c r="L1015" s="1">
        <f t="shared" ca="1" si="46"/>
        <v>46</v>
      </c>
      <c r="M1015" t="str">
        <f t="shared" si="47"/>
        <v>36-45</v>
      </c>
    </row>
    <row r="1016" spans="1:13" x14ac:dyDescent="0.2">
      <c r="A1016" t="s">
        <v>2036</v>
      </c>
      <c r="B1016" t="s">
        <v>2037</v>
      </c>
      <c r="C1016">
        <v>35</v>
      </c>
      <c r="D1016" t="s">
        <v>12</v>
      </c>
      <c r="E1016" t="s">
        <v>17</v>
      </c>
      <c r="F1016" s="1">
        <v>45979</v>
      </c>
      <c r="G1016" s="1">
        <v>46128</v>
      </c>
      <c r="H1016">
        <v>65</v>
      </c>
      <c r="I1016">
        <v>3</v>
      </c>
      <c r="J1016">
        <v>1</v>
      </c>
      <c r="K1016" t="str">
        <f t="shared" si="45"/>
        <v>Nov-2025</v>
      </c>
      <c r="L1016" s="1">
        <f t="shared" ca="1" si="46"/>
        <v>30</v>
      </c>
      <c r="M1016" t="str">
        <f t="shared" si="47"/>
        <v>26-35</v>
      </c>
    </row>
    <row r="1017" spans="1:13" x14ac:dyDescent="0.2">
      <c r="A1017" t="s">
        <v>2038</v>
      </c>
      <c r="B1017" t="s">
        <v>2039</v>
      </c>
      <c r="C1017">
        <v>37</v>
      </c>
      <c r="D1017" t="s">
        <v>16</v>
      </c>
      <c r="E1017" t="s">
        <v>13</v>
      </c>
      <c r="F1017" s="1">
        <v>45726</v>
      </c>
      <c r="G1017" s="1">
        <v>46130</v>
      </c>
      <c r="H1017">
        <v>57</v>
      </c>
      <c r="I1017">
        <v>10</v>
      </c>
      <c r="J1017">
        <v>0</v>
      </c>
      <c r="K1017" t="str">
        <f t="shared" si="45"/>
        <v>Mar-2025</v>
      </c>
      <c r="L1017" s="1">
        <f t="shared" ca="1" si="46"/>
        <v>28</v>
      </c>
      <c r="M1017" t="str">
        <f t="shared" si="47"/>
        <v>36-45</v>
      </c>
    </row>
    <row r="1018" spans="1:13" x14ac:dyDescent="0.2">
      <c r="A1018" t="s">
        <v>2040</v>
      </c>
      <c r="B1018" t="s">
        <v>2041</v>
      </c>
      <c r="C1018">
        <v>47</v>
      </c>
      <c r="D1018" t="s">
        <v>12</v>
      </c>
      <c r="E1018" t="s">
        <v>17</v>
      </c>
      <c r="F1018" s="1">
        <v>45711</v>
      </c>
      <c r="G1018" s="1">
        <v>46129</v>
      </c>
      <c r="H1018">
        <v>54</v>
      </c>
      <c r="I1018">
        <v>6</v>
      </c>
      <c r="J1018">
        <v>0</v>
      </c>
      <c r="K1018" t="str">
        <f t="shared" si="45"/>
        <v>Feb-2025</v>
      </c>
      <c r="L1018" s="1">
        <f t="shared" ca="1" si="46"/>
        <v>29</v>
      </c>
      <c r="M1018" t="str">
        <f t="shared" si="47"/>
        <v>46+</v>
      </c>
    </row>
    <row r="1019" spans="1:13" x14ac:dyDescent="0.2">
      <c r="A1019" t="s">
        <v>2042</v>
      </c>
      <c r="B1019" t="s">
        <v>2043</v>
      </c>
      <c r="C1019">
        <v>49</v>
      </c>
      <c r="D1019" t="s">
        <v>12</v>
      </c>
      <c r="E1019" t="s">
        <v>21</v>
      </c>
      <c r="F1019" s="1">
        <v>45191</v>
      </c>
      <c r="G1019" s="1">
        <v>46148</v>
      </c>
      <c r="H1019">
        <v>70</v>
      </c>
      <c r="I1019">
        <v>9</v>
      </c>
      <c r="J1019">
        <v>0</v>
      </c>
      <c r="K1019" t="str">
        <f t="shared" si="45"/>
        <v>Sep-2023</v>
      </c>
      <c r="L1019" s="1">
        <f t="shared" ca="1" si="46"/>
        <v>10</v>
      </c>
      <c r="M1019" t="str">
        <f t="shared" si="47"/>
        <v>46+</v>
      </c>
    </row>
    <row r="1020" spans="1:13" x14ac:dyDescent="0.2">
      <c r="A1020" t="s">
        <v>2044</v>
      </c>
      <c r="B1020" t="s">
        <v>2045</v>
      </c>
      <c r="C1020">
        <v>28</v>
      </c>
      <c r="D1020" t="s">
        <v>20</v>
      </c>
      <c r="E1020" t="s">
        <v>21</v>
      </c>
      <c r="F1020" s="1">
        <v>46100</v>
      </c>
      <c r="G1020" s="1">
        <v>46030</v>
      </c>
      <c r="H1020">
        <v>20</v>
      </c>
      <c r="I1020">
        <v>7</v>
      </c>
      <c r="J1020">
        <v>0</v>
      </c>
      <c r="K1020" t="str">
        <f t="shared" si="45"/>
        <v>Mar-2026</v>
      </c>
      <c r="L1020" s="1">
        <f t="shared" ca="1" si="46"/>
        <v>128</v>
      </c>
      <c r="M1020" t="str">
        <f t="shared" si="47"/>
        <v>26-35</v>
      </c>
    </row>
    <row r="1021" spans="1:13" x14ac:dyDescent="0.2">
      <c r="A1021" t="s">
        <v>2046</v>
      </c>
      <c r="B1021" t="s">
        <v>2047</v>
      </c>
      <c r="C1021">
        <v>55</v>
      </c>
      <c r="D1021" t="s">
        <v>12</v>
      </c>
      <c r="E1021" t="s">
        <v>17</v>
      </c>
      <c r="F1021" s="1">
        <v>45327</v>
      </c>
      <c r="G1021" s="1">
        <v>46072</v>
      </c>
      <c r="H1021">
        <v>51</v>
      </c>
      <c r="I1021">
        <v>10</v>
      </c>
      <c r="J1021">
        <v>0</v>
      </c>
      <c r="K1021" t="str">
        <f t="shared" si="45"/>
        <v>Feb-2024</v>
      </c>
      <c r="L1021" s="1">
        <f t="shared" ca="1" si="46"/>
        <v>86</v>
      </c>
      <c r="M1021" t="str">
        <f t="shared" si="47"/>
        <v>46+</v>
      </c>
    </row>
    <row r="1022" spans="1:13" x14ac:dyDescent="0.2">
      <c r="A1022" t="s">
        <v>2048</v>
      </c>
      <c r="B1022" t="s">
        <v>2049</v>
      </c>
      <c r="C1022">
        <v>27</v>
      </c>
      <c r="D1022" t="s">
        <v>12</v>
      </c>
      <c r="E1022" t="s">
        <v>17</v>
      </c>
      <c r="F1022" s="1">
        <v>46034</v>
      </c>
      <c r="G1022" s="1">
        <v>46110</v>
      </c>
      <c r="H1022">
        <v>47</v>
      </c>
      <c r="I1022">
        <v>5</v>
      </c>
      <c r="J1022">
        <v>0</v>
      </c>
      <c r="K1022" t="str">
        <f t="shared" si="45"/>
        <v>Jan-2026</v>
      </c>
      <c r="L1022" s="1">
        <f t="shared" ca="1" si="46"/>
        <v>48</v>
      </c>
      <c r="M1022" t="str">
        <f t="shared" si="47"/>
        <v>26-35</v>
      </c>
    </row>
    <row r="1023" spans="1:13" x14ac:dyDescent="0.2">
      <c r="A1023" t="s">
        <v>2050</v>
      </c>
      <c r="B1023" t="s">
        <v>2051</v>
      </c>
      <c r="C1023">
        <v>40</v>
      </c>
      <c r="D1023" t="s">
        <v>12</v>
      </c>
      <c r="E1023" t="s">
        <v>13</v>
      </c>
      <c r="F1023" s="1">
        <v>45994</v>
      </c>
      <c r="G1023" s="1">
        <v>46083</v>
      </c>
      <c r="H1023">
        <v>43</v>
      </c>
      <c r="I1023">
        <v>6</v>
      </c>
      <c r="J1023">
        <v>0</v>
      </c>
      <c r="K1023" t="str">
        <f t="shared" si="45"/>
        <v>Dec-2025</v>
      </c>
      <c r="L1023" s="1">
        <f t="shared" ca="1" si="46"/>
        <v>75</v>
      </c>
      <c r="M1023" t="str">
        <f t="shared" si="47"/>
        <v>36-45</v>
      </c>
    </row>
    <row r="1024" spans="1:13" x14ac:dyDescent="0.2">
      <c r="A1024" t="s">
        <v>2052</v>
      </c>
      <c r="B1024" t="s">
        <v>2053</v>
      </c>
      <c r="C1024">
        <v>55</v>
      </c>
      <c r="D1024" t="s">
        <v>16</v>
      </c>
      <c r="E1024" t="s">
        <v>21</v>
      </c>
      <c r="F1024" s="1">
        <v>46006</v>
      </c>
      <c r="G1024" s="1">
        <v>46037</v>
      </c>
      <c r="H1024">
        <v>72</v>
      </c>
      <c r="I1024">
        <v>5</v>
      </c>
      <c r="J1024">
        <v>1</v>
      </c>
      <c r="K1024" t="str">
        <f t="shared" si="45"/>
        <v>Dec-2025</v>
      </c>
      <c r="L1024" s="1">
        <f t="shared" ca="1" si="46"/>
        <v>121</v>
      </c>
      <c r="M1024" t="str">
        <f t="shared" si="47"/>
        <v>46+</v>
      </c>
    </row>
    <row r="1025" spans="1:13" x14ac:dyDescent="0.2">
      <c r="A1025" t="s">
        <v>2054</v>
      </c>
      <c r="B1025" t="s">
        <v>2055</v>
      </c>
      <c r="C1025">
        <v>52</v>
      </c>
      <c r="D1025" t="s">
        <v>20</v>
      </c>
      <c r="E1025" t="s">
        <v>17</v>
      </c>
      <c r="F1025" s="1">
        <v>45813</v>
      </c>
      <c r="G1025" s="1">
        <v>46136</v>
      </c>
      <c r="H1025">
        <v>60</v>
      </c>
      <c r="I1025">
        <v>5</v>
      </c>
      <c r="J1025">
        <v>0</v>
      </c>
      <c r="K1025" t="str">
        <f t="shared" si="45"/>
        <v>Jun-2025</v>
      </c>
      <c r="L1025" s="1">
        <f t="shared" ca="1" si="46"/>
        <v>22</v>
      </c>
      <c r="M1025" t="str">
        <f t="shared" si="47"/>
        <v>46+</v>
      </c>
    </row>
    <row r="1026" spans="1:13" x14ac:dyDescent="0.2">
      <c r="A1026" t="s">
        <v>2056</v>
      </c>
      <c r="B1026" t="s">
        <v>2057</v>
      </c>
      <c r="C1026">
        <v>19</v>
      </c>
      <c r="D1026" t="s">
        <v>12</v>
      </c>
      <c r="E1026" t="s">
        <v>17</v>
      </c>
      <c r="F1026" s="1">
        <v>45407</v>
      </c>
      <c r="G1026" s="1">
        <v>46069</v>
      </c>
      <c r="H1026">
        <v>51</v>
      </c>
      <c r="I1026">
        <v>10</v>
      </c>
      <c r="J1026">
        <v>0</v>
      </c>
      <c r="K1026" t="str">
        <f t="shared" si="45"/>
        <v>Apr-2024</v>
      </c>
      <c r="L1026" s="1">
        <f t="shared" ca="1" si="46"/>
        <v>89</v>
      </c>
      <c r="M1026" t="str">
        <f t="shared" si="47"/>
        <v>18-25</v>
      </c>
    </row>
    <row r="1027" spans="1:13" x14ac:dyDescent="0.2">
      <c r="A1027" t="s">
        <v>2058</v>
      </c>
      <c r="B1027" t="s">
        <v>2059</v>
      </c>
      <c r="C1027">
        <v>51</v>
      </c>
      <c r="D1027" t="s">
        <v>12</v>
      </c>
      <c r="E1027" t="s">
        <v>21</v>
      </c>
      <c r="F1027" s="1">
        <v>45442</v>
      </c>
      <c r="G1027" s="1">
        <v>46131</v>
      </c>
      <c r="H1027">
        <v>60</v>
      </c>
      <c r="I1027">
        <v>8</v>
      </c>
      <c r="J1027">
        <v>0</v>
      </c>
      <c r="K1027" t="str">
        <f t="shared" ref="K1027:K1090" si="48">TEXT(F1027,"MMM-YYYY")</f>
        <v>May-2024</v>
      </c>
      <c r="L1027" s="1">
        <f t="shared" ref="L1027:L1090" ca="1" si="49">TODAY()-G1027</f>
        <v>27</v>
      </c>
      <c r="M1027" t="str">
        <f t="shared" ref="M1027:M1090" si="50">IF(C1027&lt;=25,"18-25",IF(C1027&lt;=35,"26-35",IF(C1027&lt;=45,"36-45","46+")))</f>
        <v>46+</v>
      </c>
    </row>
    <row r="1028" spans="1:13" x14ac:dyDescent="0.2">
      <c r="A1028" t="s">
        <v>2060</v>
      </c>
      <c r="B1028" t="s">
        <v>1293</v>
      </c>
      <c r="C1028">
        <v>47</v>
      </c>
      <c r="D1028" t="s">
        <v>16</v>
      </c>
      <c r="E1028" t="s">
        <v>13</v>
      </c>
      <c r="F1028" s="1">
        <v>45973</v>
      </c>
      <c r="G1028" s="1">
        <v>46080</v>
      </c>
      <c r="H1028">
        <v>2</v>
      </c>
      <c r="I1028">
        <v>1</v>
      </c>
      <c r="J1028">
        <v>1</v>
      </c>
      <c r="K1028" t="str">
        <f t="shared" si="48"/>
        <v>Nov-2025</v>
      </c>
      <c r="L1028" s="1">
        <f t="shared" ca="1" si="49"/>
        <v>78</v>
      </c>
      <c r="M1028" t="str">
        <f t="shared" si="50"/>
        <v>46+</v>
      </c>
    </row>
    <row r="1029" spans="1:13" x14ac:dyDescent="0.2">
      <c r="A1029" t="s">
        <v>2061</v>
      </c>
      <c r="B1029" t="s">
        <v>2062</v>
      </c>
      <c r="C1029">
        <v>19</v>
      </c>
      <c r="D1029" t="s">
        <v>20</v>
      </c>
      <c r="E1029" t="s">
        <v>21</v>
      </c>
      <c r="F1029" s="1">
        <v>45646</v>
      </c>
      <c r="G1029" s="1">
        <v>46032</v>
      </c>
      <c r="H1029">
        <v>16</v>
      </c>
      <c r="I1029">
        <v>3</v>
      </c>
      <c r="J1029">
        <v>0</v>
      </c>
      <c r="K1029" t="str">
        <f t="shared" si="48"/>
        <v>Dec-2024</v>
      </c>
      <c r="L1029" s="1">
        <f t="shared" ca="1" si="49"/>
        <v>126</v>
      </c>
      <c r="M1029" t="str">
        <f t="shared" si="50"/>
        <v>18-25</v>
      </c>
    </row>
    <row r="1030" spans="1:13" x14ac:dyDescent="0.2">
      <c r="A1030" t="s">
        <v>2063</v>
      </c>
      <c r="B1030" t="s">
        <v>2064</v>
      </c>
      <c r="C1030">
        <v>51</v>
      </c>
      <c r="D1030" t="s">
        <v>16</v>
      </c>
      <c r="E1030" t="s">
        <v>21</v>
      </c>
      <c r="F1030" s="1">
        <v>45173</v>
      </c>
      <c r="G1030" s="1">
        <v>46097</v>
      </c>
      <c r="H1030">
        <v>14</v>
      </c>
      <c r="I1030">
        <v>8</v>
      </c>
      <c r="J1030">
        <v>0</v>
      </c>
      <c r="K1030" t="str">
        <f t="shared" si="48"/>
        <v>Sep-2023</v>
      </c>
      <c r="L1030" s="1">
        <f t="shared" ca="1" si="49"/>
        <v>61</v>
      </c>
      <c r="M1030" t="str">
        <f t="shared" si="50"/>
        <v>46+</v>
      </c>
    </row>
    <row r="1031" spans="1:13" x14ac:dyDescent="0.2">
      <c r="A1031" t="s">
        <v>2065</v>
      </c>
      <c r="B1031" t="s">
        <v>2066</v>
      </c>
      <c r="C1031">
        <v>21</v>
      </c>
      <c r="D1031" t="s">
        <v>12</v>
      </c>
      <c r="E1031" t="s">
        <v>21</v>
      </c>
      <c r="F1031" s="1">
        <v>45169</v>
      </c>
      <c r="G1031" s="1">
        <v>46139</v>
      </c>
      <c r="H1031">
        <v>17</v>
      </c>
      <c r="I1031">
        <v>1</v>
      </c>
      <c r="J1031">
        <v>1</v>
      </c>
      <c r="K1031" t="str">
        <f t="shared" si="48"/>
        <v>Aug-2023</v>
      </c>
      <c r="L1031" s="1">
        <f t="shared" ca="1" si="49"/>
        <v>19</v>
      </c>
      <c r="M1031" t="str">
        <f t="shared" si="50"/>
        <v>18-25</v>
      </c>
    </row>
    <row r="1032" spans="1:13" x14ac:dyDescent="0.2">
      <c r="A1032" t="s">
        <v>2067</v>
      </c>
      <c r="B1032" t="s">
        <v>2068</v>
      </c>
      <c r="C1032">
        <v>32</v>
      </c>
      <c r="D1032" t="s">
        <v>20</v>
      </c>
      <c r="E1032" t="s">
        <v>21</v>
      </c>
      <c r="F1032" s="1">
        <v>45464</v>
      </c>
      <c r="G1032" s="1">
        <v>46078</v>
      </c>
      <c r="H1032">
        <v>33</v>
      </c>
      <c r="I1032">
        <v>9</v>
      </c>
      <c r="J1032">
        <v>1</v>
      </c>
      <c r="K1032" t="str">
        <f t="shared" si="48"/>
        <v>Jun-2024</v>
      </c>
      <c r="L1032" s="1">
        <f t="shared" ca="1" si="49"/>
        <v>80</v>
      </c>
      <c r="M1032" t="str">
        <f t="shared" si="50"/>
        <v>26-35</v>
      </c>
    </row>
    <row r="1033" spans="1:13" x14ac:dyDescent="0.2">
      <c r="A1033" t="s">
        <v>2069</v>
      </c>
      <c r="B1033" t="s">
        <v>1408</v>
      </c>
      <c r="C1033">
        <v>56</v>
      </c>
      <c r="D1033" t="s">
        <v>16</v>
      </c>
      <c r="E1033" t="s">
        <v>21</v>
      </c>
      <c r="F1033" s="1">
        <v>45925</v>
      </c>
      <c r="G1033" s="1">
        <v>46096</v>
      </c>
      <c r="H1033">
        <v>36</v>
      </c>
      <c r="I1033">
        <v>9</v>
      </c>
      <c r="J1033">
        <v>0</v>
      </c>
      <c r="K1033" t="str">
        <f t="shared" si="48"/>
        <v>Sep-2025</v>
      </c>
      <c r="L1033" s="1">
        <f t="shared" ca="1" si="49"/>
        <v>62</v>
      </c>
      <c r="M1033" t="str">
        <f t="shared" si="50"/>
        <v>46+</v>
      </c>
    </row>
    <row r="1034" spans="1:13" x14ac:dyDescent="0.2">
      <c r="A1034" t="s">
        <v>2070</v>
      </c>
      <c r="B1034" t="s">
        <v>2071</v>
      </c>
      <c r="C1034">
        <v>56</v>
      </c>
      <c r="D1034" t="s">
        <v>16</v>
      </c>
      <c r="E1034" t="s">
        <v>17</v>
      </c>
      <c r="F1034" s="1">
        <v>45276</v>
      </c>
      <c r="G1034" s="1">
        <v>46093</v>
      </c>
      <c r="H1034">
        <v>70</v>
      </c>
      <c r="I1034">
        <v>8</v>
      </c>
      <c r="J1034">
        <v>0</v>
      </c>
      <c r="K1034" t="str">
        <f t="shared" si="48"/>
        <v>Dec-2023</v>
      </c>
      <c r="L1034" s="1">
        <f t="shared" ca="1" si="49"/>
        <v>65</v>
      </c>
      <c r="M1034" t="str">
        <f t="shared" si="50"/>
        <v>46+</v>
      </c>
    </row>
    <row r="1035" spans="1:13" x14ac:dyDescent="0.2">
      <c r="A1035" t="s">
        <v>2072</v>
      </c>
      <c r="B1035" t="s">
        <v>2073</v>
      </c>
      <c r="C1035">
        <v>43</v>
      </c>
      <c r="D1035" t="s">
        <v>16</v>
      </c>
      <c r="E1035" t="s">
        <v>21</v>
      </c>
      <c r="F1035" s="1">
        <v>45828</v>
      </c>
      <c r="G1035" s="1">
        <v>46137</v>
      </c>
      <c r="H1035">
        <v>58</v>
      </c>
      <c r="I1035">
        <v>7</v>
      </c>
      <c r="J1035">
        <v>1</v>
      </c>
      <c r="K1035" t="str">
        <f t="shared" si="48"/>
        <v>Jun-2025</v>
      </c>
      <c r="L1035" s="1">
        <f t="shared" ca="1" si="49"/>
        <v>21</v>
      </c>
      <c r="M1035" t="str">
        <f t="shared" si="50"/>
        <v>36-45</v>
      </c>
    </row>
    <row r="1036" spans="1:13" x14ac:dyDescent="0.2">
      <c r="A1036" t="s">
        <v>2074</v>
      </c>
      <c r="B1036" t="s">
        <v>2075</v>
      </c>
      <c r="C1036">
        <v>24</v>
      </c>
      <c r="D1036" t="s">
        <v>12</v>
      </c>
      <c r="E1036" t="s">
        <v>17</v>
      </c>
      <c r="F1036" s="1">
        <v>45652</v>
      </c>
      <c r="G1036" s="1">
        <v>46052</v>
      </c>
      <c r="H1036">
        <v>66</v>
      </c>
      <c r="I1036">
        <v>9</v>
      </c>
      <c r="J1036">
        <v>1</v>
      </c>
      <c r="K1036" t="str">
        <f t="shared" si="48"/>
        <v>Dec-2024</v>
      </c>
      <c r="L1036" s="1">
        <f t="shared" ca="1" si="49"/>
        <v>106</v>
      </c>
      <c r="M1036" t="str">
        <f t="shared" si="50"/>
        <v>18-25</v>
      </c>
    </row>
    <row r="1037" spans="1:13" x14ac:dyDescent="0.2">
      <c r="A1037" t="s">
        <v>2076</v>
      </c>
      <c r="B1037" t="s">
        <v>2077</v>
      </c>
      <c r="C1037">
        <v>29</v>
      </c>
      <c r="D1037" t="s">
        <v>20</v>
      </c>
      <c r="E1037" t="s">
        <v>13</v>
      </c>
      <c r="F1037" s="1">
        <v>45311</v>
      </c>
      <c r="G1037" s="1">
        <v>46147</v>
      </c>
      <c r="H1037">
        <v>78</v>
      </c>
      <c r="I1037">
        <v>10</v>
      </c>
      <c r="J1037">
        <v>0</v>
      </c>
      <c r="K1037" t="str">
        <f t="shared" si="48"/>
        <v>Jan-2024</v>
      </c>
      <c r="L1037" s="1">
        <f t="shared" ca="1" si="49"/>
        <v>11</v>
      </c>
      <c r="M1037" t="str">
        <f t="shared" si="50"/>
        <v>26-35</v>
      </c>
    </row>
    <row r="1038" spans="1:13" x14ac:dyDescent="0.2">
      <c r="A1038" t="s">
        <v>2078</v>
      </c>
      <c r="B1038" t="s">
        <v>2079</v>
      </c>
      <c r="C1038">
        <v>49</v>
      </c>
      <c r="D1038" t="s">
        <v>12</v>
      </c>
      <c r="E1038" t="s">
        <v>21</v>
      </c>
      <c r="F1038" s="1">
        <v>45570</v>
      </c>
      <c r="G1038" s="1">
        <v>46137</v>
      </c>
      <c r="H1038">
        <v>17</v>
      </c>
      <c r="I1038">
        <v>2</v>
      </c>
      <c r="J1038">
        <v>1</v>
      </c>
      <c r="K1038" t="str">
        <f t="shared" si="48"/>
        <v>Oct-2024</v>
      </c>
      <c r="L1038" s="1">
        <f t="shared" ca="1" si="49"/>
        <v>21</v>
      </c>
      <c r="M1038" t="str">
        <f t="shared" si="50"/>
        <v>46+</v>
      </c>
    </row>
    <row r="1039" spans="1:13" x14ac:dyDescent="0.2">
      <c r="A1039" t="s">
        <v>2080</v>
      </c>
      <c r="B1039" t="s">
        <v>2081</v>
      </c>
      <c r="C1039">
        <v>31</v>
      </c>
      <c r="D1039" t="s">
        <v>12</v>
      </c>
      <c r="E1039" t="s">
        <v>17</v>
      </c>
      <c r="F1039" s="1">
        <v>45644</v>
      </c>
      <c r="G1039" s="1">
        <v>46085</v>
      </c>
      <c r="H1039">
        <v>74</v>
      </c>
      <c r="I1039">
        <v>1</v>
      </c>
      <c r="J1039">
        <v>0</v>
      </c>
      <c r="K1039" t="str">
        <f t="shared" si="48"/>
        <v>Dec-2024</v>
      </c>
      <c r="L1039" s="1">
        <f t="shared" ca="1" si="49"/>
        <v>73</v>
      </c>
      <c r="M1039" t="str">
        <f t="shared" si="50"/>
        <v>26-35</v>
      </c>
    </row>
    <row r="1040" spans="1:13" x14ac:dyDescent="0.2">
      <c r="A1040" t="s">
        <v>2082</v>
      </c>
      <c r="B1040" t="s">
        <v>2083</v>
      </c>
      <c r="C1040">
        <v>40</v>
      </c>
      <c r="D1040" t="s">
        <v>20</v>
      </c>
      <c r="E1040" t="s">
        <v>13</v>
      </c>
      <c r="F1040" s="1">
        <v>45903</v>
      </c>
      <c r="G1040" s="1">
        <v>46116</v>
      </c>
      <c r="H1040">
        <v>39</v>
      </c>
      <c r="I1040">
        <v>5</v>
      </c>
      <c r="J1040">
        <v>0</v>
      </c>
      <c r="K1040" t="str">
        <f t="shared" si="48"/>
        <v>Sep-2025</v>
      </c>
      <c r="L1040" s="1">
        <f t="shared" ca="1" si="49"/>
        <v>42</v>
      </c>
      <c r="M1040" t="str">
        <f t="shared" si="50"/>
        <v>36-45</v>
      </c>
    </row>
    <row r="1041" spans="1:13" x14ac:dyDescent="0.2">
      <c r="A1041" t="s">
        <v>2084</v>
      </c>
      <c r="B1041" t="s">
        <v>1458</v>
      </c>
      <c r="C1041">
        <v>24</v>
      </c>
      <c r="D1041" t="s">
        <v>16</v>
      </c>
      <c r="E1041" t="s">
        <v>17</v>
      </c>
      <c r="F1041" s="1">
        <v>45600</v>
      </c>
      <c r="G1041" s="1">
        <v>46104</v>
      </c>
      <c r="H1041">
        <v>31</v>
      </c>
      <c r="I1041">
        <v>9</v>
      </c>
      <c r="J1041">
        <v>0</v>
      </c>
      <c r="K1041" t="str">
        <f t="shared" si="48"/>
        <v>Nov-2024</v>
      </c>
      <c r="L1041" s="1">
        <f t="shared" ca="1" si="49"/>
        <v>54</v>
      </c>
      <c r="M1041" t="str">
        <f t="shared" si="50"/>
        <v>18-25</v>
      </c>
    </row>
    <row r="1042" spans="1:13" x14ac:dyDescent="0.2">
      <c r="A1042" t="s">
        <v>2085</v>
      </c>
      <c r="B1042" t="s">
        <v>2086</v>
      </c>
      <c r="C1042">
        <v>54</v>
      </c>
      <c r="D1042" t="s">
        <v>16</v>
      </c>
      <c r="E1042" t="s">
        <v>17</v>
      </c>
      <c r="F1042" s="1">
        <v>45593</v>
      </c>
      <c r="G1042" s="1">
        <v>46053</v>
      </c>
      <c r="H1042">
        <v>61</v>
      </c>
      <c r="I1042">
        <v>7</v>
      </c>
      <c r="J1042">
        <v>1</v>
      </c>
      <c r="K1042" t="str">
        <f t="shared" si="48"/>
        <v>Oct-2024</v>
      </c>
      <c r="L1042" s="1">
        <f t="shared" ca="1" si="49"/>
        <v>105</v>
      </c>
      <c r="M1042" t="str">
        <f t="shared" si="50"/>
        <v>46+</v>
      </c>
    </row>
    <row r="1043" spans="1:13" x14ac:dyDescent="0.2">
      <c r="A1043" t="s">
        <v>2087</v>
      </c>
      <c r="B1043" t="s">
        <v>2088</v>
      </c>
      <c r="C1043">
        <v>50</v>
      </c>
      <c r="D1043" t="s">
        <v>12</v>
      </c>
      <c r="E1043" t="s">
        <v>17</v>
      </c>
      <c r="F1043" s="1">
        <v>45659</v>
      </c>
      <c r="G1043" s="1">
        <v>46112</v>
      </c>
      <c r="H1043">
        <v>74</v>
      </c>
      <c r="I1043">
        <v>7</v>
      </c>
      <c r="J1043">
        <v>0</v>
      </c>
      <c r="K1043" t="str">
        <f t="shared" si="48"/>
        <v>Jan-2025</v>
      </c>
      <c r="L1043" s="1">
        <f t="shared" ca="1" si="49"/>
        <v>46</v>
      </c>
      <c r="M1043" t="str">
        <f t="shared" si="50"/>
        <v>46+</v>
      </c>
    </row>
    <row r="1044" spans="1:13" x14ac:dyDescent="0.2">
      <c r="A1044" t="s">
        <v>2089</v>
      </c>
      <c r="B1044" t="s">
        <v>2090</v>
      </c>
      <c r="C1044">
        <v>55</v>
      </c>
      <c r="D1044" t="s">
        <v>20</v>
      </c>
      <c r="E1044" t="s">
        <v>17</v>
      </c>
      <c r="F1044" s="1">
        <v>45460</v>
      </c>
      <c r="G1044" s="1">
        <v>46047</v>
      </c>
      <c r="H1044">
        <v>7</v>
      </c>
      <c r="I1044">
        <v>3</v>
      </c>
      <c r="J1044">
        <v>0</v>
      </c>
      <c r="K1044" t="str">
        <f t="shared" si="48"/>
        <v>Jun-2024</v>
      </c>
      <c r="L1044" s="1">
        <f t="shared" ca="1" si="49"/>
        <v>111</v>
      </c>
      <c r="M1044" t="str">
        <f t="shared" si="50"/>
        <v>46+</v>
      </c>
    </row>
    <row r="1045" spans="1:13" x14ac:dyDescent="0.2">
      <c r="A1045" t="s">
        <v>2091</v>
      </c>
      <c r="B1045" t="s">
        <v>2092</v>
      </c>
      <c r="C1045">
        <v>37</v>
      </c>
      <c r="D1045" t="s">
        <v>12</v>
      </c>
      <c r="E1045" t="s">
        <v>21</v>
      </c>
      <c r="F1045" s="1">
        <v>46070</v>
      </c>
      <c r="G1045" s="1">
        <v>46067</v>
      </c>
      <c r="H1045">
        <v>7</v>
      </c>
      <c r="I1045">
        <v>10</v>
      </c>
      <c r="J1045">
        <v>0</v>
      </c>
      <c r="K1045" t="str">
        <f t="shared" si="48"/>
        <v>Feb-2026</v>
      </c>
      <c r="L1045" s="1">
        <f t="shared" ca="1" si="49"/>
        <v>91</v>
      </c>
      <c r="M1045" t="str">
        <f t="shared" si="50"/>
        <v>36-45</v>
      </c>
    </row>
    <row r="1046" spans="1:13" x14ac:dyDescent="0.2">
      <c r="A1046" t="s">
        <v>2093</v>
      </c>
      <c r="B1046" t="s">
        <v>2094</v>
      </c>
      <c r="C1046">
        <v>60</v>
      </c>
      <c r="D1046" t="s">
        <v>12</v>
      </c>
      <c r="E1046" t="s">
        <v>21</v>
      </c>
      <c r="F1046" s="1">
        <v>45836</v>
      </c>
      <c r="G1046" s="1">
        <v>46140</v>
      </c>
      <c r="H1046">
        <v>11</v>
      </c>
      <c r="I1046">
        <v>5</v>
      </c>
      <c r="J1046">
        <v>0</v>
      </c>
      <c r="K1046" t="str">
        <f t="shared" si="48"/>
        <v>Jun-2025</v>
      </c>
      <c r="L1046" s="1">
        <f t="shared" ca="1" si="49"/>
        <v>18</v>
      </c>
      <c r="M1046" t="str">
        <f t="shared" si="50"/>
        <v>46+</v>
      </c>
    </row>
    <row r="1047" spans="1:13" x14ac:dyDescent="0.2">
      <c r="A1047" t="s">
        <v>2095</v>
      </c>
      <c r="B1047" t="s">
        <v>2096</v>
      </c>
      <c r="C1047">
        <v>49</v>
      </c>
      <c r="D1047" t="s">
        <v>12</v>
      </c>
      <c r="E1047" t="s">
        <v>21</v>
      </c>
      <c r="F1047" s="1">
        <v>45564</v>
      </c>
      <c r="G1047" s="1">
        <v>46126</v>
      </c>
      <c r="H1047">
        <v>30</v>
      </c>
      <c r="I1047">
        <v>8</v>
      </c>
      <c r="J1047">
        <v>1</v>
      </c>
      <c r="K1047" t="str">
        <f t="shared" si="48"/>
        <v>Sep-2024</v>
      </c>
      <c r="L1047" s="1">
        <f t="shared" ca="1" si="49"/>
        <v>32</v>
      </c>
      <c r="M1047" t="str">
        <f t="shared" si="50"/>
        <v>46+</v>
      </c>
    </row>
    <row r="1048" spans="1:13" x14ac:dyDescent="0.2">
      <c r="A1048" t="s">
        <v>2097</v>
      </c>
      <c r="B1048" t="s">
        <v>2098</v>
      </c>
      <c r="C1048">
        <v>27</v>
      </c>
      <c r="D1048" t="s">
        <v>16</v>
      </c>
      <c r="E1048" t="s">
        <v>21</v>
      </c>
      <c r="F1048" s="1">
        <v>45902</v>
      </c>
      <c r="G1048" s="1">
        <v>46107</v>
      </c>
      <c r="H1048">
        <v>2</v>
      </c>
      <c r="I1048">
        <v>10</v>
      </c>
      <c r="J1048">
        <v>1</v>
      </c>
      <c r="K1048" t="str">
        <f t="shared" si="48"/>
        <v>Sep-2025</v>
      </c>
      <c r="L1048" s="1">
        <f t="shared" ca="1" si="49"/>
        <v>51</v>
      </c>
      <c r="M1048" t="str">
        <f t="shared" si="50"/>
        <v>26-35</v>
      </c>
    </row>
    <row r="1049" spans="1:13" x14ac:dyDescent="0.2">
      <c r="A1049" t="s">
        <v>2099</v>
      </c>
      <c r="B1049" t="s">
        <v>2100</v>
      </c>
      <c r="C1049">
        <v>26</v>
      </c>
      <c r="D1049" t="s">
        <v>16</v>
      </c>
      <c r="E1049" t="s">
        <v>13</v>
      </c>
      <c r="F1049" s="1">
        <v>45723</v>
      </c>
      <c r="G1049" s="1">
        <v>46142</v>
      </c>
      <c r="H1049">
        <v>40</v>
      </c>
      <c r="I1049">
        <v>3</v>
      </c>
      <c r="J1049">
        <v>0</v>
      </c>
      <c r="K1049" t="str">
        <f t="shared" si="48"/>
        <v>Mar-2025</v>
      </c>
      <c r="L1049" s="1">
        <f t="shared" ca="1" si="49"/>
        <v>16</v>
      </c>
      <c r="M1049" t="str">
        <f t="shared" si="50"/>
        <v>26-35</v>
      </c>
    </row>
    <row r="1050" spans="1:13" x14ac:dyDescent="0.2">
      <c r="A1050" t="s">
        <v>2101</v>
      </c>
      <c r="B1050" t="s">
        <v>2102</v>
      </c>
      <c r="C1050">
        <v>20</v>
      </c>
      <c r="D1050" t="s">
        <v>16</v>
      </c>
      <c r="E1050" t="s">
        <v>21</v>
      </c>
      <c r="F1050" s="1">
        <v>46057</v>
      </c>
      <c r="G1050" s="1">
        <v>46072</v>
      </c>
      <c r="H1050">
        <v>22</v>
      </c>
      <c r="I1050">
        <v>2</v>
      </c>
      <c r="J1050">
        <v>1</v>
      </c>
      <c r="K1050" t="str">
        <f t="shared" si="48"/>
        <v>Feb-2026</v>
      </c>
      <c r="L1050" s="1">
        <f t="shared" ca="1" si="49"/>
        <v>86</v>
      </c>
      <c r="M1050" t="str">
        <f t="shared" si="50"/>
        <v>18-25</v>
      </c>
    </row>
    <row r="1051" spans="1:13" x14ac:dyDescent="0.2">
      <c r="A1051" t="s">
        <v>2103</v>
      </c>
      <c r="B1051" t="s">
        <v>2104</v>
      </c>
      <c r="C1051">
        <v>33</v>
      </c>
      <c r="D1051" t="s">
        <v>16</v>
      </c>
      <c r="E1051" t="s">
        <v>21</v>
      </c>
      <c r="F1051" s="1">
        <v>45957</v>
      </c>
      <c r="G1051" s="1">
        <v>46108</v>
      </c>
      <c r="H1051">
        <v>76</v>
      </c>
      <c r="I1051">
        <v>3</v>
      </c>
      <c r="J1051">
        <v>1</v>
      </c>
      <c r="K1051" t="str">
        <f t="shared" si="48"/>
        <v>Oct-2025</v>
      </c>
      <c r="L1051" s="1">
        <f t="shared" ca="1" si="49"/>
        <v>50</v>
      </c>
      <c r="M1051" t="str">
        <f t="shared" si="50"/>
        <v>26-35</v>
      </c>
    </row>
    <row r="1052" spans="1:13" x14ac:dyDescent="0.2">
      <c r="A1052" t="s">
        <v>2105</v>
      </c>
      <c r="B1052" t="s">
        <v>2106</v>
      </c>
      <c r="C1052">
        <v>41</v>
      </c>
      <c r="D1052" t="s">
        <v>20</v>
      </c>
      <c r="E1052" t="s">
        <v>21</v>
      </c>
      <c r="F1052" s="1">
        <v>45706</v>
      </c>
      <c r="G1052" s="1">
        <v>46048</v>
      </c>
      <c r="H1052">
        <v>60</v>
      </c>
      <c r="I1052">
        <v>10</v>
      </c>
      <c r="J1052">
        <v>0</v>
      </c>
      <c r="K1052" t="str">
        <f t="shared" si="48"/>
        <v>Feb-2025</v>
      </c>
      <c r="L1052" s="1">
        <f t="shared" ca="1" si="49"/>
        <v>110</v>
      </c>
      <c r="M1052" t="str">
        <f t="shared" si="50"/>
        <v>36-45</v>
      </c>
    </row>
    <row r="1053" spans="1:13" x14ac:dyDescent="0.2">
      <c r="A1053" t="s">
        <v>2107</v>
      </c>
      <c r="B1053" t="s">
        <v>2108</v>
      </c>
      <c r="C1053">
        <v>18</v>
      </c>
      <c r="D1053" t="s">
        <v>16</v>
      </c>
      <c r="E1053" t="s">
        <v>21</v>
      </c>
      <c r="F1053" s="1">
        <v>45943</v>
      </c>
      <c r="G1053" s="1">
        <v>46094</v>
      </c>
      <c r="H1053">
        <v>12</v>
      </c>
      <c r="I1053">
        <v>3</v>
      </c>
      <c r="J1053">
        <v>1</v>
      </c>
      <c r="K1053" t="str">
        <f t="shared" si="48"/>
        <v>Oct-2025</v>
      </c>
      <c r="L1053" s="1">
        <f t="shared" ca="1" si="49"/>
        <v>64</v>
      </c>
      <c r="M1053" t="str">
        <f t="shared" si="50"/>
        <v>18-25</v>
      </c>
    </row>
    <row r="1054" spans="1:13" x14ac:dyDescent="0.2">
      <c r="A1054" t="s">
        <v>2109</v>
      </c>
      <c r="B1054" t="s">
        <v>2110</v>
      </c>
      <c r="C1054">
        <v>18</v>
      </c>
      <c r="D1054" t="s">
        <v>20</v>
      </c>
      <c r="E1054" t="s">
        <v>13</v>
      </c>
      <c r="F1054" s="1">
        <v>45442</v>
      </c>
      <c r="G1054" s="1">
        <v>46076</v>
      </c>
      <c r="H1054">
        <v>73</v>
      </c>
      <c r="I1054">
        <v>10</v>
      </c>
      <c r="J1054">
        <v>0</v>
      </c>
      <c r="K1054" t="str">
        <f t="shared" si="48"/>
        <v>May-2024</v>
      </c>
      <c r="L1054" s="1">
        <f t="shared" ca="1" si="49"/>
        <v>82</v>
      </c>
      <c r="M1054" t="str">
        <f t="shared" si="50"/>
        <v>18-25</v>
      </c>
    </row>
    <row r="1055" spans="1:13" x14ac:dyDescent="0.2">
      <c r="A1055" t="s">
        <v>2111</v>
      </c>
      <c r="B1055" t="s">
        <v>2112</v>
      </c>
      <c r="C1055">
        <v>58</v>
      </c>
      <c r="D1055" t="s">
        <v>20</v>
      </c>
      <c r="E1055" t="s">
        <v>17</v>
      </c>
      <c r="F1055" s="1">
        <v>45276</v>
      </c>
      <c r="G1055" s="1">
        <v>46103</v>
      </c>
      <c r="H1055">
        <v>75</v>
      </c>
      <c r="I1055">
        <v>7</v>
      </c>
      <c r="J1055">
        <v>0</v>
      </c>
      <c r="K1055" t="str">
        <f t="shared" si="48"/>
        <v>Dec-2023</v>
      </c>
      <c r="L1055" s="1">
        <f t="shared" ca="1" si="49"/>
        <v>55</v>
      </c>
      <c r="M1055" t="str">
        <f t="shared" si="50"/>
        <v>46+</v>
      </c>
    </row>
    <row r="1056" spans="1:13" x14ac:dyDescent="0.2">
      <c r="A1056" t="s">
        <v>2113</v>
      </c>
      <c r="B1056" t="s">
        <v>2114</v>
      </c>
      <c r="C1056">
        <v>26</v>
      </c>
      <c r="D1056" t="s">
        <v>16</v>
      </c>
      <c r="E1056" t="s">
        <v>21</v>
      </c>
      <c r="F1056" s="1">
        <v>45691</v>
      </c>
      <c r="G1056" s="1">
        <v>46054</v>
      </c>
      <c r="H1056">
        <v>72</v>
      </c>
      <c r="I1056">
        <v>6</v>
      </c>
      <c r="J1056">
        <v>0</v>
      </c>
      <c r="K1056" t="str">
        <f t="shared" si="48"/>
        <v>Feb-2025</v>
      </c>
      <c r="L1056" s="1">
        <f t="shared" ca="1" si="49"/>
        <v>104</v>
      </c>
      <c r="M1056" t="str">
        <f t="shared" si="50"/>
        <v>26-35</v>
      </c>
    </row>
    <row r="1057" spans="1:13" x14ac:dyDescent="0.2">
      <c r="A1057" t="s">
        <v>2115</v>
      </c>
      <c r="B1057" t="s">
        <v>2116</v>
      </c>
      <c r="C1057">
        <v>53</v>
      </c>
      <c r="D1057" t="s">
        <v>16</v>
      </c>
      <c r="E1057" t="s">
        <v>17</v>
      </c>
      <c r="F1057" s="1">
        <v>45668</v>
      </c>
      <c r="G1057" s="1">
        <v>46118</v>
      </c>
      <c r="H1057">
        <v>68</v>
      </c>
      <c r="I1057">
        <v>2</v>
      </c>
      <c r="J1057">
        <v>1</v>
      </c>
      <c r="K1057" t="str">
        <f t="shared" si="48"/>
        <v>Jan-2025</v>
      </c>
      <c r="L1057" s="1">
        <f t="shared" ca="1" si="49"/>
        <v>40</v>
      </c>
      <c r="M1057" t="str">
        <f t="shared" si="50"/>
        <v>46+</v>
      </c>
    </row>
    <row r="1058" spans="1:13" x14ac:dyDescent="0.2">
      <c r="A1058" t="s">
        <v>2117</v>
      </c>
      <c r="B1058" t="s">
        <v>2118</v>
      </c>
      <c r="C1058">
        <v>41</v>
      </c>
      <c r="D1058" t="s">
        <v>12</v>
      </c>
      <c r="E1058" t="s">
        <v>17</v>
      </c>
      <c r="F1058" s="1">
        <v>45724</v>
      </c>
      <c r="G1058" s="1">
        <v>46030</v>
      </c>
      <c r="H1058">
        <v>61</v>
      </c>
      <c r="I1058">
        <v>10</v>
      </c>
      <c r="J1058">
        <v>0</v>
      </c>
      <c r="K1058" t="str">
        <f t="shared" si="48"/>
        <v>Mar-2025</v>
      </c>
      <c r="L1058" s="1">
        <f t="shared" ca="1" si="49"/>
        <v>128</v>
      </c>
      <c r="M1058" t="str">
        <f t="shared" si="50"/>
        <v>36-45</v>
      </c>
    </row>
    <row r="1059" spans="1:13" x14ac:dyDescent="0.2">
      <c r="A1059" t="s">
        <v>2119</v>
      </c>
      <c r="B1059" t="s">
        <v>2120</v>
      </c>
      <c r="C1059">
        <v>45</v>
      </c>
      <c r="D1059" t="s">
        <v>12</v>
      </c>
      <c r="E1059" t="s">
        <v>13</v>
      </c>
      <c r="F1059" s="1">
        <v>46051</v>
      </c>
      <c r="G1059" s="1">
        <v>46053</v>
      </c>
      <c r="H1059">
        <v>24</v>
      </c>
      <c r="I1059">
        <v>6</v>
      </c>
      <c r="J1059">
        <v>1</v>
      </c>
      <c r="K1059" t="str">
        <f t="shared" si="48"/>
        <v>Jan-2026</v>
      </c>
      <c r="L1059" s="1">
        <f t="shared" ca="1" si="49"/>
        <v>105</v>
      </c>
      <c r="M1059" t="str">
        <f t="shared" si="50"/>
        <v>36-45</v>
      </c>
    </row>
    <row r="1060" spans="1:13" x14ac:dyDescent="0.2">
      <c r="A1060" t="s">
        <v>2121</v>
      </c>
      <c r="B1060" t="s">
        <v>2122</v>
      </c>
      <c r="C1060">
        <v>38</v>
      </c>
      <c r="D1060" t="s">
        <v>20</v>
      </c>
      <c r="E1060" t="s">
        <v>21</v>
      </c>
      <c r="F1060" s="1">
        <v>45291</v>
      </c>
      <c r="G1060" s="1">
        <v>46077</v>
      </c>
      <c r="H1060">
        <v>32</v>
      </c>
      <c r="I1060">
        <v>2</v>
      </c>
      <c r="J1060">
        <v>1</v>
      </c>
      <c r="K1060" t="str">
        <f t="shared" si="48"/>
        <v>Dec-2023</v>
      </c>
      <c r="L1060" s="1">
        <f t="shared" ca="1" si="49"/>
        <v>81</v>
      </c>
      <c r="M1060" t="str">
        <f t="shared" si="50"/>
        <v>36-45</v>
      </c>
    </row>
    <row r="1061" spans="1:13" x14ac:dyDescent="0.2">
      <c r="A1061" t="s">
        <v>2123</v>
      </c>
      <c r="B1061" t="s">
        <v>2124</v>
      </c>
      <c r="C1061">
        <v>58</v>
      </c>
      <c r="D1061" t="s">
        <v>16</v>
      </c>
      <c r="E1061" t="s">
        <v>21</v>
      </c>
      <c r="F1061" s="1">
        <v>46010</v>
      </c>
      <c r="G1061" s="1">
        <v>46117</v>
      </c>
      <c r="H1061">
        <v>2</v>
      </c>
      <c r="I1061">
        <v>2</v>
      </c>
      <c r="J1061">
        <v>1</v>
      </c>
      <c r="K1061" t="str">
        <f t="shared" si="48"/>
        <v>Dec-2025</v>
      </c>
      <c r="L1061" s="1">
        <f t="shared" ca="1" si="49"/>
        <v>41</v>
      </c>
      <c r="M1061" t="str">
        <f t="shared" si="50"/>
        <v>46+</v>
      </c>
    </row>
    <row r="1062" spans="1:13" x14ac:dyDescent="0.2">
      <c r="A1062" t="s">
        <v>2125</v>
      </c>
      <c r="B1062" t="s">
        <v>2126</v>
      </c>
      <c r="C1062">
        <v>51</v>
      </c>
      <c r="D1062" t="s">
        <v>20</v>
      </c>
      <c r="E1062" t="s">
        <v>21</v>
      </c>
      <c r="F1062" s="1">
        <v>45215</v>
      </c>
      <c r="G1062" s="1">
        <v>46100</v>
      </c>
      <c r="H1062">
        <v>2</v>
      </c>
      <c r="I1062">
        <v>6</v>
      </c>
      <c r="J1062">
        <v>0</v>
      </c>
      <c r="K1062" t="str">
        <f t="shared" si="48"/>
        <v>Oct-2023</v>
      </c>
      <c r="L1062" s="1">
        <f t="shared" ca="1" si="49"/>
        <v>58</v>
      </c>
      <c r="M1062" t="str">
        <f t="shared" si="50"/>
        <v>46+</v>
      </c>
    </row>
    <row r="1063" spans="1:13" x14ac:dyDescent="0.2">
      <c r="A1063" t="s">
        <v>2127</v>
      </c>
      <c r="B1063" t="s">
        <v>2128</v>
      </c>
      <c r="C1063">
        <v>57</v>
      </c>
      <c r="D1063" t="s">
        <v>16</v>
      </c>
      <c r="E1063" t="s">
        <v>21</v>
      </c>
      <c r="F1063" s="1">
        <v>45929</v>
      </c>
      <c r="G1063" s="1">
        <v>46117</v>
      </c>
      <c r="H1063">
        <v>37</v>
      </c>
      <c r="I1063">
        <v>5</v>
      </c>
      <c r="J1063">
        <v>0</v>
      </c>
      <c r="K1063" t="str">
        <f t="shared" si="48"/>
        <v>Sep-2025</v>
      </c>
      <c r="L1063" s="1">
        <f t="shared" ca="1" si="49"/>
        <v>41</v>
      </c>
      <c r="M1063" t="str">
        <f t="shared" si="50"/>
        <v>46+</v>
      </c>
    </row>
    <row r="1064" spans="1:13" x14ac:dyDescent="0.2">
      <c r="A1064" t="s">
        <v>2129</v>
      </c>
      <c r="B1064" t="s">
        <v>2130</v>
      </c>
      <c r="C1064">
        <v>20</v>
      </c>
      <c r="D1064" t="s">
        <v>12</v>
      </c>
      <c r="E1064" t="s">
        <v>13</v>
      </c>
      <c r="F1064" s="1">
        <v>46005</v>
      </c>
      <c r="G1064" s="1">
        <v>46102</v>
      </c>
      <c r="H1064">
        <v>28</v>
      </c>
      <c r="I1064">
        <v>2</v>
      </c>
      <c r="J1064">
        <v>0</v>
      </c>
      <c r="K1064" t="str">
        <f t="shared" si="48"/>
        <v>Dec-2025</v>
      </c>
      <c r="L1064" s="1">
        <f t="shared" ca="1" si="49"/>
        <v>56</v>
      </c>
      <c r="M1064" t="str">
        <f t="shared" si="50"/>
        <v>18-25</v>
      </c>
    </row>
    <row r="1065" spans="1:13" x14ac:dyDescent="0.2">
      <c r="A1065" t="s">
        <v>2131</v>
      </c>
      <c r="B1065" t="s">
        <v>2132</v>
      </c>
      <c r="C1065">
        <v>46</v>
      </c>
      <c r="D1065" t="s">
        <v>20</v>
      </c>
      <c r="E1065" t="s">
        <v>17</v>
      </c>
      <c r="F1065" s="1">
        <v>45768</v>
      </c>
      <c r="G1065" s="1">
        <v>46111</v>
      </c>
      <c r="H1065">
        <v>49</v>
      </c>
      <c r="I1065">
        <v>6</v>
      </c>
      <c r="J1065">
        <v>0</v>
      </c>
      <c r="K1065" t="str">
        <f t="shared" si="48"/>
        <v>Apr-2025</v>
      </c>
      <c r="L1065" s="1">
        <f t="shared" ca="1" si="49"/>
        <v>47</v>
      </c>
      <c r="M1065" t="str">
        <f t="shared" si="50"/>
        <v>46+</v>
      </c>
    </row>
    <row r="1066" spans="1:13" x14ac:dyDescent="0.2">
      <c r="A1066" t="s">
        <v>2133</v>
      </c>
      <c r="B1066" t="s">
        <v>2134</v>
      </c>
      <c r="C1066">
        <v>21</v>
      </c>
      <c r="D1066" t="s">
        <v>16</v>
      </c>
      <c r="E1066" t="s">
        <v>21</v>
      </c>
      <c r="F1066" s="1">
        <v>46108</v>
      </c>
      <c r="G1066" s="1">
        <v>46124</v>
      </c>
      <c r="H1066">
        <v>43</v>
      </c>
      <c r="I1066">
        <v>2</v>
      </c>
      <c r="J1066">
        <v>1</v>
      </c>
      <c r="K1066" t="str">
        <f t="shared" si="48"/>
        <v>Mar-2026</v>
      </c>
      <c r="L1066" s="1">
        <f t="shared" ca="1" si="49"/>
        <v>34</v>
      </c>
      <c r="M1066" t="str">
        <f t="shared" si="50"/>
        <v>18-25</v>
      </c>
    </row>
    <row r="1067" spans="1:13" x14ac:dyDescent="0.2">
      <c r="A1067" t="s">
        <v>2135</v>
      </c>
      <c r="B1067" t="s">
        <v>2136</v>
      </c>
      <c r="C1067">
        <v>58</v>
      </c>
      <c r="D1067" t="s">
        <v>16</v>
      </c>
      <c r="E1067" t="s">
        <v>21</v>
      </c>
      <c r="F1067" s="1">
        <v>45790</v>
      </c>
      <c r="G1067" s="1">
        <v>46037</v>
      </c>
      <c r="H1067">
        <v>67</v>
      </c>
      <c r="I1067">
        <v>4</v>
      </c>
      <c r="J1067">
        <v>1</v>
      </c>
      <c r="K1067" t="str">
        <f t="shared" si="48"/>
        <v>May-2025</v>
      </c>
      <c r="L1067" s="1">
        <f t="shared" ca="1" si="49"/>
        <v>121</v>
      </c>
      <c r="M1067" t="str">
        <f t="shared" si="50"/>
        <v>46+</v>
      </c>
    </row>
    <row r="1068" spans="1:13" x14ac:dyDescent="0.2">
      <c r="A1068" t="s">
        <v>2137</v>
      </c>
      <c r="B1068" t="s">
        <v>2138</v>
      </c>
      <c r="C1068">
        <v>36</v>
      </c>
      <c r="D1068" t="s">
        <v>16</v>
      </c>
      <c r="E1068" t="s">
        <v>21</v>
      </c>
      <c r="F1068" s="1">
        <v>45975</v>
      </c>
      <c r="G1068" s="1">
        <v>46036</v>
      </c>
      <c r="H1068">
        <v>18</v>
      </c>
      <c r="I1068">
        <v>4</v>
      </c>
      <c r="J1068">
        <v>1</v>
      </c>
      <c r="K1068" t="str">
        <f t="shared" si="48"/>
        <v>Nov-2025</v>
      </c>
      <c r="L1068" s="1">
        <f t="shared" ca="1" si="49"/>
        <v>122</v>
      </c>
      <c r="M1068" t="str">
        <f t="shared" si="50"/>
        <v>36-45</v>
      </c>
    </row>
    <row r="1069" spans="1:13" x14ac:dyDescent="0.2">
      <c r="A1069" t="s">
        <v>2139</v>
      </c>
      <c r="B1069" t="s">
        <v>2140</v>
      </c>
      <c r="C1069">
        <v>58</v>
      </c>
      <c r="D1069" t="s">
        <v>20</v>
      </c>
      <c r="E1069" t="s">
        <v>17</v>
      </c>
      <c r="F1069" s="1">
        <v>45186</v>
      </c>
      <c r="G1069" s="1">
        <v>46055</v>
      </c>
      <c r="H1069">
        <v>35</v>
      </c>
      <c r="I1069">
        <v>8</v>
      </c>
      <c r="J1069">
        <v>1</v>
      </c>
      <c r="K1069" t="str">
        <f t="shared" si="48"/>
        <v>Sep-2023</v>
      </c>
      <c r="L1069" s="1">
        <f t="shared" ca="1" si="49"/>
        <v>103</v>
      </c>
      <c r="M1069" t="str">
        <f t="shared" si="50"/>
        <v>46+</v>
      </c>
    </row>
    <row r="1070" spans="1:13" x14ac:dyDescent="0.2">
      <c r="A1070" t="s">
        <v>2141</v>
      </c>
      <c r="B1070" t="s">
        <v>2142</v>
      </c>
      <c r="C1070">
        <v>21</v>
      </c>
      <c r="D1070" t="s">
        <v>20</v>
      </c>
      <c r="E1070" t="s">
        <v>21</v>
      </c>
      <c r="F1070" s="1">
        <v>45483</v>
      </c>
      <c r="G1070" s="1">
        <v>46064</v>
      </c>
      <c r="H1070">
        <v>50</v>
      </c>
      <c r="I1070">
        <v>4</v>
      </c>
      <c r="J1070">
        <v>1</v>
      </c>
      <c r="K1070" t="str">
        <f t="shared" si="48"/>
        <v>Jul-2024</v>
      </c>
      <c r="L1070" s="1">
        <f t="shared" ca="1" si="49"/>
        <v>94</v>
      </c>
      <c r="M1070" t="str">
        <f t="shared" si="50"/>
        <v>18-25</v>
      </c>
    </row>
    <row r="1071" spans="1:13" x14ac:dyDescent="0.2">
      <c r="A1071" t="s">
        <v>2143</v>
      </c>
      <c r="B1071" t="s">
        <v>2144</v>
      </c>
      <c r="C1071">
        <v>50</v>
      </c>
      <c r="D1071" t="s">
        <v>20</v>
      </c>
      <c r="E1071" t="s">
        <v>21</v>
      </c>
      <c r="F1071" s="1">
        <v>45563</v>
      </c>
      <c r="G1071" s="1">
        <v>46118</v>
      </c>
      <c r="H1071">
        <v>53</v>
      </c>
      <c r="I1071">
        <v>7</v>
      </c>
      <c r="J1071">
        <v>0</v>
      </c>
      <c r="K1071" t="str">
        <f t="shared" si="48"/>
        <v>Sep-2024</v>
      </c>
      <c r="L1071" s="1">
        <f t="shared" ca="1" si="49"/>
        <v>40</v>
      </c>
      <c r="M1071" t="str">
        <f t="shared" si="50"/>
        <v>46+</v>
      </c>
    </row>
    <row r="1072" spans="1:13" x14ac:dyDescent="0.2">
      <c r="A1072" t="s">
        <v>2145</v>
      </c>
      <c r="B1072" t="s">
        <v>2146</v>
      </c>
      <c r="C1072">
        <v>57</v>
      </c>
      <c r="D1072" t="s">
        <v>12</v>
      </c>
      <c r="E1072" t="s">
        <v>17</v>
      </c>
      <c r="F1072" s="1">
        <v>45295</v>
      </c>
      <c r="G1072" s="1">
        <v>46102</v>
      </c>
      <c r="H1072">
        <v>33</v>
      </c>
      <c r="I1072">
        <v>1</v>
      </c>
      <c r="J1072">
        <v>0</v>
      </c>
      <c r="K1072" t="str">
        <f t="shared" si="48"/>
        <v>Jan-2024</v>
      </c>
      <c r="L1072" s="1">
        <f t="shared" ca="1" si="49"/>
        <v>56</v>
      </c>
      <c r="M1072" t="str">
        <f t="shared" si="50"/>
        <v>46+</v>
      </c>
    </row>
    <row r="1073" spans="1:13" x14ac:dyDescent="0.2">
      <c r="A1073" t="s">
        <v>2147</v>
      </c>
      <c r="B1073" t="s">
        <v>2148</v>
      </c>
      <c r="C1073">
        <v>40</v>
      </c>
      <c r="D1073" t="s">
        <v>16</v>
      </c>
      <c r="E1073" t="s">
        <v>17</v>
      </c>
      <c r="F1073" s="1">
        <v>45670</v>
      </c>
      <c r="G1073" s="1">
        <v>46069</v>
      </c>
      <c r="H1073">
        <v>75</v>
      </c>
      <c r="I1073">
        <v>4</v>
      </c>
      <c r="J1073">
        <v>0</v>
      </c>
      <c r="K1073" t="str">
        <f t="shared" si="48"/>
        <v>Jan-2025</v>
      </c>
      <c r="L1073" s="1">
        <f t="shared" ca="1" si="49"/>
        <v>89</v>
      </c>
      <c r="M1073" t="str">
        <f t="shared" si="50"/>
        <v>36-45</v>
      </c>
    </row>
    <row r="1074" spans="1:13" x14ac:dyDescent="0.2">
      <c r="A1074" t="s">
        <v>2149</v>
      </c>
      <c r="B1074" t="s">
        <v>2150</v>
      </c>
      <c r="C1074">
        <v>46</v>
      </c>
      <c r="D1074" t="s">
        <v>16</v>
      </c>
      <c r="E1074" t="s">
        <v>17</v>
      </c>
      <c r="F1074" s="1">
        <v>45184</v>
      </c>
      <c r="G1074" s="1">
        <v>46140</v>
      </c>
      <c r="H1074">
        <v>42</v>
      </c>
      <c r="I1074">
        <v>3</v>
      </c>
      <c r="J1074">
        <v>1</v>
      </c>
      <c r="K1074" t="str">
        <f t="shared" si="48"/>
        <v>Sep-2023</v>
      </c>
      <c r="L1074" s="1">
        <f t="shared" ca="1" si="49"/>
        <v>18</v>
      </c>
      <c r="M1074" t="str">
        <f t="shared" si="50"/>
        <v>46+</v>
      </c>
    </row>
    <row r="1075" spans="1:13" x14ac:dyDescent="0.2">
      <c r="A1075" t="s">
        <v>2151</v>
      </c>
      <c r="B1075" t="s">
        <v>2152</v>
      </c>
      <c r="C1075">
        <v>25</v>
      </c>
      <c r="D1075" t="s">
        <v>16</v>
      </c>
      <c r="E1075" t="s">
        <v>21</v>
      </c>
      <c r="F1075" s="1">
        <v>45386</v>
      </c>
      <c r="G1075" s="1">
        <v>46117</v>
      </c>
      <c r="H1075">
        <v>12</v>
      </c>
      <c r="I1075">
        <v>3</v>
      </c>
      <c r="J1075">
        <v>0</v>
      </c>
      <c r="K1075" t="str">
        <f t="shared" si="48"/>
        <v>Apr-2024</v>
      </c>
      <c r="L1075" s="1">
        <f t="shared" ca="1" si="49"/>
        <v>41</v>
      </c>
      <c r="M1075" t="str">
        <f t="shared" si="50"/>
        <v>18-25</v>
      </c>
    </row>
    <row r="1076" spans="1:13" x14ac:dyDescent="0.2">
      <c r="A1076" t="s">
        <v>2153</v>
      </c>
      <c r="B1076" t="s">
        <v>2154</v>
      </c>
      <c r="C1076">
        <v>22</v>
      </c>
      <c r="D1076" t="s">
        <v>12</v>
      </c>
      <c r="E1076" t="s">
        <v>17</v>
      </c>
      <c r="F1076" s="1">
        <v>45995</v>
      </c>
      <c r="G1076" s="1">
        <v>46054</v>
      </c>
      <c r="H1076">
        <v>33</v>
      </c>
      <c r="I1076">
        <v>6</v>
      </c>
      <c r="J1076">
        <v>0</v>
      </c>
      <c r="K1076" t="str">
        <f t="shared" si="48"/>
        <v>Dec-2025</v>
      </c>
      <c r="L1076" s="1">
        <f t="shared" ca="1" si="49"/>
        <v>104</v>
      </c>
      <c r="M1076" t="str">
        <f t="shared" si="50"/>
        <v>18-25</v>
      </c>
    </row>
    <row r="1077" spans="1:13" x14ac:dyDescent="0.2">
      <c r="A1077" t="s">
        <v>2155</v>
      </c>
      <c r="B1077" t="s">
        <v>2156</v>
      </c>
      <c r="C1077">
        <v>44</v>
      </c>
      <c r="D1077" t="s">
        <v>16</v>
      </c>
      <c r="E1077" t="s">
        <v>17</v>
      </c>
      <c r="F1077" s="1">
        <v>45666</v>
      </c>
      <c r="G1077" s="1">
        <v>46095</v>
      </c>
      <c r="H1077">
        <v>35</v>
      </c>
      <c r="I1077">
        <v>6</v>
      </c>
      <c r="J1077">
        <v>0</v>
      </c>
      <c r="K1077" t="str">
        <f t="shared" si="48"/>
        <v>Jan-2025</v>
      </c>
      <c r="L1077" s="1">
        <f t="shared" ca="1" si="49"/>
        <v>63</v>
      </c>
      <c r="M1077" t="str">
        <f t="shared" si="50"/>
        <v>36-45</v>
      </c>
    </row>
    <row r="1078" spans="1:13" x14ac:dyDescent="0.2">
      <c r="A1078" t="s">
        <v>2157</v>
      </c>
      <c r="B1078" t="s">
        <v>2158</v>
      </c>
      <c r="C1078">
        <v>49</v>
      </c>
      <c r="D1078" t="s">
        <v>16</v>
      </c>
      <c r="E1078" t="s">
        <v>17</v>
      </c>
      <c r="F1078" s="1">
        <v>45596</v>
      </c>
      <c r="G1078" s="1">
        <v>46075</v>
      </c>
      <c r="H1078">
        <v>68</v>
      </c>
      <c r="I1078">
        <v>9</v>
      </c>
      <c r="J1078">
        <v>1</v>
      </c>
      <c r="K1078" t="str">
        <f t="shared" si="48"/>
        <v>Oct-2024</v>
      </c>
      <c r="L1078" s="1">
        <f t="shared" ca="1" si="49"/>
        <v>83</v>
      </c>
      <c r="M1078" t="str">
        <f t="shared" si="50"/>
        <v>46+</v>
      </c>
    </row>
    <row r="1079" spans="1:13" x14ac:dyDescent="0.2">
      <c r="A1079" t="s">
        <v>2159</v>
      </c>
      <c r="B1079" t="s">
        <v>2160</v>
      </c>
      <c r="C1079">
        <v>50</v>
      </c>
      <c r="D1079" t="s">
        <v>12</v>
      </c>
      <c r="E1079" t="s">
        <v>17</v>
      </c>
      <c r="F1079" s="1">
        <v>45729</v>
      </c>
      <c r="G1079" s="1">
        <v>46082</v>
      </c>
      <c r="H1079">
        <v>8</v>
      </c>
      <c r="I1079">
        <v>6</v>
      </c>
      <c r="J1079">
        <v>0</v>
      </c>
      <c r="K1079" t="str">
        <f t="shared" si="48"/>
        <v>Mar-2025</v>
      </c>
      <c r="L1079" s="1">
        <f t="shared" ca="1" si="49"/>
        <v>76</v>
      </c>
      <c r="M1079" t="str">
        <f t="shared" si="50"/>
        <v>46+</v>
      </c>
    </row>
    <row r="1080" spans="1:13" x14ac:dyDescent="0.2">
      <c r="A1080" t="s">
        <v>2161</v>
      </c>
      <c r="B1080" t="s">
        <v>2162</v>
      </c>
      <c r="C1080">
        <v>52</v>
      </c>
      <c r="D1080" t="s">
        <v>12</v>
      </c>
      <c r="E1080" t="s">
        <v>17</v>
      </c>
      <c r="F1080" s="1">
        <v>45332</v>
      </c>
      <c r="G1080" s="1">
        <v>46129</v>
      </c>
      <c r="H1080">
        <v>8</v>
      </c>
      <c r="I1080">
        <v>6</v>
      </c>
      <c r="J1080">
        <v>0</v>
      </c>
      <c r="K1080" t="str">
        <f t="shared" si="48"/>
        <v>Feb-2024</v>
      </c>
      <c r="L1080" s="1">
        <f t="shared" ca="1" si="49"/>
        <v>29</v>
      </c>
      <c r="M1080" t="str">
        <f t="shared" si="50"/>
        <v>46+</v>
      </c>
    </row>
    <row r="1081" spans="1:13" x14ac:dyDescent="0.2">
      <c r="A1081" t="s">
        <v>2163</v>
      </c>
      <c r="B1081" t="s">
        <v>2164</v>
      </c>
      <c r="C1081">
        <v>24</v>
      </c>
      <c r="D1081" t="s">
        <v>20</v>
      </c>
      <c r="E1081" t="s">
        <v>21</v>
      </c>
      <c r="F1081" s="1">
        <v>45628</v>
      </c>
      <c r="G1081" s="1">
        <v>46145</v>
      </c>
      <c r="H1081">
        <v>25</v>
      </c>
      <c r="I1081">
        <v>2</v>
      </c>
      <c r="J1081">
        <v>1</v>
      </c>
      <c r="K1081" t="str">
        <f t="shared" si="48"/>
        <v>Dec-2024</v>
      </c>
      <c r="L1081" s="1">
        <f t="shared" ca="1" si="49"/>
        <v>13</v>
      </c>
      <c r="M1081" t="str">
        <f t="shared" si="50"/>
        <v>18-25</v>
      </c>
    </row>
    <row r="1082" spans="1:13" x14ac:dyDescent="0.2">
      <c r="A1082" t="s">
        <v>2165</v>
      </c>
      <c r="B1082" t="s">
        <v>2166</v>
      </c>
      <c r="C1082">
        <v>34</v>
      </c>
      <c r="D1082" t="s">
        <v>12</v>
      </c>
      <c r="E1082" t="s">
        <v>21</v>
      </c>
      <c r="F1082" s="1">
        <v>46019</v>
      </c>
      <c r="G1082" s="1">
        <v>46138</v>
      </c>
      <c r="H1082">
        <v>61</v>
      </c>
      <c r="I1082">
        <v>4</v>
      </c>
      <c r="J1082">
        <v>0</v>
      </c>
      <c r="K1082" t="str">
        <f t="shared" si="48"/>
        <v>Dec-2025</v>
      </c>
      <c r="L1082" s="1">
        <f t="shared" ca="1" si="49"/>
        <v>20</v>
      </c>
      <c r="M1082" t="str">
        <f t="shared" si="50"/>
        <v>26-35</v>
      </c>
    </row>
    <row r="1083" spans="1:13" x14ac:dyDescent="0.2">
      <c r="A1083" t="s">
        <v>2167</v>
      </c>
      <c r="B1083" t="s">
        <v>2168</v>
      </c>
      <c r="C1083">
        <v>59</v>
      </c>
      <c r="D1083" t="s">
        <v>16</v>
      </c>
      <c r="E1083" t="s">
        <v>21</v>
      </c>
      <c r="F1083" s="1">
        <v>46065</v>
      </c>
      <c r="G1083" s="1">
        <v>46073</v>
      </c>
      <c r="H1083">
        <v>59</v>
      </c>
      <c r="I1083">
        <v>8</v>
      </c>
      <c r="J1083">
        <v>1</v>
      </c>
      <c r="K1083" t="str">
        <f t="shared" si="48"/>
        <v>Feb-2026</v>
      </c>
      <c r="L1083" s="1">
        <f t="shared" ca="1" si="49"/>
        <v>85</v>
      </c>
      <c r="M1083" t="str">
        <f t="shared" si="50"/>
        <v>46+</v>
      </c>
    </row>
    <row r="1084" spans="1:13" x14ac:dyDescent="0.2">
      <c r="A1084" t="s">
        <v>2169</v>
      </c>
      <c r="B1084" t="s">
        <v>2170</v>
      </c>
      <c r="C1084">
        <v>57</v>
      </c>
      <c r="D1084" t="s">
        <v>20</v>
      </c>
      <c r="E1084" t="s">
        <v>21</v>
      </c>
      <c r="F1084" s="1">
        <v>45465</v>
      </c>
      <c r="G1084" s="1">
        <v>46097</v>
      </c>
      <c r="H1084">
        <v>65</v>
      </c>
      <c r="I1084">
        <v>7</v>
      </c>
      <c r="J1084">
        <v>0</v>
      </c>
      <c r="K1084" t="str">
        <f t="shared" si="48"/>
        <v>Jun-2024</v>
      </c>
      <c r="L1084" s="1">
        <f t="shared" ca="1" si="49"/>
        <v>61</v>
      </c>
      <c r="M1084" t="str">
        <f t="shared" si="50"/>
        <v>46+</v>
      </c>
    </row>
    <row r="1085" spans="1:13" x14ac:dyDescent="0.2">
      <c r="A1085" t="s">
        <v>2171</v>
      </c>
      <c r="B1085" t="s">
        <v>2172</v>
      </c>
      <c r="C1085">
        <v>39</v>
      </c>
      <c r="D1085" t="s">
        <v>16</v>
      </c>
      <c r="E1085" t="s">
        <v>21</v>
      </c>
      <c r="F1085" s="1">
        <v>45176</v>
      </c>
      <c r="G1085" s="1">
        <v>46083</v>
      </c>
      <c r="H1085">
        <v>15</v>
      </c>
      <c r="I1085">
        <v>3</v>
      </c>
      <c r="J1085">
        <v>1</v>
      </c>
      <c r="K1085" t="str">
        <f t="shared" si="48"/>
        <v>Sep-2023</v>
      </c>
      <c r="L1085" s="1">
        <f t="shared" ca="1" si="49"/>
        <v>75</v>
      </c>
      <c r="M1085" t="str">
        <f t="shared" si="50"/>
        <v>36-45</v>
      </c>
    </row>
    <row r="1086" spans="1:13" x14ac:dyDescent="0.2">
      <c r="A1086" t="s">
        <v>2173</v>
      </c>
      <c r="B1086" t="s">
        <v>2174</v>
      </c>
      <c r="C1086">
        <v>54</v>
      </c>
      <c r="D1086" t="s">
        <v>12</v>
      </c>
      <c r="E1086" t="s">
        <v>13</v>
      </c>
      <c r="F1086" s="1">
        <v>45836</v>
      </c>
      <c r="G1086" s="1">
        <v>46044</v>
      </c>
      <c r="H1086">
        <v>72</v>
      </c>
      <c r="I1086">
        <v>8</v>
      </c>
      <c r="J1086">
        <v>1</v>
      </c>
      <c r="K1086" t="str">
        <f t="shared" si="48"/>
        <v>Jun-2025</v>
      </c>
      <c r="L1086" s="1">
        <f t="shared" ca="1" si="49"/>
        <v>114</v>
      </c>
      <c r="M1086" t="str">
        <f t="shared" si="50"/>
        <v>46+</v>
      </c>
    </row>
    <row r="1087" spans="1:13" x14ac:dyDescent="0.2">
      <c r="A1087" t="s">
        <v>2175</v>
      </c>
      <c r="B1087" t="s">
        <v>2176</v>
      </c>
      <c r="C1087">
        <v>55</v>
      </c>
      <c r="D1087" t="s">
        <v>20</v>
      </c>
      <c r="E1087" t="s">
        <v>21</v>
      </c>
      <c r="F1087" s="1">
        <v>45991</v>
      </c>
      <c r="G1087" s="1">
        <v>46136</v>
      </c>
      <c r="H1087">
        <v>14</v>
      </c>
      <c r="I1087">
        <v>3</v>
      </c>
      <c r="J1087">
        <v>0</v>
      </c>
      <c r="K1087" t="str">
        <f t="shared" si="48"/>
        <v>Nov-2025</v>
      </c>
      <c r="L1087" s="1">
        <f t="shared" ca="1" si="49"/>
        <v>22</v>
      </c>
      <c r="M1087" t="str">
        <f t="shared" si="50"/>
        <v>46+</v>
      </c>
    </row>
    <row r="1088" spans="1:13" x14ac:dyDescent="0.2">
      <c r="A1088" t="s">
        <v>2177</v>
      </c>
      <c r="B1088" t="s">
        <v>2178</v>
      </c>
      <c r="C1088">
        <v>36</v>
      </c>
      <c r="D1088" t="s">
        <v>16</v>
      </c>
      <c r="E1088" t="s">
        <v>21</v>
      </c>
      <c r="F1088" s="1">
        <v>45883</v>
      </c>
      <c r="G1088" s="1">
        <v>46130</v>
      </c>
      <c r="H1088">
        <v>72</v>
      </c>
      <c r="I1088">
        <v>7</v>
      </c>
      <c r="J1088">
        <v>0</v>
      </c>
      <c r="K1088" t="str">
        <f t="shared" si="48"/>
        <v>Aug-2025</v>
      </c>
      <c r="L1088" s="1">
        <f t="shared" ca="1" si="49"/>
        <v>28</v>
      </c>
      <c r="M1088" t="str">
        <f t="shared" si="50"/>
        <v>36-45</v>
      </c>
    </row>
    <row r="1089" spans="1:13" x14ac:dyDescent="0.2">
      <c r="A1089" t="s">
        <v>2179</v>
      </c>
      <c r="B1089" t="s">
        <v>2180</v>
      </c>
      <c r="C1089">
        <v>46</v>
      </c>
      <c r="D1089" t="s">
        <v>12</v>
      </c>
      <c r="E1089" t="s">
        <v>17</v>
      </c>
      <c r="F1089" s="1">
        <v>45816</v>
      </c>
      <c r="G1089" s="1">
        <v>46072</v>
      </c>
      <c r="H1089">
        <v>70</v>
      </c>
      <c r="I1089">
        <v>5</v>
      </c>
      <c r="J1089">
        <v>0</v>
      </c>
      <c r="K1089" t="str">
        <f t="shared" si="48"/>
        <v>Jun-2025</v>
      </c>
      <c r="L1089" s="1">
        <f t="shared" ca="1" si="49"/>
        <v>86</v>
      </c>
      <c r="M1089" t="str">
        <f t="shared" si="50"/>
        <v>46+</v>
      </c>
    </row>
    <row r="1090" spans="1:13" x14ac:dyDescent="0.2">
      <c r="A1090" t="s">
        <v>2181</v>
      </c>
      <c r="B1090" t="s">
        <v>2182</v>
      </c>
      <c r="C1090">
        <v>48</v>
      </c>
      <c r="D1090" t="s">
        <v>20</v>
      </c>
      <c r="E1090" t="s">
        <v>21</v>
      </c>
      <c r="F1090" s="1">
        <v>45924</v>
      </c>
      <c r="G1090" s="1">
        <v>46080</v>
      </c>
      <c r="H1090">
        <v>50</v>
      </c>
      <c r="I1090">
        <v>9</v>
      </c>
      <c r="J1090">
        <v>1</v>
      </c>
      <c r="K1090" t="str">
        <f t="shared" si="48"/>
        <v>Sep-2025</v>
      </c>
      <c r="L1090" s="1">
        <f t="shared" ca="1" si="49"/>
        <v>78</v>
      </c>
      <c r="M1090" t="str">
        <f t="shared" si="50"/>
        <v>46+</v>
      </c>
    </row>
    <row r="1091" spans="1:13" x14ac:dyDescent="0.2">
      <c r="A1091" t="s">
        <v>2183</v>
      </c>
      <c r="B1091" t="s">
        <v>2184</v>
      </c>
      <c r="C1091">
        <v>57</v>
      </c>
      <c r="D1091" t="s">
        <v>20</v>
      </c>
      <c r="E1091" t="s">
        <v>21</v>
      </c>
      <c r="F1091" s="1">
        <v>45622</v>
      </c>
      <c r="G1091" s="1">
        <v>46068</v>
      </c>
      <c r="H1091">
        <v>26</v>
      </c>
      <c r="I1091">
        <v>7</v>
      </c>
      <c r="J1091">
        <v>0</v>
      </c>
      <c r="K1091" t="str">
        <f t="shared" ref="K1091:K1154" si="51">TEXT(F1091,"MMM-YYYY")</f>
        <v>Nov-2024</v>
      </c>
      <c r="L1091" s="1">
        <f t="shared" ref="L1091:L1154" ca="1" si="52">TODAY()-G1091</f>
        <v>90</v>
      </c>
      <c r="M1091" t="str">
        <f t="shared" ref="M1091:M1154" si="53">IF(C1091&lt;=25,"18-25",IF(C1091&lt;=35,"26-35",IF(C1091&lt;=45,"36-45","46+")))</f>
        <v>46+</v>
      </c>
    </row>
    <row r="1092" spans="1:13" x14ac:dyDescent="0.2">
      <c r="A1092" t="s">
        <v>2185</v>
      </c>
      <c r="B1092" t="s">
        <v>2186</v>
      </c>
      <c r="C1092">
        <v>53</v>
      </c>
      <c r="D1092" t="s">
        <v>16</v>
      </c>
      <c r="E1092" t="s">
        <v>13</v>
      </c>
      <c r="F1092" s="1">
        <v>45879</v>
      </c>
      <c r="G1092" s="1">
        <v>46119</v>
      </c>
      <c r="H1092">
        <v>71</v>
      </c>
      <c r="I1092">
        <v>3</v>
      </c>
      <c r="J1092">
        <v>1</v>
      </c>
      <c r="K1092" t="str">
        <f t="shared" si="51"/>
        <v>Aug-2025</v>
      </c>
      <c r="L1092" s="1">
        <f t="shared" ca="1" si="52"/>
        <v>39</v>
      </c>
      <c r="M1092" t="str">
        <f t="shared" si="53"/>
        <v>46+</v>
      </c>
    </row>
    <row r="1093" spans="1:13" x14ac:dyDescent="0.2">
      <c r="A1093" t="s">
        <v>2187</v>
      </c>
      <c r="B1093" t="s">
        <v>2188</v>
      </c>
      <c r="C1093">
        <v>22</v>
      </c>
      <c r="D1093" t="s">
        <v>16</v>
      </c>
      <c r="E1093" t="s">
        <v>21</v>
      </c>
      <c r="F1093" s="1">
        <v>45663</v>
      </c>
      <c r="G1093" s="1">
        <v>46068</v>
      </c>
      <c r="H1093">
        <v>14</v>
      </c>
      <c r="I1093">
        <v>9</v>
      </c>
      <c r="J1093">
        <v>0</v>
      </c>
      <c r="K1093" t="str">
        <f t="shared" si="51"/>
        <v>Jan-2025</v>
      </c>
      <c r="L1093" s="1">
        <f t="shared" ca="1" si="52"/>
        <v>90</v>
      </c>
      <c r="M1093" t="str">
        <f t="shared" si="53"/>
        <v>18-25</v>
      </c>
    </row>
    <row r="1094" spans="1:13" x14ac:dyDescent="0.2">
      <c r="A1094" t="s">
        <v>2189</v>
      </c>
      <c r="B1094" t="s">
        <v>2190</v>
      </c>
      <c r="C1094">
        <v>26</v>
      </c>
      <c r="D1094" t="s">
        <v>12</v>
      </c>
      <c r="E1094" t="s">
        <v>21</v>
      </c>
      <c r="F1094" s="1">
        <v>45633</v>
      </c>
      <c r="G1094" s="1">
        <v>46041</v>
      </c>
      <c r="H1094">
        <v>65</v>
      </c>
      <c r="I1094">
        <v>8</v>
      </c>
      <c r="J1094">
        <v>1</v>
      </c>
      <c r="K1094" t="str">
        <f t="shared" si="51"/>
        <v>Dec-2024</v>
      </c>
      <c r="L1094" s="1">
        <f t="shared" ca="1" si="52"/>
        <v>117</v>
      </c>
      <c r="M1094" t="str">
        <f t="shared" si="53"/>
        <v>26-35</v>
      </c>
    </row>
    <row r="1095" spans="1:13" x14ac:dyDescent="0.2">
      <c r="A1095" t="s">
        <v>2191</v>
      </c>
      <c r="B1095" t="s">
        <v>2192</v>
      </c>
      <c r="C1095">
        <v>45</v>
      </c>
      <c r="D1095" t="s">
        <v>16</v>
      </c>
      <c r="E1095" t="s">
        <v>13</v>
      </c>
      <c r="F1095" s="1">
        <v>46010</v>
      </c>
      <c r="G1095" s="1">
        <v>46149</v>
      </c>
      <c r="H1095">
        <v>43</v>
      </c>
      <c r="I1095">
        <v>4</v>
      </c>
      <c r="J1095">
        <v>0</v>
      </c>
      <c r="K1095" t="str">
        <f t="shared" si="51"/>
        <v>Dec-2025</v>
      </c>
      <c r="L1095" s="1">
        <f t="shared" ca="1" si="52"/>
        <v>9</v>
      </c>
      <c r="M1095" t="str">
        <f t="shared" si="53"/>
        <v>36-45</v>
      </c>
    </row>
    <row r="1096" spans="1:13" x14ac:dyDescent="0.2">
      <c r="A1096" t="s">
        <v>2193</v>
      </c>
      <c r="B1096" t="s">
        <v>2194</v>
      </c>
      <c r="C1096">
        <v>34</v>
      </c>
      <c r="D1096" t="s">
        <v>20</v>
      </c>
      <c r="E1096" t="s">
        <v>13</v>
      </c>
      <c r="F1096" s="1">
        <v>45774</v>
      </c>
      <c r="G1096" s="1">
        <v>46071</v>
      </c>
      <c r="H1096">
        <v>4</v>
      </c>
      <c r="I1096">
        <v>7</v>
      </c>
      <c r="J1096">
        <v>0</v>
      </c>
      <c r="K1096" t="str">
        <f t="shared" si="51"/>
        <v>Apr-2025</v>
      </c>
      <c r="L1096" s="1">
        <f t="shared" ca="1" si="52"/>
        <v>87</v>
      </c>
      <c r="M1096" t="str">
        <f t="shared" si="53"/>
        <v>26-35</v>
      </c>
    </row>
    <row r="1097" spans="1:13" x14ac:dyDescent="0.2">
      <c r="A1097" t="s">
        <v>2195</v>
      </c>
      <c r="B1097" t="s">
        <v>2196</v>
      </c>
      <c r="C1097">
        <v>55</v>
      </c>
      <c r="D1097" t="s">
        <v>20</v>
      </c>
      <c r="E1097" t="s">
        <v>21</v>
      </c>
      <c r="F1097" s="1">
        <v>45275</v>
      </c>
      <c r="G1097" s="1">
        <v>46047</v>
      </c>
      <c r="H1097">
        <v>75</v>
      </c>
      <c r="I1097">
        <v>1</v>
      </c>
      <c r="J1097">
        <v>0</v>
      </c>
      <c r="K1097" t="str">
        <f t="shared" si="51"/>
        <v>Dec-2023</v>
      </c>
      <c r="L1097" s="1">
        <f t="shared" ca="1" si="52"/>
        <v>111</v>
      </c>
      <c r="M1097" t="str">
        <f t="shared" si="53"/>
        <v>46+</v>
      </c>
    </row>
    <row r="1098" spans="1:13" x14ac:dyDescent="0.2">
      <c r="A1098" t="s">
        <v>2197</v>
      </c>
      <c r="B1098" t="s">
        <v>2198</v>
      </c>
      <c r="C1098">
        <v>60</v>
      </c>
      <c r="D1098" t="s">
        <v>16</v>
      </c>
      <c r="E1098" t="s">
        <v>21</v>
      </c>
      <c r="F1098" s="1">
        <v>46046</v>
      </c>
      <c r="G1098" s="1">
        <v>46093</v>
      </c>
      <c r="H1098">
        <v>77</v>
      </c>
      <c r="I1098">
        <v>4</v>
      </c>
      <c r="J1098">
        <v>1</v>
      </c>
      <c r="K1098" t="str">
        <f t="shared" si="51"/>
        <v>Jan-2026</v>
      </c>
      <c r="L1098" s="1">
        <f t="shared" ca="1" si="52"/>
        <v>65</v>
      </c>
      <c r="M1098" t="str">
        <f t="shared" si="53"/>
        <v>46+</v>
      </c>
    </row>
    <row r="1099" spans="1:13" x14ac:dyDescent="0.2">
      <c r="A1099" t="s">
        <v>2199</v>
      </c>
      <c r="B1099" t="s">
        <v>2200</v>
      </c>
      <c r="C1099">
        <v>21</v>
      </c>
      <c r="D1099" t="s">
        <v>12</v>
      </c>
      <c r="E1099" t="s">
        <v>17</v>
      </c>
      <c r="F1099" s="1">
        <v>45379</v>
      </c>
      <c r="G1099" s="1">
        <v>46057</v>
      </c>
      <c r="H1099">
        <v>38</v>
      </c>
      <c r="I1099">
        <v>5</v>
      </c>
      <c r="J1099">
        <v>1</v>
      </c>
      <c r="K1099" t="str">
        <f t="shared" si="51"/>
        <v>Mar-2024</v>
      </c>
      <c r="L1099" s="1">
        <f t="shared" ca="1" si="52"/>
        <v>101</v>
      </c>
      <c r="M1099" t="str">
        <f t="shared" si="53"/>
        <v>18-25</v>
      </c>
    </row>
    <row r="1100" spans="1:13" x14ac:dyDescent="0.2">
      <c r="A1100" t="s">
        <v>2201</v>
      </c>
      <c r="B1100" t="s">
        <v>2202</v>
      </c>
      <c r="C1100">
        <v>55</v>
      </c>
      <c r="D1100" t="s">
        <v>20</v>
      </c>
      <c r="E1100" t="s">
        <v>17</v>
      </c>
      <c r="F1100" s="1">
        <v>45379</v>
      </c>
      <c r="G1100" s="1">
        <v>46084</v>
      </c>
      <c r="H1100">
        <v>79</v>
      </c>
      <c r="I1100">
        <v>6</v>
      </c>
      <c r="J1100">
        <v>0</v>
      </c>
      <c r="K1100" t="str">
        <f t="shared" si="51"/>
        <v>Mar-2024</v>
      </c>
      <c r="L1100" s="1">
        <f t="shared" ca="1" si="52"/>
        <v>74</v>
      </c>
      <c r="M1100" t="str">
        <f t="shared" si="53"/>
        <v>46+</v>
      </c>
    </row>
    <row r="1101" spans="1:13" x14ac:dyDescent="0.2">
      <c r="A1101" t="s">
        <v>2203</v>
      </c>
      <c r="B1101" t="s">
        <v>2204</v>
      </c>
      <c r="C1101">
        <v>45</v>
      </c>
      <c r="D1101" t="s">
        <v>12</v>
      </c>
      <c r="E1101" t="s">
        <v>21</v>
      </c>
      <c r="F1101" s="1">
        <v>45714</v>
      </c>
      <c r="G1101" s="1">
        <v>46052</v>
      </c>
      <c r="H1101">
        <v>42</v>
      </c>
      <c r="I1101">
        <v>3</v>
      </c>
      <c r="J1101">
        <v>0</v>
      </c>
      <c r="K1101" t="str">
        <f t="shared" si="51"/>
        <v>Feb-2025</v>
      </c>
      <c r="L1101" s="1">
        <f t="shared" ca="1" si="52"/>
        <v>106</v>
      </c>
      <c r="M1101" t="str">
        <f t="shared" si="53"/>
        <v>36-45</v>
      </c>
    </row>
    <row r="1102" spans="1:13" x14ac:dyDescent="0.2">
      <c r="A1102" t="s">
        <v>2205</v>
      </c>
      <c r="B1102" t="s">
        <v>2206</v>
      </c>
      <c r="C1102">
        <v>34</v>
      </c>
      <c r="D1102" t="s">
        <v>12</v>
      </c>
      <c r="E1102" t="s">
        <v>21</v>
      </c>
      <c r="F1102" s="1">
        <v>46034</v>
      </c>
      <c r="G1102" s="1">
        <v>46123</v>
      </c>
      <c r="H1102">
        <v>6</v>
      </c>
      <c r="I1102">
        <v>3</v>
      </c>
      <c r="J1102">
        <v>0</v>
      </c>
      <c r="K1102" t="str">
        <f t="shared" si="51"/>
        <v>Jan-2026</v>
      </c>
      <c r="L1102" s="1">
        <f t="shared" ca="1" si="52"/>
        <v>35</v>
      </c>
      <c r="M1102" t="str">
        <f t="shared" si="53"/>
        <v>26-35</v>
      </c>
    </row>
    <row r="1103" spans="1:13" x14ac:dyDescent="0.2">
      <c r="A1103" t="s">
        <v>2207</v>
      </c>
      <c r="B1103" t="s">
        <v>2208</v>
      </c>
      <c r="C1103">
        <v>25</v>
      </c>
      <c r="D1103" t="s">
        <v>16</v>
      </c>
      <c r="E1103" t="s">
        <v>21</v>
      </c>
      <c r="F1103" s="1">
        <v>45656</v>
      </c>
      <c r="G1103" s="1">
        <v>46129</v>
      </c>
      <c r="H1103">
        <v>49</v>
      </c>
      <c r="I1103">
        <v>9</v>
      </c>
      <c r="J1103">
        <v>0</v>
      </c>
      <c r="K1103" t="str">
        <f t="shared" si="51"/>
        <v>Dec-2024</v>
      </c>
      <c r="L1103" s="1">
        <f t="shared" ca="1" si="52"/>
        <v>29</v>
      </c>
      <c r="M1103" t="str">
        <f t="shared" si="53"/>
        <v>18-25</v>
      </c>
    </row>
    <row r="1104" spans="1:13" x14ac:dyDescent="0.2">
      <c r="A1104" t="s">
        <v>2209</v>
      </c>
      <c r="B1104" t="s">
        <v>2210</v>
      </c>
      <c r="C1104">
        <v>38</v>
      </c>
      <c r="D1104" t="s">
        <v>20</v>
      </c>
      <c r="E1104" t="s">
        <v>17</v>
      </c>
      <c r="F1104" s="1">
        <v>46089</v>
      </c>
      <c r="G1104" s="1">
        <v>46094</v>
      </c>
      <c r="H1104">
        <v>66</v>
      </c>
      <c r="I1104">
        <v>1</v>
      </c>
      <c r="J1104">
        <v>1</v>
      </c>
      <c r="K1104" t="str">
        <f t="shared" si="51"/>
        <v>Mar-2026</v>
      </c>
      <c r="L1104" s="1">
        <f t="shared" ca="1" si="52"/>
        <v>64</v>
      </c>
      <c r="M1104" t="str">
        <f t="shared" si="53"/>
        <v>36-45</v>
      </c>
    </row>
    <row r="1105" spans="1:13" x14ac:dyDescent="0.2">
      <c r="A1105" t="s">
        <v>2211</v>
      </c>
      <c r="B1105" t="s">
        <v>2212</v>
      </c>
      <c r="C1105">
        <v>28</v>
      </c>
      <c r="D1105" t="s">
        <v>20</v>
      </c>
      <c r="E1105" t="s">
        <v>21</v>
      </c>
      <c r="F1105" s="1">
        <v>45181</v>
      </c>
      <c r="G1105" s="1">
        <v>46083</v>
      </c>
      <c r="H1105">
        <v>46</v>
      </c>
      <c r="I1105">
        <v>2</v>
      </c>
      <c r="J1105">
        <v>1</v>
      </c>
      <c r="K1105" t="str">
        <f t="shared" si="51"/>
        <v>Sep-2023</v>
      </c>
      <c r="L1105" s="1">
        <f t="shared" ca="1" si="52"/>
        <v>75</v>
      </c>
      <c r="M1105" t="str">
        <f t="shared" si="53"/>
        <v>26-35</v>
      </c>
    </row>
    <row r="1106" spans="1:13" x14ac:dyDescent="0.2">
      <c r="A1106" t="s">
        <v>2213</v>
      </c>
      <c r="B1106" t="s">
        <v>2214</v>
      </c>
      <c r="C1106">
        <v>22</v>
      </c>
      <c r="D1106" t="s">
        <v>16</v>
      </c>
      <c r="E1106" t="s">
        <v>17</v>
      </c>
      <c r="F1106" s="1">
        <v>46044</v>
      </c>
      <c r="G1106" s="1">
        <v>46104</v>
      </c>
      <c r="H1106">
        <v>65</v>
      </c>
      <c r="I1106">
        <v>10</v>
      </c>
      <c r="J1106">
        <v>0</v>
      </c>
      <c r="K1106" t="str">
        <f t="shared" si="51"/>
        <v>Jan-2026</v>
      </c>
      <c r="L1106" s="1">
        <f t="shared" ca="1" si="52"/>
        <v>54</v>
      </c>
      <c r="M1106" t="str">
        <f t="shared" si="53"/>
        <v>18-25</v>
      </c>
    </row>
    <row r="1107" spans="1:13" x14ac:dyDescent="0.2">
      <c r="A1107" t="s">
        <v>2215</v>
      </c>
      <c r="B1107" t="s">
        <v>2216</v>
      </c>
      <c r="C1107">
        <v>31</v>
      </c>
      <c r="D1107" t="s">
        <v>16</v>
      </c>
      <c r="E1107" t="s">
        <v>13</v>
      </c>
      <c r="F1107" s="1">
        <v>45172</v>
      </c>
      <c r="G1107" s="1">
        <v>46039</v>
      </c>
      <c r="H1107">
        <v>12</v>
      </c>
      <c r="I1107">
        <v>6</v>
      </c>
      <c r="J1107">
        <v>0</v>
      </c>
      <c r="K1107" t="str">
        <f t="shared" si="51"/>
        <v>Sep-2023</v>
      </c>
      <c r="L1107" s="1">
        <f t="shared" ca="1" si="52"/>
        <v>119</v>
      </c>
      <c r="M1107" t="str">
        <f t="shared" si="53"/>
        <v>26-35</v>
      </c>
    </row>
    <row r="1108" spans="1:13" x14ac:dyDescent="0.2">
      <c r="A1108" t="s">
        <v>2217</v>
      </c>
      <c r="B1108" t="s">
        <v>2218</v>
      </c>
      <c r="C1108">
        <v>25</v>
      </c>
      <c r="D1108" t="s">
        <v>16</v>
      </c>
      <c r="E1108" t="s">
        <v>13</v>
      </c>
      <c r="F1108" s="1">
        <v>45731</v>
      </c>
      <c r="G1108" s="1">
        <v>46149</v>
      </c>
      <c r="H1108">
        <v>34</v>
      </c>
      <c r="I1108">
        <v>7</v>
      </c>
      <c r="J1108">
        <v>0</v>
      </c>
      <c r="K1108" t="str">
        <f t="shared" si="51"/>
        <v>Mar-2025</v>
      </c>
      <c r="L1108" s="1">
        <f t="shared" ca="1" si="52"/>
        <v>9</v>
      </c>
      <c r="M1108" t="str">
        <f t="shared" si="53"/>
        <v>18-25</v>
      </c>
    </row>
    <row r="1109" spans="1:13" x14ac:dyDescent="0.2">
      <c r="A1109" t="s">
        <v>2219</v>
      </c>
      <c r="B1109" t="s">
        <v>2220</v>
      </c>
      <c r="C1109">
        <v>45</v>
      </c>
      <c r="D1109" t="s">
        <v>12</v>
      </c>
      <c r="E1109" t="s">
        <v>21</v>
      </c>
      <c r="F1109" s="1">
        <v>45580</v>
      </c>
      <c r="G1109" s="1">
        <v>46106</v>
      </c>
      <c r="H1109">
        <v>67</v>
      </c>
      <c r="I1109">
        <v>1</v>
      </c>
      <c r="J1109">
        <v>0</v>
      </c>
      <c r="K1109" t="str">
        <f t="shared" si="51"/>
        <v>Oct-2024</v>
      </c>
      <c r="L1109" s="1">
        <f t="shared" ca="1" si="52"/>
        <v>52</v>
      </c>
      <c r="M1109" t="str">
        <f t="shared" si="53"/>
        <v>36-45</v>
      </c>
    </row>
    <row r="1110" spans="1:13" x14ac:dyDescent="0.2">
      <c r="A1110" t="s">
        <v>2221</v>
      </c>
      <c r="B1110" t="s">
        <v>2222</v>
      </c>
      <c r="C1110">
        <v>60</v>
      </c>
      <c r="D1110" t="s">
        <v>12</v>
      </c>
      <c r="E1110" t="s">
        <v>21</v>
      </c>
      <c r="F1110" s="1">
        <v>45429</v>
      </c>
      <c r="G1110" s="1">
        <v>46140</v>
      </c>
      <c r="H1110">
        <v>15</v>
      </c>
      <c r="I1110">
        <v>5</v>
      </c>
      <c r="J1110">
        <v>1</v>
      </c>
      <c r="K1110" t="str">
        <f t="shared" si="51"/>
        <v>May-2024</v>
      </c>
      <c r="L1110" s="1">
        <f t="shared" ca="1" si="52"/>
        <v>18</v>
      </c>
      <c r="M1110" t="str">
        <f t="shared" si="53"/>
        <v>46+</v>
      </c>
    </row>
    <row r="1111" spans="1:13" x14ac:dyDescent="0.2">
      <c r="A1111" t="s">
        <v>2223</v>
      </c>
      <c r="B1111" t="s">
        <v>2224</v>
      </c>
      <c r="C1111">
        <v>51</v>
      </c>
      <c r="D1111" t="s">
        <v>20</v>
      </c>
      <c r="E1111" t="s">
        <v>21</v>
      </c>
      <c r="F1111" s="1">
        <v>45581</v>
      </c>
      <c r="G1111" s="1">
        <v>46053</v>
      </c>
      <c r="H1111">
        <v>69</v>
      </c>
      <c r="I1111">
        <v>6</v>
      </c>
      <c r="J1111">
        <v>0</v>
      </c>
      <c r="K1111" t="str">
        <f t="shared" si="51"/>
        <v>Oct-2024</v>
      </c>
      <c r="L1111" s="1">
        <f t="shared" ca="1" si="52"/>
        <v>105</v>
      </c>
      <c r="M1111" t="str">
        <f t="shared" si="53"/>
        <v>46+</v>
      </c>
    </row>
    <row r="1112" spans="1:13" x14ac:dyDescent="0.2">
      <c r="A1112" t="s">
        <v>2225</v>
      </c>
      <c r="B1112" t="s">
        <v>2226</v>
      </c>
      <c r="C1112">
        <v>35</v>
      </c>
      <c r="D1112" t="s">
        <v>16</v>
      </c>
      <c r="E1112" t="s">
        <v>17</v>
      </c>
      <c r="F1112" s="1">
        <v>45672</v>
      </c>
      <c r="G1112" s="1">
        <v>46041</v>
      </c>
      <c r="H1112">
        <v>66</v>
      </c>
      <c r="I1112">
        <v>9</v>
      </c>
      <c r="J1112">
        <v>0</v>
      </c>
      <c r="K1112" t="str">
        <f t="shared" si="51"/>
        <v>Jan-2025</v>
      </c>
      <c r="L1112" s="1">
        <f t="shared" ca="1" si="52"/>
        <v>117</v>
      </c>
      <c r="M1112" t="str">
        <f t="shared" si="53"/>
        <v>26-35</v>
      </c>
    </row>
    <row r="1113" spans="1:13" x14ac:dyDescent="0.2">
      <c r="A1113" t="s">
        <v>2227</v>
      </c>
      <c r="B1113" t="s">
        <v>2228</v>
      </c>
      <c r="C1113">
        <v>58</v>
      </c>
      <c r="D1113" t="s">
        <v>12</v>
      </c>
      <c r="E1113" t="s">
        <v>21</v>
      </c>
      <c r="F1113" s="1">
        <v>45822</v>
      </c>
      <c r="G1113" s="1">
        <v>46056</v>
      </c>
      <c r="H1113">
        <v>26</v>
      </c>
      <c r="I1113">
        <v>6</v>
      </c>
      <c r="J1113">
        <v>0</v>
      </c>
      <c r="K1113" t="str">
        <f t="shared" si="51"/>
        <v>Jun-2025</v>
      </c>
      <c r="L1113" s="1">
        <f t="shared" ca="1" si="52"/>
        <v>102</v>
      </c>
      <c r="M1113" t="str">
        <f t="shared" si="53"/>
        <v>46+</v>
      </c>
    </row>
    <row r="1114" spans="1:13" x14ac:dyDescent="0.2">
      <c r="A1114" t="s">
        <v>2229</v>
      </c>
      <c r="B1114" t="s">
        <v>2230</v>
      </c>
      <c r="C1114">
        <v>47</v>
      </c>
      <c r="D1114" t="s">
        <v>20</v>
      </c>
      <c r="E1114" t="s">
        <v>13</v>
      </c>
      <c r="F1114" s="1">
        <v>45811</v>
      </c>
      <c r="G1114" s="1">
        <v>46053</v>
      </c>
      <c r="H1114">
        <v>54</v>
      </c>
      <c r="I1114">
        <v>1</v>
      </c>
      <c r="J1114">
        <v>1</v>
      </c>
      <c r="K1114" t="str">
        <f t="shared" si="51"/>
        <v>Jun-2025</v>
      </c>
      <c r="L1114" s="1">
        <f t="shared" ca="1" si="52"/>
        <v>105</v>
      </c>
      <c r="M1114" t="str">
        <f t="shared" si="53"/>
        <v>46+</v>
      </c>
    </row>
    <row r="1115" spans="1:13" x14ac:dyDescent="0.2">
      <c r="A1115" t="s">
        <v>2231</v>
      </c>
      <c r="B1115" t="s">
        <v>2232</v>
      </c>
      <c r="C1115">
        <v>40</v>
      </c>
      <c r="D1115" t="s">
        <v>16</v>
      </c>
      <c r="E1115" t="s">
        <v>17</v>
      </c>
      <c r="F1115" s="1">
        <v>45988</v>
      </c>
      <c r="G1115" s="1">
        <v>46114</v>
      </c>
      <c r="H1115">
        <v>56</v>
      </c>
      <c r="I1115">
        <v>9</v>
      </c>
      <c r="J1115">
        <v>0</v>
      </c>
      <c r="K1115" t="str">
        <f t="shared" si="51"/>
        <v>Nov-2025</v>
      </c>
      <c r="L1115" s="1">
        <f t="shared" ca="1" si="52"/>
        <v>44</v>
      </c>
      <c r="M1115" t="str">
        <f t="shared" si="53"/>
        <v>36-45</v>
      </c>
    </row>
    <row r="1116" spans="1:13" x14ac:dyDescent="0.2">
      <c r="A1116" t="s">
        <v>2233</v>
      </c>
      <c r="B1116" t="s">
        <v>2234</v>
      </c>
      <c r="C1116">
        <v>21</v>
      </c>
      <c r="D1116" t="s">
        <v>12</v>
      </c>
      <c r="E1116" t="s">
        <v>21</v>
      </c>
      <c r="F1116" s="1">
        <v>45529</v>
      </c>
      <c r="G1116" s="1">
        <v>46096</v>
      </c>
      <c r="H1116">
        <v>30</v>
      </c>
      <c r="I1116">
        <v>3</v>
      </c>
      <c r="J1116">
        <v>0</v>
      </c>
      <c r="K1116" t="str">
        <f t="shared" si="51"/>
        <v>Aug-2024</v>
      </c>
      <c r="L1116" s="1">
        <f t="shared" ca="1" si="52"/>
        <v>62</v>
      </c>
      <c r="M1116" t="str">
        <f t="shared" si="53"/>
        <v>18-25</v>
      </c>
    </row>
    <row r="1117" spans="1:13" x14ac:dyDescent="0.2">
      <c r="A1117" t="s">
        <v>2235</v>
      </c>
      <c r="B1117" t="s">
        <v>2236</v>
      </c>
      <c r="C1117">
        <v>31</v>
      </c>
      <c r="D1117" t="s">
        <v>20</v>
      </c>
      <c r="E1117" t="s">
        <v>17</v>
      </c>
      <c r="F1117" s="1">
        <v>45315</v>
      </c>
      <c r="G1117" s="1">
        <v>46050</v>
      </c>
      <c r="H1117">
        <v>15</v>
      </c>
      <c r="I1117">
        <v>9</v>
      </c>
      <c r="J1117">
        <v>0</v>
      </c>
      <c r="K1117" t="str">
        <f t="shared" si="51"/>
        <v>Jan-2024</v>
      </c>
      <c r="L1117" s="1">
        <f t="shared" ca="1" si="52"/>
        <v>108</v>
      </c>
      <c r="M1117" t="str">
        <f t="shared" si="53"/>
        <v>26-35</v>
      </c>
    </row>
    <row r="1118" spans="1:13" x14ac:dyDescent="0.2">
      <c r="A1118" t="s">
        <v>2237</v>
      </c>
      <c r="B1118" t="s">
        <v>2238</v>
      </c>
      <c r="C1118">
        <v>26</v>
      </c>
      <c r="D1118" t="s">
        <v>16</v>
      </c>
      <c r="E1118" t="s">
        <v>21</v>
      </c>
      <c r="F1118" s="1">
        <v>45551</v>
      </c>
      <c r="G1118" s="1">
        <v>46135</v>
      </c>
      <c r="H1118">
        <v>2</v>
      </c>
      <c r="I1118">
        <v>7</v>
      </c>
      <c r="J1118">
        <v>1</v>
      </c>
      <c r="K1118" t="str">
        <f t="shared" si="51"/>
        <v>Sep-2024</v>
      </c>
      <c r="L1118" s="1">
        <f t="shared" ca="1" si="52"/>
        <v>23</v>
      </c>
      <c r="M1118" t="str">
        <f t="shared" si="53"/>
        <v>26-35</v>
      </c>
    </row>
    <row r="1119" spans="1:13" x14ac:dyDescent="0.2">
      <c r="A1119" t="s">
        <v>2239</v>
      </c>
      <c r="B1119" t="s">
        <v>2240</v>
      </c>
      <c r="C1119">
        <v>33</v>
      </c>
      <c r="D1119" t="s">
        <v>20</v>
      </c>
      <c r="E1119" t="s">
        <v>21</v>
      </c>
      <c r="F1119" s="1">
        <v>46092</v>
      </c>
      <c r="G1119" s="1">
        <v>46097</v>
      </c>
      <c r="H1119">
        <v>21</v>
      </c>
      <c r="I1119">
        <v>4</v>
      </c>
      <c r="J1119">
        <v>1</v>
      </c>
      <c r="K1119" t="str">
        <f t="shared" si="51"/>
        <v>Mar-2026</v>
      </c>
      <c r="L1119" s="1">
        <f t="shared" ca="1" si="52"/>
        <v>61</v>
      </c>
      <c r="M1119" t="str">
        <f t="shared" si="53"/>
        <v>26-35</v>
      </c>
    </row>
    <row r="1120" spans="1:13" x14ac:dyDescent="0.2">
      <c r="A1120" t="s">
        <v>2241</v>
      </c>
      <c r="B1120" t="s">
        <v>2242</v>
      </c>
      <c r="C1120">
        <v>42</v>
      </c>
      <c r="D1120" t="s">
        <v>20</v>
      </c>
      <c r="E1120" t="s">
        <v>21</v>
      </c>
      <c r="F1120" s="1">
        <v>45363</v>
      </c>
      <c r="G1120" s="1">
        <v>46094</v>
      </c>
      <c r="H1120">
        <v>39</v>
      </c>
      <c r="I1120">
        <v>1</v>
      </c>
      <c r="J1120">
        <v>0</v>
      </c>
      <c r="K1120" t="str">
        <f t="shared" si="51"/>
        <v>Mar-2024</v>
      </c>
      <c r="L1120" s="1">
        <f t="shared" ca="1" si="52"/>
        <v>64</v>
      </c>
      <c r="M1120" t="str">
        <f t="shared" si="53"/>
        <v>36-45</v>
      </c>
    </row>
    <row r="1121" spans="1:13" x14ac:dyDescent="0.2">
      <c r="A1121" t="s">
        <v>2243</v>
      </c>
      <c r="B1121" t="s">
        <v>2244</v>
      </c>
      <c r="C1121">
        <v>19</v>
      </c>
      <c r="D1121" t="s">
        <v>20</v>
      </c>
      <c r="E1121" t="s">
        <v>17</v>
      </c>
      <c r="F1121" s="1">
        <v>45323</v>
      </c>
      <c r="G1121" s="1">
        <v>46084</v>
      </c>
      <c r="H1121">
        <v>36</v>
      </c>
      <c r="I1121">
        <v>8</v>
      </c>
      <c r="J1121">
        <v>0</v>
      </c>
      <c r="K1121" t="str">
        <f t="shared" si="51"/>
        <v>Feb-2024</v>
      </c>
      <c r="L1121" s="1">
        <f t="shared" ca="1" si="52"/>
        <v>74</v>
      </c>
      <c r="M1121" t="str">
        <f t="shared" si="53"/>
        <v>18-25</v>
      </c>
    </row>
    <row r="1122" spans="1:13" x14ac:dyDescent="0.2">
      <c r="A1122" t="s">
        <v>2245</v>
      </c>
      <c r="B1122" t="s">
        <v>2246</v>
      </c>
      <c r="C1122">
        <v>28</v>
      </c>
      <c r="D1122" t="s">
        <v>12</v>
      </c>
      <c r="E1122" t="s">
        <v>17</v>
      </c>
      <c r="F1122" s="1">
        <v>45757</v>
      </c>
      <c r="G1122" s="1">
        <v>46041</v>
      </c>
      <c r="H1122">
        <v>7</v>
      </c>
      <c r="I1122">
        <v>1</v>
      </c>
      <c r="J1122">
        <v>0</v>
      </c>
      <c r="K1122" t="str">
        <f t="shared" si="51"/>
        <v>Apr-2025</v>
      </c>
      <c r="L1122" s="1">
        <f t="shared" ca="1" si="52"/>
        <v>117</v>
      </c>
      <c r="M1122" t="str">
        <f t="shared" si="53"/>
        <v>26-35</v>
      </c>
    </row>
    <row r="1123" spans="1:13" x14ac:dyDescent="0.2">
      <c r="A1123" t="s">
        <v>2247</v>
      </c>
      <c r="B1123" t="s">
        <v>2248</v>
      </c>
      <c r="C1123">
        <v>34</v>
      </c>
      <c r="D1123" t="s">
        <v>12</v>
      </c>
      <c r="E1123" t="s">
        <v>21</v>
      </c>
      <c r="F1123" s="1">
        <v>45691</v>
      </c>
      <c r="G1123" s="1">
        <v>46085</v>
      </c>
      <c r="H1123">
        <v>39</v>
      </c>
      <c r="I1123">
        <v>2</v>
      </c>
      <c r="J1123">
        <v>1</v>
      </c>
      <c r="K1123" t="str">
        <f t="shared" si="51"/>
        <v>Feb-2025</v>
      </c>
      <c r="L1123" s="1">
        <f t="shared" ca="1" si="52"/>
        <v>73</v>
      </c>
      <c r="M1123" t="str">
        <f t="shared" si="53"/>
        <v>26-35</v>
      </c>
    </row>
    <row r="1124" spans="1:13" x14ac:dyDescent="0.2">
      <c r="A1124" t="s">
        <v>2249</v>
      </c>
      <c r="B1124" t="s">
        <v>2250</v>
      </c>
      <c r="C1124">
        <v>21</v>
      </c>
      <c r="D1124" t="s">
        <v>20</v>
      </c>
      <c r="E1124" t="s">
        <v>21</v>
      </c>
      <c r="F1124" s="1">
        <v>45337</v>
      </c>
      <c r="G1124" s="1">
        <v>46065</v>
      </c>
      <c r="H1124">
        <v>79</v>
      </c>
      <c r="I1124">
        <v>2</v>
      </c>
      <c r="J1124">
        <v>1</v>
      </c>
      <c r="K1124" t="str">
        <f t="shared" si="51"/>
        <v>Feb-2024</v>
      </c>
      <c r="L1124" s="1">
        <f t="shared" ca="1" si="52"/>
        <v>93</v>
      </c>
      <c r="M1124" t="str">
        <f t="shared" si="53"/>
        <v>18-25</v>
      </c>
    </row>
    <row r="1125" spans="1:13" x14ac:dyDescent="0.2">
      <c r="A1125" t="s">
        <v>2251</v>
      </c>
      <c r="B1125" t="s">
        <v>2252</v>
      </c>
      <c r="C1125">
        <v>21</v>
      </c>
      <c r="D1125" t="s">
        <v>16</v>
      </c>
      <c r="E1125" t="s">
        <v>17</v>
      </c>
      <c r="F1125" s="1">
        <v>45703</v>
      </c>
      <c r="G1125" s="1">
        <v>46032</v>
      </c>
      <c r="H1125">
        <v>1</v>
      </c>
      <c r="I1125">
        <v>9</v>
      </c>
      <c r="J1125">
        <v>0</v>
      </c>
      <c r="K1125" t="str">
        <f t="shared" si="51"/>
        <v>Feb-2025</v>
      </c>
      <c r="L1125" s="1">
        <f t="shared" ca="1" si="52"/>
        <v>126</v>
      </c>
      <c r="M1125" t="str">
        <f t="shared" si="53"/>
        <v>18-25</v>
      </c>
    </row>
    <row r="1126" spans="1:13" x14ac:dyDescent="0.2">
      <c r="A1126" t="s">
        <v>2253</v>
      </c>
      <c r="B1126" t="s">
        <v>2254</v>
      </c>
      <c r="C1126">
        <v>24</v>
      </c>
      <c r="D1126" t="s">
        <v>12</v>
      </c>
      <c r="E1126" t="s">
        <v>13</v>
      </c>
      <c r="F1126" s="1">
        <v>45545</v>
      </c>
      <c r="G1126" s="1">
        <v>46066</v>
      </c>
      <c r="H1126">
        <v>52</v>
      </c>
      <c r="I1126">
        <v>6</v>
      </c>
      <c r="J1126">
        <v>1</v>
      </c>
      <c r="K1126" t="str">
        <f t="shared" si="51"/>
        <v>Sep-2024</v>
      </c>
      <c r="L1126" s="1">
        <f t="shared" ca="1" si="52"/>
        <v>92</v>
      </c>
      <c r="M1126" t="str">
        <f t="shared" si="53"/>
        <v>18-25</v>
      </c>
    </row>
    <row r="1127" spans="1:13" x14ac:dyDescent="0.2">
      <c r="A1127" t="s">
        <v>2255</v>
      </c>
      <c r="B1127" t="s">
        <v>2256</v>
      </c>
      <c r="C1127">
        <v>22</v>
      </c>
      <c r="D1127" t="s">
        <v>12</v>
      </c>
      <c r="E1127" t="s">
        <v>21</v>
      </c>
      <c r="F1127" s="1">
        <v>45605</v>
      </c>
      <c r="G1127" s="1">
        <v>46055</v>
      </c>
      <c r="H1127">
        <v>51</v>
      </c>
      <c r="I1127">
        <v>3</v>
      </c>
      <c r="J1127">
        <v>0</v>
      </c>
      <c r="K1127" t="str">
        <f t="shared" si="51"/>
        <v>Nov-2024</v>
      </c>
      <c r="L1127" s="1">
        <f t="shared" ca="1" si="52"/>
        <v>103</v>
      </c>
      <c r="M1127" t="str">
        <f t="shared" si="53"/>
        <v>18-25</v>
      </c>
    </row>
    <row r="1128" spans="1:13" x14ac:dyDescent="0.2">
      <c r="A1128" t="s">
        <v>2257</v>
      </c>
      <c r="B1128" t="s">
        <v>2258</v>
      </c>
      <c r="C1128">
        <v>46</v>
      </c>
      <c r="D1128" t="s">
        <v>16</v>
      </c>
      <c r="E1128" t="s">
        <v>21</v>
      </c>
      <c r="F1128" s="1">
        <v>45682</v>
      </c>
      <c r="G1128" s="1">
        <v>46048</v>
      </c>
      <c r="H1128">
        <v>0</v>
      </c>
      <c r="I1128">
        <v>3</v>
      </c>
      <c r="J1128">
        <v>1</v>
      </c>
      <c r="K1128" t="str">
        <f t="shared" si="51"/>
        <v>Jan-2025</v>
      </c>
      <c r="L1128" s="1">
        <f t="shared" ca="1" si="52"/>
        <v>110</v>
      </c>
      <c r="M1128" t="str">
        <f t="shared" si="53"/>
        <v>46+</v>
      </c>
    </row>
    <row r="1129" spans="1:13" x14ac:dyDescent="0.2">
      <c r="A1129" t="s">
        <v>2259</v>
      </c>
      <c r="B1129" t="s">
        <v>2260</v>
      </c>
      <c r="C1129">
        <v>30</v>
      </c>
      <c r="D1129" t="s">
        <v>20</v>
      </c>
      <c r="E1129" t="s">
        <v>21</v>
      </c>
      <c r="F1129" s="1">
        <v>45786</v>
      </c>
      <c r="G1129" s="1">
        <v>46085</v>
      </c>
      <c r="H1129">
        <v>40</v>
      </c>
      <c r="I1129">
        <v>8</v>
      </c>
      <c r="J1129">
        <v>0</v>
      </c>
      <c r="K1129" t="str">
        <f t="shared" si="51"/>
        <v>May-2025</v>
      </c>
      <c r="L1129" s="1">
        <f t="shared" ca="1" si="52"/>
        <v>73</v>
      </c>
      <c r="M1129" t="str">
        <f t="shared" si="53"/>
        <v>26-35</v>
      </c>
    </row>
    <row r="1130" spans="1:13" x14ac:dyDescent="0.2">
      <c r="A1130" t="s">
        <v>2261</v>
      </c>
      <c r="B1130" t="s">
        <v>2262</v>
      </c>
      <c r="C1130">
        <v>59</v>
      </c>
      <c r="D1130" t="s">
        <v>16</v>
      </c>
      <c r="E1130" t="s">
        <v>21</v>
      </c>
      <c r="F1130" s="1">
        <v>45316</v>
      </c>
      <c r="G1130" s="1">
        <v>46034</v>
      </c>
      <c r="H1130">
        <v>76</v>
      </c>
      <c r="I1130">
        <v>9</v>
      </c>
      <c r="J1130">
        <v>1</v>
      </c>
      <c r="K1130" t="str">
        <f t="shared" si="51"/>
        <v>Jan-2024</v>
      </c>
      <c r="L1130" s="1">
        <f t="shared" ca="1" si="52"/>
        <v>124</v>
      </c>
      <c r="M1130" t="str">
        <f t="shared" si="53"/>
        <v>46+</v>
      </c>
    </row>
    <row r="1131" spans="1:13" x14ac:dyDescent="0.2">
      <c r="A1131" t="s">
        <v>2263</v>
      </c>
      <c r="B1131" t="s">
        <v>2264</v>
      </c>
      <c r="C1131">
        <v>38</v>
      </c>
      <c r="D1131" t="s">
        <v>20</v>
      </c>
      <c r="E1131" t="s">
        <v>21</v>
      </c>
      <c r="F1131" s="1">
        <v>45783</v>
      </c>
      <c r="G1131" s="1">
        <v>46107</v>
      </c>
      <c r="H1131">
        <v>77</v>
      </c>
      <c r="I1131">
        <v>10</v>
      </c>
      <c r="J1131">
        <v>1</v>
      </c>
      <c r="K1131" t="str">
        <f t="shared" si="51"/>
        <v>May-2025</v>
      </c>
      <c r="L1131" s="1">
        <f t="shared" ca="1" si="52"/>
        <v>51</v>
      </c>
      <c r="M1131" t="str">
        <f t="shared" si="53"/>
        <v>36-45</v>
      </c>
    </row>
    <row r="1132" spans="1:13" x14ac:dyDescent="0.2">
      <c r="A1132" t="s">
        <v>2265</v>
      </c>
      <c r="B1132" t="s">
        <v>2266</v>
      </c>
      <c r="C1132">
        <v>60</v>
      </c>
      <c r="D1132" t="s">
        <v>16</v>
      </c>
      <c r="E1132" t="s">
        <v>21</v>
      </c>
      <c r="F1132" s="1">
        <v>45899</v>
      </c>
      <c r="G1132" s="1">
        <v>46130</v>
      </c>
      <c r="H1132">
        <v>15</v>
      </c>
      <c r="I1132">
        <v>8</v>
      </c>
      <c r="J1132">
        <v>1</v>
      </c>
      <c r="K1132" t="str">
        <f t="shared" si="51"/>
        <v>Aug-2025</v>
      </c>
      <c r="L1132" s="1">
        <f t="shared" ca="1" si="52"/>
        <v>28</v>
      </c>
      <c r="M1132" t="str">
        <f t="shared" si="53"/>
        <v>46+</v>
      </c>
    </row>
    <row r="1133" spans="1:13" x14ac:dyDescent="0.2">
      <c r="A1133" t="s">
        <v>2267</v>
      </c>
      <c r="B1133" t="s">
        <v>2268</v>
      </c>
      <c r="C1133">
        <v>55</v>
      </c>
      <c r="D1133" t="s">
        <v>20</v>
      </c>
      <c r="E1133" t="s">
        <v>21</v>
      </c>
      <c r="F1133" s="1">
        <v>45500</v>
      </c>
      <c r="G1133" s="1">
        <v>46054</v>
      </c>
      <c r="H1133">
        <v>25</v>
      </c>
      <c r="I1133">
        <v>5</v>
      </c>
      <c r="J1133">
        <v>0</v>
      </c>
      <c r="K1133" t="str">
        <f t="shared" si="51"/>
        <v>Jul-2024</v>
      </c>
      <c r="L1133" s="1">
        <f t="shared" ca="1" si="52"/>
        <v>104</v>
      </c>
      <c r="M1133" t="str">
        <f t="shared" si="53"/>
        <v>46+</v>
      </c>
    </row>
    <row r="1134" spans="1:13" x14ac:dyDescent="0.2">
      <c r="A1134" t="s">
        <v>2269</v>
      </c>
      <c r="B1134" t="s">
        <v>2270</v>
      </c>
      <c r="C1134">
        <v>25</v>
      </c>
      <c r="D1134" t="s">
        <v>12</v>
      </c>
      <c r="E1134" t="s">
        <v>17</v>
      </c>
      <c r="F1134" s="1">
        <v>45591</v>
      </c>
      <c r="G1134" s="1">
        <v>46050</v>
      </c>
      <c r="H1134">
        <v>57</v>
      </c>
      <c r="I1134">
        <v>5</v>
      </c>
      <c r="J1134">
        <v>0</v>
      </c>
      <c r="K1134" t="str">
        <f t="shared" si="51"/>
        <v>Oct-2024</v>
      </c>
      <c r="L1134" s="1">
        <f t="shared" ca="1" si="52"/>
        <v>108</v>
      </c>
      <c r="M1134" t="str">
        <f t="shared" si="53"/>
        <v>18-25</v>
      </c>
    </row>
    <row r="1135" spans="1:13" x14ac:dyDescent="0.2">
      <c r="A1135" t="s">
        <v>2271</v>
      </c>
      <c r="B1135" t="s">
        <v>2272</v>
      </c>
      <c r="C1135">
        <v>51</v>
      </c>
      <c r="D1135" t="s">
        <v>12</v>
      </c>
      <c r="E1135" t="s">
        <v>17</v>
      </c>
      <c r="F1135" s="1">
        <v>45923</v>
      </c>
      <c r="G1135" s="1">
        <v>46051</v>
      </c>
      <c r="H1135">
        <v>76</v>
      </c>
      <c r="I1135">
        <v>10</v>
      </c>
      <c r="J1135">
        <v>0</v>
      </c>
      <c r="K1135" t="str">
        <f t="shared" si="51"/>
        <v>Sep-2025</v>
      </c>
      <c r="L1135" s="1">
        <f t="shared" ca="1" si="52"/>
        <v>107</v>
      </c>
      <c r="M1135" t="str">
        <f t="shared" si="53"/>
        <v>46+</v>
      </c>
    </row>
    <row r="1136" spans="1:13" x14ac:dyDescent="0.2">
      <c r="A1136" t="s">
        <v>2273</v>
      </c>
      <c r="B1136" t="s">
        <v>2274</v>
      </c>
      <c r="C1136">
        <v>33</v>
      </c>
      <c r="D1136" t="s">
        <v>20</v>
      </c>
      <c r="E1136" t="s">
        <v>21</v>
      </c>
      <c r="F1136" s="1">
        <v>45824</v>
      </c>
      <c r="G1136" s="1">
        <v>46078</v>
      </c>
      <c r="H1136">
        <v>71</v>
      </c>
      <c r="I1136">
        <v>10</v>
      </c>
      <c r="J1136">
        <v>0</v>
      </c>
      <c r="K1136" t="str">
        <f t="shared" si="51"/>
        <v>Jun-2025</v>
      </c>
      <c r="L1136" s="1">
        <f t="shared" ca="1" si="52"/>
        <v>80</v>
      </c>
      <c r="M1136" t="str">
        <f t="shared" si="53"/>
        <v>26-35</v>
      </c>
    </row>
    <row r="1137" spans="1:13" x14ac:dyDescent="0.2">
      <c r="A1137" t="s">
        <v>2275</v>
      </c>
      <c r="B1137" t="s">
        <v>2276</v>
      </c>
      <c r="C1137">
        <v>48</v>
      </c>
      <c r="D1137" t="s">
        <v>12</v>
      </c>
      <c r="E1137" t="s">
        <v>17</v>
      </c>
      <c r="F1137" s="1">
        <v>46054</v>
      </c>
      <c r="G1137" s="1">
        <v>46051</v>
      </c>
      <c r="H1137">
        <v>71</v>
      </c>
      <c r="I1137">
        <v>6</v>
      </c>
      <c r="J1137">
        <v>1</v>
      </c>
      <c r="K1137" t="str">
        <f t="shared" si="51"/>
        <v>Feb-2026</v>
      </c>
      <c r="L1137" s="1">
        <f t="shared" ca="1" si="52"/>
        <v>107</v>
      </c>
      <c r="M1137" t="str">
        <f t="shared" si="53"/>
        <v>46+</v>
      </c>
    </row>
    <row r="1138" spans="1:13" x14ac:dyDescent="0.2">
      <c r="A1138" t="s">
        <v>2277</v>
      </c>
      <c r="B1138" t="s">
        <v>2278</v>
      </c>
      <c r="C1138">
        <v>41</v>
      </c>
      <c r="D1138" t="s">
        <v>12</v>
      </c>
      <c r="E1138" t="s">
        <v>21</v>
      </c>
      <c r="F1138" s="1">
        <v>45755</v>
      </c>
      <c r="G1138" s="1">
        <v>46141</v>
      </c>
      <c r="H1138">
        <v>53</v>
      </c>
      <c r="I1138">
        <v>8</v>
      </c>
      <c r="J1138">
        <v>1</v>
      </c>
      <c r="K1138" t="str">
        <f t="shared" si="51"/>
        <v>Apr-2025</v>
      </c>
      <c r="L1138" s="1">
        <f t="shared" ca="1" si="52"/>
        <v>17</v>
      </c>
      <c r="M1138" t="str">
        <f t="shared" si="53"/>
        <v>36-45</v>
      </c>
    </row>
    <row r="1139" spans="1:13" x14ac:dyDescent="0.2">
      <c r="A1139" t="s">
        <v>2279</v>
      </c>
      <c r="B1139" t="s">
        <v>2280</v>
      </c>
      <c r="C1139">
        <v>57</v>
      </c>
      <c r="D1139" t="s">
        <v>16</v>
      </c>
      <c r="E1139" t="s">
        <v>21</v>
      </c>
      <c r="F1139" s="1">
        <v>45304</v>
      </c>
      <c r="G1139" s="1">
        <v>46127</v>
      </c>
      <c r="H1139">
        <v>10</v>
      </c>
      <c r="I1139">
        <v>9</v>
      </c>
      <c r="J1139">
        <v>1</v>
      </c>
      <c r="K1139" t="str">
        <f t="shared" si="51"/>
        <v>Jan-2024</v>
      </c>
      <c r="L1139" s="1">
        <f t="shared" ca="1" si="52"/>
        <v>31</v>
      </c>
      <c r="M1139" t="str">
        <f t="shared" si="53"/>
        <v>46+</v>
      </c>
    </row>
    <row r="1140" spans="1:13" x14ac:dyDescent="0.2">
      <c r="A1140" t="s">
        <v>2281</v>
      </c>
      <c r="B1140" t="s">
        <v>2282</v>
      </c>
      <c r="C1140">
        <v>25</v>
      </c>
      <c r="D1140" t="s">
        <v>12</v>
      </c>
      <c r="E1140" t="s">
        <v>17</v>
      </c>
      <c r="F1140" s="1">
        <v>45271</v>
      </c>
      <c r="G1140" s="1">
        <v>46048</v>
      </c>
      <c r="H1140">
        <v>5</v>
      </c>
      <c r="I1140">
        <v>6</v>
      </c>
      <c r="J1140">
        <v>0</v>
      </c>
      <c r="K1140" t="str">
        <f t="shared" si="51"/>
        <v>Dec-2023</v>
      </c>
      <c r="L1140" s="1">
        <f t="shared" ca="1" si="52"/>
        <v>110</v>
      </c>
      <c r="M1140" t="str">
        <f t="shared" si="53"/>
        <v>18-25</v>
      </c>
    </row>
    <row r="1141" spans="1:13" x14ac:dyDescent="0.2">
      <c r="A1141" t="s">
        <v>2283</v>
      </c>
      <c r="B1141" t="s">
        <v>2284</v>
      </c>
      <c r="C1141">
        <v>22</v>
      </c>
      <c r="D1141" t="s">
        <v>12</v>
      </c>
      <c r="E1141" t="s">
        <v>13</v>
      </c>
      <c r="F1141" s="1">
        <v>45521</v>
      </c>
      <c r="G1141" s="1">
        <v>46037</v>
      </c>
      <c r="H1141">
        <v>56</v>
      </c>
      <c r="I1141">
        <v>1</v>
      </c>
      <c r="J1141">
        <v>1</v>
      </c>
      <c r="K1141" t="str">
        <f t="shared" si="51"/>
        <v>Aug-2024</v>
      </c>
      <c r="L1141" s="1">
        <f t="shared" ca="1" si="52"/>
        <v>121</v>
      </c>
      <c r="M1141" t="str">
        <f t="shared" si="53"/>
        <v>18-25</v>
      </c>
    </row>
    <row r="1142" spans="1:13" x14ac:dyDescent="0.2">
      <c r="A1142" t="s">
        <v>2285</v>
      </c>
      <c r="B1142" t="s">
        <v>2286</v>
      </c>
      <c r="C1142">
        <v>28</v>
      </c>
      <c r="D1142" t="s">
        <v>20</v>
      </c>
      <c r="E1142" t="s">
        <v>17</v>
      </c>
      <c r="F1142" s="1">
        <v>45772</v>
      </c>
      <c r="G1142" s="1">
        <v>46072</v>
      </c>
      <c r="H1142">
        <v>30</v>
      </c>
      <c r="I1142">
        <v>4</v>
      </c>
      <c r="J1142">
        <v>0</v>
      </c>
      <c r="K1142" t="str">
        <f t="shared" si="51"/>
        <v>Apr-2025</v>
      </c>
      <c r="L1142" s="1">
        <f t="shared" ca="1" si="52"/>
        <v>86</v>
      </c>
      <c r="M1142" t="str">
        <f t="shared" si="53"/>
        <v>26-35</v>
      </c>
    </row>
    <row r="1143" spans="1:13" x14ac:dyDescent="0.2">
      <c r="A1143" t="s">
        <v>2287</v>
      </c>
      <c r="B1143" t="s">
        <v>2288</v>
      </c>
      <c r="C1143">
        <v>47</v>
      </c>
      <c r="D1143" t="s">
        <v>20</v>
      </c>
      <c r="E1143" t="s">
        <v>17</v>
      </c>
      <c r="F1143" s="1">
        <v>45340</v>
      </c>
      <c r="G1143" s="1">
        <v>46057</v>
      </c>
      <c r="H1143">
        <v>58</v>
      </c>
      <c r="I1143">
        <v>7</v>
      </c>
      <c r="J1143">
        <v>0</v>
      </c>
      <c r="K1143" t="str">
        <f t="shared" si="51"/>
        <v>Feb-2024</v>
      </c>
      <c r="L1143" s="1">
        <f t="shared" ca="1" si="52"/>
        <v>101</v>
      </c>
      <c r="M1143" t="str">
        <f t="shared" si="53"/>
        <v>46+</v>
      </c>
    </row>
    <row r="1144" spans="1:13" x14ac:dyDescent="0.2">
      <c r="A1144" t="s">
        <v>2289</v>
      </c>
      <c r="B1144" t="s">
        <v>2290</v>
      </c>
      <c r="C1144">
        <v>59</v>
      </c>
      <c r="D1144" t="s">
        <v>20</v>
      </c>
      <c r="E1144" t="s">
        <v>17</v>
      </c>
      <c r="F1144" s="1">
        <v>45846</v>
      </c>
      <c r="G1144" s="1">
        <v>46124</v>
      </c>
      <c r="H1144">
        <v>23</v>
      </c>
      <c r="I1144">
        <v>1</v>
      </c>
      <c r="J1144">
        <v>0</v>
      </c>
      <c r="K1144" t="str">
        <f t="shared" si="51"/>
        <v>Jul-2025</v>
      </c>
      <c r="L1144" s="1">
        <f t="shared" ca="1" si="52"/>
        <v>34</v>
      </c>
      <c r="M1144" t="str">
        <f t="shared" si="53"/>
        <v>46+</v>
      </c>
    </row>
    <row r="1145" spans="1:13" x14ac:dyDescent="0.2">
      <c r="A1145" t="s">
        <v>2291</v>
      </c>
      <c r="B1145" t="s">
        <v>2292</v>
      </c>
      <c r="C1145">
        <v>26</v>
      </c>
      <c r="D1145" t="s">
        <v>16</v>
      </c>
      <c r="E1145" t="s">
        <v>21</v>
      </c>
      <c r="F1145" s="1">
        <v>45602</v>
      </c>
      <c r="G1145" s="1">
        <v>46143</v>
      </c>
      <c r="H1145">
        <v>41</v>
      </c>
      <c r="I1145">
        <v>9</v>
      </c>
      <c r="J1145">
        <v>1</v>
      </c>
      <c r="K1145" t="str">
        <f t="shared" si="51"/>
        <v>Nov-2024</v>
      </c>
      <c r="L1145" s="1">
        <f t="shared" ca="1" si="52"/>
        <v>15</v>
      </c>
      <c r="M1145" t="str">
        <f t="shared" si="53"/>
        <v>26-35</v>
      </c>
    </row>
    <row r="1146" spans="1:13" x14ac:dyDescent="0.2">
      <c r="A1146" t="s">
        <v>2293</v>
      </c>
      <c r="B1146" t="s">
        <v>2294</v>
      </c>
      <c r="C1146">
        <v>37</v>
      </c>
      <c r="D1146" t="s">
        <v>20</v>
      </c>
      <c r="E1146" t="s">
        <v>17</v>
      </c>
      <c r="F1146" s="1">
        <v>45963</v>
      </c>
      <c r="G1146" s="1">
        <v>46073</v>
      </c>
      <c r="H1146">
        <v>26</v>
      </c>
      <c r="I1146">
        <v>3</v>
      </c>
      <c r="J1146">
        <v>1</v>
      </c>
      <c r="K1146" t="str">
        <f t="shared" si="51"/>
        <v>Nov-2025</v>
      </c>
      <c r="L1146" s="1">
        <f t="shared" ca="1" si="52"/>
        <v>85</v>
      </c>
      <c r="M1146" t="str">
        <f t="shared" si="53"/>
        <v>36-45</v>
      </c>
    </row>
    <row r="1147" spans="1:13" x14ac:dyDescent="0.2">
      <c r="A1147" t="s">
        <v>2295</v>
      </c>
      <c r="B1147" t="s">
        <v>2296</v>
      </c>
      <c r="C1147">
        <v>46</v>
      </c>
      <c r="D1147" t="s">
        <v>12</v>
      </c>
      <c r="E1147" t="s">
        <v>21</v>
      </c>
      <c r="F1147" s="1">
        <v>45977</v>
      </c>
      <c r="G1147" s="1">
        <v>46144</v>
      </c>
      <c r="H1147">
        <v>15</v>
      </c>
      <c r="I1147">
        <v>3</v>
      </c>
      <c r="J1147">
        <v>0</v>
      </c>
      <c r="K1147" t="str">
        <f t="shared" si="51"/>
        <v>Nov-2025</v>
      </c>
      <c r="L1147" s="1">
        <f t="shared" ca="1" si="52"/>
        <v>14</v>
      </c>
      <c r="M1147" t="str">
        <f t="shared" si="53"/>
        <v>46+</v>
      </c>
    </row>
    <row r="1148" spans="1:13" x14ac:dyDescent="0.2">
      <c r="A1148" t="s">
        <v>2297</v>
      </c>
      <c r="B1148" t="s">
        <v>2298</v>
      </c>
      <c r="C1148">
        <v>20</v>
      </c>
      <c r="D1148" t="s">
        <v>20</v>
      </c>
      <c r="E1148" t="s">
        <v>21</v>
      </c>
      <c r="F1148" s="1">
        <v>45872</v>
      </c>
      <c r="G1148" s="1">
        <v>46059</v>
      </c>
      <c r="H1148">
        <v>73</v>
      </c>
      <c r="I1148">
        <v>1</v>
      </c>
      <c r="J1148">
        <v>1</v>
      </c>
      <c r="K1148" t="str">
        <f t="shared" si="51"/>
        <v>Aug-2025</v>
      </c>
      <c r="L1148" s="1">
        <f t="shared" ca="1" si="52"/>
        <v>99</v>
      </c>
      <c r="M1148" t="str">
        <f t="shared" si="53"/>
        <v>18-25</v>
      </c>
    </row>
    <row r="1149" spans="1:13" x14ac:dyDescent="0.2">
      <c r="A1149" t="s">
        <v>2299</v>
      </c>
      <c r="B1149" t="s">
        <v>2300</v>
      </c>
      <c r="C1149">
        <v>19</v>
      </c>
      <c r="D1149" t="s">
        <v>12</v>
      </c>
      <c r="E1149" t="s">
        <v>13</v>
      </c>
      <c r="F1149" s="1">
        <v>45900</v>
      </c>
      <c r="G1149" s="1">
        <v>46038</v>
      </c>
      <c r="H1149">
        <v>62</v>
      </c>
      <c r="I1149">
        <v>6</v>
      </c>
      <c r="J1149">
        <v>0</v>
      </c>
      <c r="K1149" t="str">
        <f t="shared" si="51"/>
        <v>Aug-2025</v>
      </c>
      <c r="L1149" s="1">
        <f t="shared" ca="1" si="52"/>
        <v>120</v>
      </c>
      <c r="M1149" t="str">
        <f t="shared" si="53"/>
        <v>18-25</v>
      </c>
    </row>
    <row r="1150" spans="1:13" x14ac:dyDescent="0.2">
      <c r="A1150" t="s">
        <v>2301</v>
      </c>
      <c r="B1150" t="s">
        <v>2302</v>
      </c>
      <c r="C1150">
        <v>53</v>
      </c>
      <c r="D1150" t="s">
        <v>16</v>
      </c>
      <c r="E1150" t="s">
        <v>21</v>
      </c>
      <c r="F1150" s="1">
        <v>45186</v>
      </c>
      <c r="G1150" s="1">
        <v>46087</v>
      </c>
      <c r="H1150">
        <v>27</v>
      </c>
      <c r="I1150">
        <v>10</v>
      </c>
      <c r="J1150">
        <v>0</v>
      </c>
      <c r="K1150" t="str">
        <f t="shared" si="51"/>
        <v>Sep-2023</v>
      </c>
      <c r="L1150" s="1">
        <f t="shared" ca="1" si="52"/>
        <v>71</v>
      </c>
      <c r="M1150" t="str">
        <f t="shared" si="53"/>
        <v>46+</v>
      </c>
    </row>
    <row r="1151" spans="1:13" x14ac:dyDescent="0.2">
      <c r="A1151" t="s">
        <v>2303</v>
      </c>
      <c r="B1151" t="s">
        <v>2304</v>
      </c>
      <c r="C1151">
        <v>50</v>
      </c>
      <c r="D1151" t="s">
        <v>12</v>
      </c>
      <c r="E1151" t="s">
        <v>13</v>
      </c>
      <c r="F1151" s="1">
        <v>46096</v>
      </c>
      <c r="G1151" s="1">
        <v>46134</v>
      </c>
      <c r="H1151">
        <v>58</v>
      </c>
      <c r="I1151">
        <v>2</v>
      </c>
      <c r="J1151">
        <v>0</v>
      </c>
      <c r="K1151" t="str">
        <f t="shared" si="51"/>
        <v>Mar-2026</v>
      </c>
      <c r="L1151" s="1">
        <f t="shared" ca="1" si="52"/>
        <v>24</v>
      </c>
      <c r="M1151" t="str">
        <f t="shared" si="53"/>
        <v>46+</v>
      </c>
    </row>
    <row r="1152" spans="1:13" x14ac:dyDescent="0.2">
      <c r="A1152" t="s">
        <v>2305</v>
      </c>
      <c r="B1152" t="s">
        <v>2306</v>
      </c>
      <c r="C1152">
        <v>45</v>
      </c>
      <c r="D1152" t="s">
        <v>16</v>
      </c>
      <c r="E1152" t="s">
        <v>13</v>
      </c>
      <c r="F1152" s="1">
        <v>45257</v>
      </c>
      <c r="G1152" s="1">
        <v>46074</v>
      </c>
      <c r="H1152">
        <v>76</v>
      </c>
      <c r="I1152">
        <v>7</v>
      </c>
      <c r="J1152">
        <v>1</v>
      </c>
      <c r="K1152" t="str">
        <f t="shared" si="51"/>
        <v>Nov-2023</v>
      </c>
      <c r="L1152" s="1">
        <f t="shared" ca="1" si="52"/>
        <v>84</v>
      </c>
      <c r="M1152" t="str">
        <f t="shared" si="53"/>
        <v>36-45</v>
      </c>
    </row>
    <row r="1153" spans="1:13" x14ac:dyDescent="0.2">
      <c r="A1153" t="s">
        <v>2307</v>
      </c>
      <c r="B1153" t="s">
        <v>2308</v>
      </c>
      <c r="C1153">
        <v>34</v>
      </c>
      <c r="D1153" t="s">
        <v>12</v>
      </c>
      <c r="E1153" t="s">
        <v>21</v>
      </c>
      <c r="F1153" s="1">
        <v>45358</v>
      </c>
      <c r="G1153" s="1">
        <v>46059</v>
      </c>
      <c r="H1153">
        <v>29</v>
      </c>
      <c r="I1153">
        <v>3</v>
      </c>
      <c r="J1153">
        <v>1</v>
      </c>
      <c r="K1153" t="str">
        <f t="shared" si="51"/>
        <v>Mar-2024</v>
      </c>
      <c r="L1153" s="1">
        <f t="shared" ca="1" si="52"/>
        <v>99</v>
      </c>
      <c r="M1153" t="str">
        <f t="shared" si="53"/>
        <v>26-35</v>
      </c>
    </row>
    <row r="1154" spans="1:13" x14ac:dyDescent="0.2">
      <c r="A1154" t="s">
        <v>2309</v>
      </c>
      <c r="B1154" t="s">
        <v>2310</v>
      </c>
      <c r="C1154">
        <v>50</v>
      </c>
      <c r="D1154" t="s">
        <v>12</v>
      </c>
      <c r="E1154" t="s">
        <v>21</v>
      </c>
      <c r="F1154" s="1">
        <v>45482</v>
      </c>
      <c r="G1154" s="1">
        <v>46137</v>
      </c>
      <c r="H1154">
        <v>51</v>
      </c>
      <c r="I1154">
        <v>10</v>
      </c>
      <c r="J1154">
        <v>0</v>
      </c>
      <c r="K1154" t="str">
        <f t="shared" si="51"/>
        <v>Jul-2024</v>
      </c>
      <c r="L1154" s="1">
        <f t="shared" ca="1" si="52"/>
        <v>21</v>
      </c>
      <c r="M1154" t="str">
        <f t="shared" si="53"/>
        <v>46+</v>
      </c>
    </row>
    <row r="1155" spans="1:13" x14ac:dyDescent="0.2">
      <c r="A1155" t="s">
        <v>2311</v>
      </c>
      <c r="B1155" t="s">
        <v>2312</v>
      </c>
      <c r="C1155">
        <v>51</v>
      </c>
      <c r="D1155" t="s">
        <v>16</v>
      </c>
      <c r="E1155" t="s">
        <v>17</v>
      </c>
      <c r="F1155" s="1">
        <v>45691</v>
      </c>
      <c r="G1155" s="1">
        <v>46092</v>
      </c>
      <c r="H1155">
        <v>7</v>
      </c>
      <c r="I1155">
        <v>8</v>
      </c>
      <c r="J1155">
        <v>0</v>
      </c>
      <c r="K1155" t="str">
        <f t="shared" ref="K1155:K1218" si="54">TEXT(F1155,"MMM-YYYY")</f>
        <v>Feb-2025</v>
      </c>
      <c r="L1155" s="1">
        <f t="shared" ref="L1155:L1218" ca="1" si="55">TODAY()-G1155</f>
        <v>66</v>
      </c>
      <c r="M1155" t="str">
        <f t="shared" ref="M1155:M1218" si="56">IF(C1155&lt;=25,"18-25",IF(C1155&lt;=35,"26-35",IF(C1155&lt;=45,"36-45","46+")))</f>
        <v>46+</v>
      </c>
    </row>
    <row r="1156" spans="1:13" x14ac:dyDescent="0.2">
      <c r="A1156" t="s">
        <v>2313</v>
      </c>
      <c r="B1156" t="s">
        <v>2314</v>
      </c>
      <c r="C1156">
        <v>32</v>
      </c>
      <c r="D1156" t="s">
        <v>12</v>
      </c>
      <c r="E1156" t="s">
        <v>21</v>
      </c>
      <c r="F1156" s="1">
        <v>45593</v>
      </c>
      <c r="G1156" s="1">
        <v>46099</v>
      </c>
      <c r="H1156">
        <v>12</v>
      </c>
      <c r="I1156">
        <v>1</v>
      </c>
      <c r="J1156">
        <v>1</v>
      </c>
      <c r="K1156" t="str">
        <f t="shared" si="54"/>
        <v>Oct-2024</v>
      </c>
      <c r="L1156" s="1">
        <f t="shared" ca="1" si="55"/>
        <v>59</v>
      </c>
      <c r="M1156" t="str">
        <f t="shared" si="56"/>
        <v>26-35</v>
      </c>
    </row>
    <row r="1157" spans="1:13" x14ac:dyDescent="0.2">
      <c r="A1157" t="s">
        <v>2315</v>
      </c>
      <c r="B1157" t="s">
        <v>2316</v>
      </c>
      <c r="C1157">
        <v>46</v>
      </c>
      <c r="D1157" t="s">
        <v>20</v>
      </c>
      <c r="E1157" t="s">
        <v>21</v>
      </c>
      <c r="F1157" s="1">
        <v>45768</v>
      </c>
      <c r="G1157" s="1">
        <v>46083</v>
      </c>
      <c r="H1157">
        <v>72</v>
      </c>
      <c r="I1157">
        <v>5</v>
      </c>
      <c r="J1157">
        <v>1</v>
      </c>
      <c r="K1157" t="str">
        <f t="shared" si="54"/>
        <v>Apr-2025</v>
      </c>
      <c r="L1157" s="1">
        <f t="shared" ca="1" si="55"/>
        <v>75</v>
      </c>
      <c r="M1157" t="str">
        <f t="shared" si="56"/>
        <v>46+</v>
      </c>
    </row>
    <row r="1158" spans="1:13" x14ac:dyDescent="0.2">
      <c r="A1158" t="s">
        <v>2317</v>
      </c>
      <c r="B1158" t="s">
        <v>2318</v>
      </c>
      <c r="C1158">
        <v>45</v>
      </c>
      <c r="D1158" t="s">
        <v>20</v>
      </c>
      <c r="E1158" t="s">
        <v>21</v>
      </c>
      <c r="F1158" s="1">
        <v>45987</v>
      </c>
      <c r="G1158" s="1">
        <v>46077</v>
      </c>
      <c r="H1158">
        <v>66</v>
      </c>
      <c r="I1158">
        <v>9</v>
      </c>
      <c r="J1158">
        <v>1</v>
      </c>
      <c r="K1158" t="str">
        <f t="shared" si="54"/>
        <v>Nov-2025</v>
      </c>
      <c r="L1158" s="1">
        <f t="shared" ca="1" si="55"/>
        <v>81</v>
      </c>
      <c r="M1158" t="str">
        <f t="shared" si="56"/>
        <v>36-45</v>
      </c>
    </row>
    <row r="1159" spans="1:13" x14ac:dyDescent="0.2">
      <c r="A1159" t="s">
        <v>2319</v>
      </c>
      <c r="B1159" t="s">
        <v>2320</v>
      </c>
      <c r="C1159">
        <v>52</v>
      </c>
      <c r="D1159" t="s">
        <v>12</v>
      </c>
      <c r="E1159" t="s">
        <v>17</v>
      </c>
      <c r="F1159" s="1">
        <v>45863</v>
      </c>
      <c r="G1159" s="1">
        <v>46111</v>
      </c>
      <c r="H1159">
        <v>62</v>
      </c>
      <c r="I1159">
        <v>6</v>
      </c>
      <c r="J1159">
        <v>0</v>
      </c>
      <c r="K1159" t="str">
        <f t="shared" si="54"/>
        <v>Jul-2025</v>
      </c>
      <c r="L1159" s="1">
        <f t="shared" ca="1" si="55"/>
        <v>47</v>
      </c>
      <c r="M1159" t="str">
        <f t="shared" si="56"/>
        <v>46+</v>
      </c>
    </row>
    <row r="1160" spans="1:13" x14ac:dyDescent="0.2">
      <c r="A1160" t="s">
        <v>2321</v>
      </c>
      <c r="B1160" t="s">
        <v>2322</v>
      </c>
      <c r="C1160">
        <v>21</v>
      </c>
      <c r="D1160" t="s">
        <v>12</v>
      </c>
      <c r="E1160" t="s">
        <v>21</v>
      </c>
      <c r="F1160" s="1">
        <v>45654</v>
      </c>
      <c r="G1160" s="1">
        <v>46046</v>
      </c>
      <c r="H1160">
        <v>22</v>
      </c>
      <c r="I1160">
        <v>3</v>
      </c>
      <c r="J1160">
        <v>1</v>
      </c>
      <c r="K1160" t="str">
        <f t="shared" si="54"/>
        <v>Dec-2024</v>
      </c>
      <c r="L1160" s="1">
        <f t="shared" ca="1" si="55"/>
        <v>112</v>
      </c>
      <c r="M1160" t="str">
        <f t="shared" si="56"/>
        <v>18-25</v>
      </c>
    </row>
    <row r="1161" spans="1:13" x14ac:dyDescent="0.2">
      <c r="A1161" t="s">
        <v>2323</v>
      </c>
      <c r="B1161" t="s">
        <v>2324</v>
      </c>
      <c r="C1161">
        <v>34</v>
      </c>
      <c r="D1161" t="s">
        <v>12</v>
      </c>
      <c r="E1161" t="s">
        <v>21</v>
      </c>
      <c r="F1161" s="1">
        <v>45717</v>
      </c>
      <c r="G1161" s="1">
        <v>46139</v>
      </c>
      <c r="H1161">
        <v>77</v>
      </c>
      <c r="I1161">
        <v>5</v>
      </c>
      <c r="J1161">
        <v>0</v>
      </c>
      <c r="K1161" t="str">
        <f t="shared" si="54"/>
        <v>Mar-2025</v>
      </c>
      <c r="L1161" s="1">
        <f t="shared" ca="1" si="55"/>
        <v>19</v>
      </c>
      <c r="M1161" t="str">
        <f t="shared" si="56"/>
        <v>26-35</v>
      </c>
    </row>
    <row r="1162" spans="1:13" x14ac:dyDescent="0.2">
      <c r="A1162" t="s">
        <v>2325</v>
      </c>
      <c r="B1162" t="s">
        <v>2326</v>
      </c>
      <c r="C1162">
        <v>56</v>
      </c>
      <c r="D1162" t="s">
        <v>12</v>
      </c>
      <c r="E1162" t="s">
        <v>17</v>
      </c>
      <c r="F1162" s="1">
        <v>45572</v>
      </c>
      <c r="G1162" s="1">
        <v>46054</v>
      </c>
      <c r="H1162">
        <v>49</v>
      </c>
      <c r="I1162">
        <v>3</v>
      </c>
      <c r="J1162">
        <v>0</v>
      </c>
      <c r="K1162" t="str">
        <f t="shared" si="54"/>
        <v>Oct-2024</v>
      </c>
      <c r="L1162" s="1">
        <f t="shared" ca="1" si="55"/>
        <v>104</v>
      </c>
      <c r="M1162" t="str">
        <f t="shared" si="56"/>
        <v>46+</v>
      </c>
    </row>
    <row r="1163" spans="1:13" x14ac:dyDescent="0.2">
      <c r="A1163" t="s">
        <v>2327</v>
      </c>
      <c r="B1163" t="s">
        <v>2328</v>
      </c>
      <c r="C1163">
        <v>49</v>
      </c>
      <c r="D1163" t="s">
        <v>12</v>
      </c>
      <c r="E1163" t="s">
        <v>17</v>
      </c>
      <c r="F1163" s="1">
        <v>45710</v>
      </c>
      <c r="G1163" s="1">
        <v>46052</v>
      </c>
      <c r="H1163">
        <v>51</v>
      </c>
      <c r="I1163">
        <v>2</v>
      </c>
      <c r="J1163">
        <v>1</v>
      </c>
      <c r="K1163" t="str">
        <f t="shared" si="54"/>
        <v>Feb-2025</v>
      </c>
      <c r="L1163" s="1">
        <f t="shared" ca="1" si="55"/>
        <v>106</v>
      </c>
      <c r="M1163" t="str">
        <f t="shared" si="56"/>
        <v>46+</v>
      </c>
    </row>
    <row r="1164" spans="1:13" x14ac:dyDescent="0.2">
      <c r="A1164" t="s">
        <v>2329</v>
      </c>
      <c r="B1164" t="s">
        <v>2330</v>
      </c>
      <c r="C1164">
        <v>40</v>
      </c>
      <c r="D1164" t="s">
        <v>20</v>
      </c>
      <c r="E1164" t="s">
        <v>21</v>
      </c>
      <c r="F1164" s="1">
        <v>45654</v>
      </c>
      <c r="G1164" s="1">
        <v>46117</v>
      </c>
      <c r="H1164">
        <v>21</v>
      </c>
      <c r="I1164">
        <v>6</v>
      </c>
      <c r="J1164">
        <v>0</v>
      </c>
      <c r="K1164" t="str">
        <f t="shared" si="54"/>
        <v>Dec-2024</v>
      </c>
      <c r="L1164" s="1">
        <f t="shared" ca="1" si="55"/>
        <v>41</v>
      </c>
      <c r="M1164" t="str">
        <f t="shared" si="56"/>
        <v>36-45</v>
      </c>
    </row>
    <row r="1165" spans="1:13" x14ac:dyDescent="0.2">
      <c r="A1165" t="s">
        <v>2331</v>
      </c>
      <c r="B1165" t="s">
        <v>2332</v>
      </c>
      <c r="C1165">
        <v>19</v>
      </c>
      <c r="D1165" t="s">
        <v>12</v>
      </c>
      <c r="E1165" t="s">
        <v>21</v>
      </c>
      <c r="F1165" s="1">
        <v>46060</v>
      </c>
      <c r="G1165" s="1">
        <v>46107</v>
      </c>
      <c r="H1165">
        <v>75</v>
      </c>
      <c r="I1165">
        <v>3</v>
      </c>
      <c r="J1165">
        <v>1</v>
      </c>
      <c r="K1165" t="str">
        <f t="shared" si="54"/>
        <v>Feb-2026</v>
      </c>
      <c r="L1165" s="1">
        <f t="shared" ca="1" si="55"/>
        <v>51</v>
      </c>
      <c r="M1165" t="str">
        <f t="shared" si="56"/>
        <v>18-25</v>
      </c>
    </row>
    <row r="1166" spans="1:13" x14ac:dyDescent="0.2">
      <c r="A1166" t="s">
        <v>2333</v>
      </c>
      <c r="B1166" t="s">
        <v>2334</v>
      </c>
      <c r="C1166">
        <v>57</v>
      </c>
      <c r="D1166" t="s">
        <v>12</v>
      </c>
      <c r="E1166" t="s">
        <v>17</v>
      </c>
      <c r="F1166" s="1">
        <v>45516</v>
      </c>
      <c r="G1166" s="1">
        <v>46081</v>
      </c>
      <c r="H1166">
        <v>60</v>
      </c>
      <c r="I1166">
        <v>4</v>
      </c>
      <c r="J1166">
        <v>1</v>
      </c>
      <c r="K1166" t="str">
        <f t="shared" si="54"/>
        <v>Aug-2024</v>
      </c>
      <c r="L1166" s="1">
        <f t="shared" ca="1" si="55"/>
        <v>77</v>
      </c>
      <c r="M1166" t="str">
        <f t="shared" si="56"/>
        <v>46+</v>
      </c>
    </row>
    <row r="1167" spans="1:13" x14ac:dyDescent="0.2">
      <c r="A1167" t="s">
        <v>2335</v>
      </c>
      <c r="B1167" t="s">
        <v>2336</v>
      </c>
      <c r="C1167">
        <v>23</v>
      </c>
      <c r="D1167" t="s">
        <v>16</v>
      </c>
      <c r="E1167" t="s">
        <v>21</v>
      </c>
      <c r="F1167" s="1">
        <v>45838</v>
      </c>
      <c r="G1167" s="1">
        <v>46129</v>
      </c>
      <c r="H1167">
        <v>74</v>
      </c>
      <c r="I1167">
        <v>7</v>
      </c>
      <c r="J1167">
        <v>1</v>
      </c>
      <c r="K1167" t="str">
        <f t="shared" si="54"/>
        <v>Jun-2025</v>
      </c>
      <c r="L1167" s="1">
        <f t="shared" ca="1" si="55"/>
        <v>29</v>
      </c>
      <c r="M1167" t="str">
        <f t="shared" si="56"/>
        <v>18-25</v>
      </c>
    </row>
    <row r="1168" spans="1:13" x14ac:dyDescent="0.2">
      <c r="A1168" t="s">
        <v>2337</v>
      </c>
      <c r="B1168" t="s">
        <v>2338</v>
      </c>
      <c r="C1168">
        <v>38</v>
      </c>
      <c r="D1168" t="s">
        <v>12</v>
      </c>
      <c r="E1168" t="s">
        <v>21</v>
      </c>
      <c r="F1168" s="1">
        <v>45462</v>
      </c>
      <c r="G1168" s="1">
        <v>46140</v>
      </c>
      <c r="H1168">
        <v>47</v>
      </c>
      <c r="I1168">
        <v>2</v>
      </c>
      <c r="J1168">
        <v>1</v>
      </c>
      <c r="K1168" t="str">
        <f t="shared" si="54"/>
        <v>Jun-2024</v>
      </c>
      <c r="L1168" s="1">
        <f t="shared" ca="1" si="55"/>
        <v>18</v>
      </c>
      <c r="M1168" t="str">
        <f t="shared" si="56"/>
        <v>36-45</v>
      </c>
    </row>
    <row r="1169" spans="1:13" x14ac:dyDescent="0.2">
      <c r="A1169" t="s">
        <v>2339</v>
      </c>
      <c r="B1169" t="s">
        <v>2340</v>
      </c>
      <c r="C1169">
        <v>60</v>
      </c>
      <c r="D1169" t="s">
        <v>16</v>
      </c>
      <c r="E1169" t="s">
        <v>17</v>
      </c>
      <c r="F1169" s="1">
        <v>45900</v>
      </c>
      <c r="G1169" s="1">
        <v>46087</v>
      </c>
      <c r="H1169">
        <v>58</v>
      </c>
      <c r="I1169">
        <v>2</v>
      </c>
      <c r="J1169">
        <v>0</v>
      </c>
      <c r="K1169" t="str">
        <f t="shared" si="54"/>
        <v>Aug-2025</v>
      </c>
      <c r="L1169" s="1">
        <f t="shared" ca="1" si="55"/>
        <v>71</v>
      </c>
      <c r="M1169" t="str">
        <f t="shared" si="56"/>
        <v>46+</v>
      </c>
    </row>
    <row r="1170" spans="1:13" x14ac:dyDescent="0.2">
      <c r="A1170" t="s">
        <v>2341</v>
      </c>
      <c r="B1170" t="s">
        <v>2342</v>
      </c>
      <c r="C1170">
        <v>36</v>
      </c>
      <c r="D1170" t="s">
        <v>16</v>
      </c>
      <c r="E1170" t="s">
        <v>21</v>
      </c>
      <c r="F1170" s="1">
        <v>45218</v>
      </c>
      <c r="G1170" s="1">
        <v>46080</v>
      </c>
      <c r="H1170">
        <v>16</v>
      </c>
      <c r="I1170">
        <v>3</v>
      </c>
      <c r="J1170">
        <v>0</v>
      </c>
      <c r="K1170" t="str">
        <f t="shared" si="54"/>
        <v>Oct-2023</v>
      </c>
      <c r="L1170" s="1">
        <f t="shared" ca="1" si="55"/>
        <v>78</v>
      </c>
      <c r="M1170" t="str">
        <f t="shared" si="56"/>
        <v>36-45</v>
      </c>
    </row>
    <row r="1171" spans="1:13" x14ac:dyDescent="0.2">
      <c r="A1171" t="s">
        <v>2343</v>
      </c>
      <c r="B1171" t="s">
        <v>2344</v>
      </c>
      <c r="C1171">
        <v>53</v>
      </c>
      <c r="D1171" t="s">
        <v>12</v>
      </c>
      <c r="E1171" t="s">
        <v>17</v>
      </c>
      <c r="F1171" s="1">
        <v>46067</v>
      </c>
      <c r="G1171" s="1">
        <v>46150</v>
      </c>
      <c r="H1171">
        <v>63</v>
      </c>
      <c r="I1171">
        <v>7</v>
      </c>
      <c r="J1171">
        <v>0</v>
      </c>
      <c r="K1171" t="str">
        <f t="shared" si="54"/>
        <v>Feb-2026</v>
      </c>
      <c r="L1171" s="1">
        <f t="shared" ca="1" si="55"/>
        <v>8</v>
      </c>
      <c r="M1171" t="str">
        <f t="shared" si="56"/>
        <v>46+</v>
      </c>
    </row>
    <row r="1172" spans="1:13" x14ac:dyDescent="0.2">
      <c r="A1172" t="s">
        <v>2345</v>
      </c>
      <c r="B1172" t="s">
        <v>2346</v>
      </c>
      <c r="C1172">
        <v>33</v>
      </c>
      <c r="D1172" t="s">
        <v>16</v>
      </c>
      <c r="E1172" t="s">
        <v>21</v>
      </c>
      <c r="F1172" s="1">
        <v>45292</v>
      </c>
      <c r="G1172" s="1">
        <v>46068</v>
      </c>
      <c r="H1172">
        <v>19</v>
      </c>
      <c r="I1172">
        <v>7</v>
      </c>
      <c r="J1172">
        <v>1</v>
      </c>
      <c r="K1172" t="str">
        <f t="shared" si="54"/>
        <v>Jan-2024</v>
      </c>
      <c r="L1172" s="1">
        <f t="shared" ca="1" si="55"/>
        <v>90</v>
      </c>
      <c r="M1172" t="str">
        <f t="shared" si="56"/>
        <v>26-35</v>
      </c>
    </row>
    <row r="1173" spans="1:13" x14ac:dyDescent="0.2">
      <c r="A1173" t="s">
        <v>2347</v>
      </c>
      <c r="B1173" t="s">
        <v>2348</v>
      </c>
      <c r="C1173">
        <v>53</v>
      </c>
      <c r="D1173" t="s">
        <v>20</v>
      </c>
      <c r="E1173" t="s">
        <v>21</v>
      </c>
      <c r="F1173" s="1">
        <v>45385</v>
      </c>
      <c r="G1173" s="1">
        <v>46081</v>
      </c>
      <c r="H1173">
        <v>36</v>
      </c>
      <c r="I1173">
        <v>6</v>
      </c>
      <c r="J1173">
        <v>1</v>
      </c>
      <c r="K1173" t="str">
        <f t="shared" si="54"/>
        <v>Apr-2024</v>
      </c>
      <c r="L1173" s="1">
        <f t="shared" ca="1" si="55"/>
        <v>77</v>
      </c>
      <c r="M1173" t="str">
        <f t="shared" si="56"/>
        <v>46+</v>
      </c>
    </row>
    <row r="1174" spans="1:13" x14ac:dyDescent="0.2">
      <c r="A1174" t="s">
        <v>2349</v>
      </c>
      <c r="B1174" t="s">
        <v>2350</v>
      </c>
      <c r="C1174">
        <v>31</v>
      </c>
      <c r="D1174" t="s">
        <v>16</v>
      </c>
      <c r="E1174" t="s">
        <v>21</v>
      </c>
      <c r="F1174" s="1">
        <v>45177</v>
      </c>
      <c r="G1174" s="1">
        <v>46091</v>
      </c>
      <c r="H1174">
        <v>5</v>
      </c>
      <c r="I1174">
        <v>10</v>
      </c>
      <c r="J1174">
        <v>0</v>
      </c>
      <c r="K1174" t="str">
        <f t="shared" si="54"/>
        <v>Sep-2023</v>
      </c>
      <c r="L1174" s="1">
        <f t="shared" ca="1" si="55"/>
        <v>67</v>
      </c>
      <c r="M1174" t="str">
        <f t="shared" si="56"/>
        <v>26-35</v>
      </c>
    </row>
    <row r="1175" spans="1:13" x14ac:dyDescent="0.2">
      <c r="A1175" t="s">
        <v>2351</v>
      </c>
      <c r="B1175" t="s">
        <v>2352</v>
      </c>
      <c r="C1175">
        <v>18</v>
      </c>
      <c r="D1175" t="s">
        <v>20</v>
      </c>
      <c r="E1175" t="s">
        <v>21</v>
      </c>
      <c r="F1175" s="1">
        <v>45980</v>
      </c>
      <c r="G1175" s="1">
        <v>46050</v>
      </c>
      <c r="H1175">
        <v>6</v>
      </c>
      <c r="I1175">
        <v>3</v>
      </c>
      <c r="J1175">
        <v>1</v>
      </c>
      <c r="K1175" t="str">
        <f t="shared" si="54"/>
        <v>Nov-2025</v>
      </c>
      <c r="L1175" s="1">
        <f t="shared" ca="1" si="55"/>
        <v>108</v>
      </c>
      <c r="M1175" t="str">
        <f t="shared" si="56"/>
        <v>18-25</v>
      </c>
    </row>
    <row r="1176" spans="1:13" x14ac:dyDescent="0.2">
      <c r="A1176" t="s">
        <v>2353</v>
      </c>
      <c r="B1176" t="s">
        <v>2354</v>
      </c>
      <c r="C1176">
        <v>42</v>
      </c>
      <c r="D1176" t="s">
        <v>20</v>
      </c>
      <c r="E1176" t="s">
        <v>21</v>
      </c>
      <c r="F1176" s="1">
        <v>45907</v>
      </c>
      <c r="G1176" s="1">
        <v>46108</v>
      </c>
      <c r="H1176">
        <v>15</v>
      </c>
      <c r="I1176">
        <v>7</v>
      </c>
      <c r="J1176">
        <v>1</v>
      </c>
      <c r="K1176" t="str">
        <f t="shared" si="54"/>
        <v>Sep-2025</v>
      </c>
      <c r="L1176" s="1">
        <f t="shared" ca="1" si="55"/>
        <v>50</v>
      </c>
      <c r="M1176" t="str">
        <f t="shared" si="56"/>
        <v>36-45</v>
      </c>
    </row>
    <row r="1177" spans="1:13" x14ac:dyDescent="0.2">
      <c r="A1177" t="s">
        <v>2355</v>
      </c>
      <c r="B1177" t="s">
        <v>2356</v>
      </c>
      <c r="C1177">
        <v>35</v>
      </c>
      <c r="D1177" t="s">
        <v>12</v>
      </c>
      <c r="E1177" t="s">
        <v>21</v>
      </c>
      <c r="F1177" s="1">
        <v>45485</v>
      </c>
      <c r="G1177" s="1">
        <v>46132</v>
      </c>
      <c r="H1177">
        <v>50</v>
      </c>
      <c r="I1177">
        <v>3</v>
      </c>
      <c r="J1177">
        <v>0</v>
      </c>
      <c r="K1177" t="str">
        <f t="shared" si="54"/>
        <v>Jul-2024</v>
      </c>
      <c r="L1177" s="1">
        <f t="shared" ca="1" si="55"/>
        <v>26</v>
      </c>
      <c r="M1177" t="str">
        <f t="shared" si="56"/>
        <v>26-35</v>
      </c>
    </row>
    <row r="1178" spans="1:13" x14ac:dyDescent="0.2">
      <c r="A1178" t="s">
        <v>2357</v>
      </c>
      <c r="B1178" t="s">
        <v>2358</v>
      </c>
      <c r="C1178">
        <v>48</v>
      </c>
      <c r="D1178" t="s">
        <v>16</v>
      </c>
      <c r="E1178" t="s">
        <v>21</v>
      </c>
      <c r="F1178" s="1">
        <v>45738</v>
      </c>
      <c r="G1178" s="1">
        <v>46104</v>
      </c>
      <c r="H1178">
        <v>28</v>
      </c>
      <c r="I1178">
        <v>3</v>
      </c>
      <c r="J1178">
        <v>0</v>
      </c>
      <c r="K1178" t="str">
        <f t="shared" si="54"/>
        <v>Mar-2025</v>
      </c>
      <c r="L1178" s="1">
        <f t="shared" ca="1" si="55"/>
        <v>54</v>
      </c>
      <c r="M1178" t="str">
        <f t="shared" si="56"/>
        <v>46+</v>
      </c>
    </row>
    <row r="1179" spans="1:13" x14ac:dyDescent="0.2">
      <c r="A1179" t="s">
        <v>2359</v>
      </c>
      <c r="B1179" t="s">
        <v>2360</v>
      </c>
      <c r="C1179">
        <v>41</v>
      </c>
      <c r="D1179" t="s">
        <v>12</v>
      </c>
      <c r="E1179" t="s">
        <v>17</v>
      </c>
      <c r="F1179" s="1">
        <v>45676</v>
      </c>
      <c r="G1179" s="1">
        <v>46097</v>
      </c>
      <c r="H1179">
        <v>61</v>
      </c>
      <c r="I1179">
        <v>6</v>
      </c>
      <c r="J1179">
        <v>0</v>
      </c>
      <c r="K1179" t="str">
        <f t="shared" si="54"/>
        <v>Jan-2025</v>
      </c>
      <c r="L1179" s="1">
        <f t="shared" ca="1" si="55"/>
        <v>61</v>
      </c>
      <c r="M1179" t="str">
        <f t="shared" si="56"/>
        <v>36-45</v>
      </c>
    </row>
    <row r="1180" spans="1:13" x14ac:dyDescent="0.2">
      <c r="A1180" t="s">
        <v>2361</v>
      </c>
      <c r="B1180" t="s">
        <v>2362</v>
      </c>
      <c r="C1180">
        <v>22</v>
      </c>
      <c r="D1180" t="s">
        <v>12</v>
      </c>
      <c r="E1180" t="s">
        <v>21</v>
      </c>
      <c r="F1180" s="1">
        <v>45397</v>
      </c>
      <c r="G1180" s="1">
        <v>46098</v>
      </c>
      <c r="H1180">
        <v>27</v>
      </c>
      <c r="I1180">
        <v>1</v>
      </c>
      <c r="J1180">
        <v>1</v>
      </c>
      <c r="K1180" t="str">
        <f t="shared" si="54"/>
        <v>Apr-2024</v>
      </c>
      <c r="L1180" s="1">
        <f t="shared" ca="1" si="55"/>
        <v>60</v>
      </c>
      <c r="M1180" t="str">
        <f t="shared" si="56"/>
        <v>18-25</v>
      </c>
    </row>
    <row r="1181" spans="1:13" x14ac:dyDescent="0.2">
      <c r="A1181" t="s">
        <v>2363</v>
      </c>
      <c r="B1181" t="s">
        <v>2364</v>
      </c>
      <c r="C1181">
        <v>32</v>
      </c>
      <c r="D1181" t="s">
        <v>12</v>
      </c>
      <c r="E1181" t="s">
        <v>21</v>
      </c>
      <c r="F1181" s="1">
        <v>45954</v>
      </c>
      <c r="G1181" s="1">
        <v>46056</v>
      </c>
      <c r="H1181">
        <v>15</v>
      </c>
      <c r="I1181">
        <v>8</v>
      </c>
      <c r="J1181">
        <v>0</v>
      </c>
      <c r="K1181" t="str">
        <f t="shared" si="54"/>
        <v>Oct-2025</v>
      </c>
      <c r="L1181" s="1">
        <f t="shared" ca="1" si="55"/>
        <v>102</v>
      </c>
      <c r="M1181" t="str">
        <f t="shared" si="56"/>
        <v>26-35</v>
      </c>
    </row>
    <row r="1182" spans="1:13" x14ac:dyDescent="0.2">
      <c r="A1182" t="s">
        <v>2365</v>
      </c>
      <c r="B1182" t="s">
        <v>2366</v>
      </c>
      <c r="C1182">
        <v>53</v>
      </c>
      <c r="D1182" t="s">
        <v>12</v>
      </c>
      <c r="E1182" t="s">
        <v>21</v>
      </c>
      <c r="F1182" s="1">
        <v>45474</v>
      </c>
      <c r="G1182" s="1">
        <v>46122</v>
      </c>
      <c r="H1182">
        <v>27</v>
      </c>
      <c r="I1182">
        <v>1</v>
      </c>
      <c r="J1182">
        <v>1</v>
      </c>
      <c r="K1182" t="str">
        <f t="shared" si="54"/>
        <v>Jul-2024</v>
      </c>
      <c r="L1182" s="1">
        <f t="shared" ca="1" si="55"/>
        <v>36</v>
      </c>
      <c r="M1182" t="str">
        <f t="shared" si="56"/>
        <v>46+</v>
      </c>
    </row>
    <row r="1183" spans="1:13" x14ac:dyDescent="0.2">
      <c r="A1183" t="s">
        <v>2367</v>
      </c>
      <c r="B1183" t="s">
        <v>2368</v>
      </c>
      <c r="C1183">
        <v>47</v>
      </c>
      <c r="D1183" t="s">
        <v>20</v>
      </c>
      <c r="E1183" t="s">
        <v>21</v>
      </c>
      <c r="F1183" s="1">
        <v>45570</v>
      </c>
      <c r="G1183" s="1">
        <v>46104</v>
      </c>
      <c r="H1183">
        <v>20</v>
      </c>
      <c r="I1183">
        <v>3</v>
      </c>
      <c r="J1183">
        <v>0</v>
      </c>
      <c r="K1183" t="str">
        <f t="shared" si="54"/>
        <v>Oct-2024</v>
      </c>
      <c r="L1183" s="1">
        <f t="shared" ca="1" si="55"/>
        <v>54</v>
      </c>
      <c r="M1183" t="str">
        <f t="shared" si="56"/>
        <v>46+</v>
      </c>
    </row>
    <row r="1184" spans="1:13" x14ac:dyDescent="0.2">
      <c r="A1184" t="s">
        <v>2369</v>
      </c>
      <c r="B1184" t="s">
        <v>2370</v>
      </c>
      <c r="C1184">
        <v>30</v>
      </c>
      <c r="D1184" t="s">
        <v>12</v>
      </c>
      <c r="E1184" t="s">
        <v>17</v>
      </c>
      <c r="F1184" s="1">
        <v>45771</v>
      </c>
      <c r="G1184" s="1">
        <v>46146</v>
      </c>
      <c r="H1184">
        <v>20</v>
      </c>
      <c r="I1184">
        <v>5</v>
      </c>
      <c r="J1184">
        <v>1</v>
      </c>
      <c r="K1184" t="str">
        <f t="shared" si="54"/>
        <v>Apr-2025</v>
      </c>
      <c r="L1184" s="1">
        <f t="shared" ca="1" si="55"/>
        <v>12</v>
      </c>
      <c r="M1184" t="str">
        <f t="shared" si="56"/>
        <v>26-35</v>
      </c>
    </row>
    <row r="1185" spans="1:13" x14ac:dyDescent="0.2">
      <c r="A1185" t="s">
        <v>2371</v>
      </c>
      <c r="B1185" t="s">
        <v>2372</v>
      </c>
      <c r="C1185">
        <v>39</v>
      </c>
      <c r="D1185" t="s">
        <v>20</v>
      </c>
      <c r="E1185" t="s">
        <v>17</v>
      </c>
      <c r="F1185" s="1">
        <v>45805</v>
      </c>
      <c r="G1185" s="1">
        <v>46117</v>
      </c>
      <c r="H1185">
        <v>24</v>
      </c>
      <c r="I1185">
        <v>10</v>
      </c>
      <c r="J1185">
        <v>1</v>
      </c>
      <c r="K1185" t="str">
        <f t="shared" si="54"/>
        <v>May-2025</v>
      </c>
      <c r="L1185" s="1">
        <f t="shared" ca="1" si="55"/>
        <v>41</v>
      </c>
      <c r="M1185" t="str">
        <f t="shared" si="56"/>
        <v>36-45</v>
      </c>
    </row>
    <row r="1186" spans="1:13" x14ac:dyDescent="0.2">
      <c r="A1186" t="s">
        <v>2373</v>
      </c>
      <c r="B1186" t="s">
        <v>2374</v>
      </c>
      <c r="C1186">
        <v>42</v>
      </c>
      <c r="D1186" t="s">
        <v>20</v>
      </c>
      <c r="E1186" t="s">
        <v>17</v>
      </c>
      <c r="F1186" s="1">
        <v>45485</v>
      </c>
      <c r="G1186" s="1">
        <v>46125</v>
      </c>
      <c r="H1186">
        <v>26</v>
      </c>
      <c r="I1186">
        <v>9</v>
      </c>
      <c r="J1186">
        <v>0</v>
      </c>
      <c r="K1186" t="str">
        <f t="shared" si="54"/>
        <v>Jul-2024</v>
      </c>
      <c r="L1186" s="1">
        <f t="shared" ca="1" si="55"/>
        <v>33</v>
      </c>
      <c r="M1186" t="str">
        <f t="shared" si="56"/>
        <v>36-45</v>
      </c>
    </row>
    <row r="1187" spans="1:13" x14ac:dyDescent="0.2">
      <c r="A1187" t="s">
        <v>2375</v>
      </c>
      <c r="B1187" t="s">
        <v>2376</v>
      </c>
      <c r="C1187">
        <v>60</v>
      </c>
      <c r="D1187" t="s">
        <v>12</v>
      </c>
      <c r="E1187" t="s">
        <v>21</v>
      </c>
      <c r="F1187" s="1">
        <v>45781</v>
      </c>
      <c r="G1187" s="1">
        <v>46060</v>
      </c>
      <c r="H1187">
        <v>64</v>
      </c>
      <c r="I1187">
        <v>6</v>
      </c>
      <c r="J1187">
        <v>1</v>
      </c>
      <c r="K1187" t="str">
        <f t="shared" si="54"/>
        <v>May-2025</v>
      </c>
      <c r="L1187" s="1">
        <f t="shared" ca="1" si="55"/>
        <v>98</v>
      </c>
      <c r="M1187" t="str">
        <f t="shared" si="56"/>
        <v>46+</v>
      </c>
    </row>
    <row r="1188" spans="1:13" x14ac:dyDescent="0.2">
      <c r="A1188" t="s">
        <v>2377</v>
      </c>
      <c r="B1188" t="s">
        <v>2378</v>
      </c>
      <c r="C1188">
        <v>21</v>
      </c>
      <c r="D1188" t="s">
        <v>16</v>
      </c>
      <c r="E1188" t="s">
        <v>13</v>
      </c>
      <c r="F1188" s="1">
        <v>46088</v>
      </c>
      <c r="G1188" s="1">
        <v>46058</v>
      </c>
      <c r="H1188">
        <v>42</v>
      </c>
      <c r="I1188">
        <v>8</v>
      </c>
      <c r="J1188">
        <v>1</v>
      </c>
      <c r="K1188" t="str">
        <f t="shared" si="54"/>
        <v>Mar-2026</v>
      </c>
      <c r="L1188" s="1">
        <f t="shared" ca="1" si="55"/>
        <v>100</v>
      </c>
      <c r="M1188" t="str">
        <f t="shared" si="56"/>
        <v>18-25</v>
      </c>
    </row>
    <row r="1189" spans="1:13" x14ac:dyDescent="0.2">
      <c r="A1189" t="s">
        <v>2379</v>
      </c>
      <c r="B1189" t="s">
        <v>2380</v>
      </c>
      <c r="C1189">
        <v>55</v>
      </c>
      <c r="D1189" t="s">
        <v>20</v>
      </c>
      <c r="E1189" t="s">
        <v>21</v>
      </c>
      <c r="F1189" s="1">
        <v>45295</v>
      </c>
      <c r="G1189" s="1">
        <v>46030</v>
      </c>
      <c r="H1189">
        <v>11</v>
      </c>
      <c r="I1189">
        <v>5</v>
      </c>
      <c r="J1189">
        <v>0</v>
      </c>
      <c r="K1189" t="str">
        <f t="shared" si="54"/>
        <v>Jan-2024</v>
      </c>
      <c r="L1189" s="1">
        <f t="shared" ca="1" si="55"/>
        <v>128</v>
      </c>
      <c r="M1189" t="str">
        <f t="shared" si="56"/>
        <v>46+</v>
      </c>
    </row>
    <row r="1190" spans="1:13" x14ac:dyDescent="0.2">
      <c r="A1190" t="s">
        <v>2381</v>
      </c>
      <c r="B1190" t="s">
        <v>2382</v>
      </c>
      <c r="C1190">
        <v>52</v>
      </c>
      <c r="D1190" t="s">
        <v>12</v>
      </c>
      <c r="E1190" t="s">
        <v>21</v>
      </c>
      <c r="F1190" s="1">
        <v>45379</v>
      </c>
      <c r="G1190" s="1">
        <v>46148</v>
      </c>
      <c r="H1190">
        <v>62</v>
      </c>
      <c r="I1190">
        <v>4</v>
      </c>
      <c r="J1190">
        <v>1</v>
      </c>
      <c r="K1190" t="str">
        <f t="shared" si="54"/>
        <v>Mar-2024</v>
      </c>
      <c r="L1190" s="1">
        <f t="shared" ca="1" si="55"/>
        <v>10</v>
      </c>
      <c r="M1190" t="str">
        <f t="shared" si="56"/>
        <v>46+</v>
      </c>
    </row>
    <row r="1191" spans="1:13" x14ac:dyDescent="0.2">
      <c r="A1191" t="s">
        <v>2383</v>
      </c>
      <c r="B1191" t="s">
        <v>2384</v>
      </c>
      <c r="C1191">
        <v>28</v>
      </c>
      <c r="D1191" t="s">
        <v>16</v>
      </c>
      <c r="E1191" t="s">
        <v>21</v>
      </c>
      <c r="F1191" s="1">
        <v>45712</v>
      </c>
      <c r="G1191" s="1">
        <v>46107</v>
      </c>
      <c r="H1191">
        <v>78</v>
      </c>
      <c r="I1191">
        <v>2</v>
      </c>
      <c r="J1191">
        <v>0</v>
      </c>
      <c r="K1191" t="str">
        <f t="shared" si="54"/>
        <v>Feb-2025</v>
      </c>
      <c r="L1191" s="1">
        <f t="shared" ca="1" si="55"/>
        <v>51</v>
      </c>
      <c r="M1191" t="str">
        <f t="shared" si="56"/>
        <v>26-35</v>
      </c>
    </row>
    <row r="1192" spans="1:13" x14ac:dyDescent="0.2">
      <c r="A1192" t="s">
        <v>2385</v>
      </c>
      <c r="B1192" t="s">
        <v>2386</v>
      </c>
      <c r="C1192">
        <v>38</v>
      </c>
      <c r="D1192" t="s">
        <v>12</v>
      </c>
      <c r="E1192" t="s">
        <v>13</v>
      </c>
      <c r="F1192" s="1">
        <v>45774</v>
      </c>
      <c r="G1192" s="1">
        <v>46045</v>
      </c>
      <c r="H1192">
        <v>68</v>
      </c>
      <c r="I1192">
        <v>9</v>
      </c>
      <c r="J1192">
        <v>0</v>
      </c>
      <c r="K1192" t="str">
        <f t="shared" si="54"/>
        <v>Apr-2025</v>
      </c>
      <c r="L1192" s="1">
        <f t="shared" ca="1" si="55"/>
        <v>113</v>
      </c>
      <c r="M1192" t="str">
        <f t="shared" si="56"/>
        <v>36-45</v>
      </c>
    </row>
    <row r="1193" spans="1:13" x14ac:dyDescent="0.2">
      <c r="A1193" t="s">
        <v>2387</v>
      </c>
      <c r="B1193" t="s">
        <v>2388</v>
      </c>
      <c r="C1193">
        <v>40</v>
      </c>
      <c r="D1193" t="s">
        <v>12</v>
      </c>
      <c r="E1193" t="s">
        <v>21</v>
      </c>
      <c r="F1193" s="1">
        <v>45967</v>
      </c>
      <c r="G1193" s="1">
        <v>46035</v>
      </c>
      <c r="H1193">
        <v>74</v>
      </c>
      <c r="I1193">
        <v>8</v>
      </c>
      <c r="J1193">
        <v>1</v>
      </c>
      <c r="K1193" t="str">
        <f t="shared" si="54"/>
        <v>Nov-2025</v>
      </c>
      <c r="L1193" s="1">
        <f t="shared" ca="1" si="55"/>
        <v>123</v>
      </c>
      <c r="M1193" t="str">
        <f t="shared" si="56"/>
        <v>36-45</v>
      </c>
    </row>
    <row r="1194" spans="1:13" x14ac:dyDescent="0.2">
      <c r="A1194" t="s">
        <v>2389</v>
      </c>
      <c r="B1194" t="s">
        <v>2390</v>
      </c>
      <c r="C1194">
        <v>56</v>
      </c>
      <c r="D1194" t="s">
        <v>16</v>
      </c>
      <c r="E1194" t="s">
        <v>21</v>
      </c>
      <c r="F1194" s="1">
        <v>45766</v>
      </c>
      <c r="G1194" s="1">
        <v>46042</v>
      </c>
      <c r="H1194">
        <v>35</v>
      </c>
      <c r="I1194">
        <v>9</v>
      </c>
      <c r="J1194">
        <v>0</v>
      </c>
      <c r="K1194" t="str">
        <f t="shared" si="54"/>
        <v>Apr-2025</v>
      </c>
      <c r="L1194" s="1">
        <f t="shared" ca="1" si="55"/>
        <v>116</v>
      </c>
      <c r="M1194" t="str">
        <f t="shared" si="56"/>
        <v>46+</v>
      </c>
    </row>
    <row r="1195" spans="1:13" x14ac:dyDescent="0.2">
      <c r="A1195" t="s">
        <v>2391</v>
      </c>
      <c r="B1195" t="s">
        <v>2392</v>
      </c>
      <c r="C1195">
        <v>45</v>
      </c>
      <c r="D1195" t="s">
        <v>16</v>
      </c>
      <c r="E1195" t="s">
        <v>21</v>
      </c>
      <c r="F1195" s="1">
        <v>45323</v>
      </c>
      <c r="G1195" s="1">
        <v>46126</v>
      </c>
      <c r="H1195">
        <v>17</v>
      </c>
      <c r="I1195">
        <v>1</v>
      </c>
      <c r="J1195">
        <v>1</v>
      </c>
      <c r="K1195" t="str">
        <f t="shared" si="54"/>
        <v>Feb-2024</v>
      </c>
      <c r="L1195" s="1">
        <f t="shared" ca="1" si="55"/>
        <v>32</v>
      </c>
      <c r="M1195" t="str">
        <f t="shared" si="56"/>
        <v>36-45</v>
      </c>
    </row>
    <row r="1196" spans="1:13" x14ac:dyDescent="0.2">
      <c r="A1196" t="s">
        <v>2393</v>
      </c>
      <c r="B1196" t="s">
        <v>2394</v>
      </c>
      <c r="C1196">
        <v>20</v>
      </c>
      <c r="D1196" t="s">
        <v>16</v>
      </c>
      <c r="E1196" t="s">
        <v>17</v>
      </c>
      <c r="F1196" s="1">
        <v>45467</v>
      </c>
      <c r="G1196" s="1">
        <v>46033</v>
      </c>
      <c r="H1196">
        <v>43</v>
      </c>
      <c r="I1196">
        <v>8</v>
      </c>
      <c r="J1196">
        <v>1</v>
      </c>
      <c r="K1196" t="str">
        <f t="shared" si="54"/>
        <v>Jun-2024</v>
      </c>
      <c r="L1196" s="1">
        <f t="shared" ca="1" si="55"/>
        <v>125</v>
      </c>
      <c r="M1196" t="str">
        <f t="shared" si="56"/>
        <v>18-25</v>
      </c>
    </row>
    <row r="1197" spans="1:13" x14ac:dyDescent="0.2">
      <c r="A1197" t="s">
        <v>2395</v>
      </c>
      <c r="B1197" t="s">
        <v>2396</v>
      </c>
      <c r="C1197">
        <v>53</v>
      </c>
      <c r="D1197" t="s">
        <v>20</v>
      </c>
      <c r="E1197" t="s">
        <v>21</v>
      </c>
      <c r="F1197" s="1">
        <v>45769</v>
      </c>
      <c r="G1197" s="1">
        <v>46060</v>
      </c>
      <c r="H1197">
        <v>15</v>
      </c>
      <c r="I1197">
        <v>6</v>
      </c>
      <c r="J1197">
        <v>1</v>
      </c>
      <c r="K1197" t="str">
        <f t="shared" si="54"/>
        <v>Apr-2025</v>
      </c>
      <c r="L1197" s="1">
        <f t="shared" ca="1" si="55"/>
        <v>98</v>
      </c>
      <c r="M1197" t="str">
        <f t="shared" si="56"/>
        <v>46+</v>
      </c>
    </row>
    <row r="1198" spans="1:13" x14ac:dyDescent="0.2">
      <c r="A1198" t="s">
        <v>2397</v>
      </c>
      <c r="B1198" t="s">
        <v>2398</v>
      </c>
      <c r="C1198">
        <v>30</v>
      </c>
      <c r="D1198" t="s">
        <v>16</v>
      </c>
      <c r="E1198" t="s">
        <v>17</v>
      </c>
      <c r="F1198" s="1">
        <v>45831</v>
      </c>
      <c r="G1198" s="1">
        <v>46091</v>
      </c>
      <c r="H1198">
        <v>69</v>
      </c>
      <c r="I1198">
        <v>4</v>
      </c>
      <c r="J1198">
        <v>0</v>
      </c>
      <c r="K1198" t="str">
        <f t="shared" si="54"/>
        <v>Jun-2025</v>
      </c>
      <c r="L1198" s="1">
        <f t="shared" ca="1" si="55"/>
        <v>67</v>
      </c>
      <c r="M1198" t="str">
        <f t="shared" si="56"/>
        <v>26-35</v>
      </c>
    </row>
    <row r="1199" spans="1:13" x14ac:dyDescent="0.2">
      <c r="A1199" t="s">
        <v>2399</v>
      </c>
      <c r="B1199" t="s">
        <v>2400</v>
      </c>
      <c r="C1199">
        <v>53</v>
      </c>
      <c r="D1199" t="s">
        <v>20</v>
      </c>
      <c r="E1199" t="s">
        <v>21</v>
      </c>
      <c r="F1199" s="1">
        <v>45870</v>
      </c>
      <c r="G1199" s="1">
        <v>46150</v>
      </c>
      <c r="H1199">
        <v>13</v>
      </c>
      <c r="I1199">
        <v>8</v>
      </c>
      <c r="J1199">
        <v>0</v>
      </c>
      <c r="K1199" t="str">
        <f t="shared" si="54"/>
        <v>Aug-2025</v>
      </c>
      <c r="L1199" s="1">
        <f t="shared" ca="1" si="55"/>
        <v>8</v>
      </c>
      <c r="M1199" t="str">
        <f t="shared" si="56"/>
        <v>46+</v>
      </c>
    </row>
    <row r="1200" spans="1:13" x14ac:dyDescent="0.2">
      <c r="A1200" t="s">
        <v>2401</v>
      </c>
      <c r="B1200" t="s">
        <v>2402</v>
      </c>
      <c r="C1200">
        <v>34</v>
      </c>
      <c r="D1200" t="s">
        <v>12</v>
      </c>
      <c r="E1200" t="s">
        <v>21</v>
      </c>
      <c r="F1200" s="1">
        <v>45815</v>
      </c>
      <c r="G1200" s="1">
        <v>46145</v>
      </c>
      <c r="H1200">
        <v>76</v>
      </c>
      <c r="I1200">
        <v>9</v>
      </c>
      <c r="J1200">
        <v>0</v>
      </c>
      <c r="K1200" t="str">
        <f t="shared" si="54"/>
        <v>Jun-2025</v>
      </c>
      <c r="L1200" s="1">
        <f t="shared" ca="1" si="55"/>
        <v>13</v>
      </c>
      <c r="M1200" t="str">
        <f t="shared" si="56"/>
        <v>26-35</v>
      </c>
    </row>
    <row r="1201" spans="1:13" x14ac:dyDescent="0.2">
      <c r="A1201" t="s">
        <v>2403</v>
      </c>
      <c r="B1201" t="s">
        <v>2404</v>
      </c>
      <c r="C1201">
        <v>29</v>
      </c>
      <c r="D1201" t="s">
        <v>16</v>
      </c>
      <c r="E1201" t="s">
        <v>13</v>
      </c>
      <c r="F1201" s="1">
        <v>46098</v>
      </c>
      <c r="G1201" s="1">
        <v>46037</v>
      </c>
      <c r="H1201">
        <v>3</v>
      </c>
      <c r="I1201">
        <v>5</v>
      </c>
      <c r="J1201">
        <v>1</v>
      </c>
      <c r="K1201" t="str">
        <f t="shared" si="54"/>
        <v>Mar-2026</v>
      </c>
      <c r="L1201" s="1">
        <f t="shared" ca="1" si="55"/>
        <v>121</v>
      </c>
      <c r="M1201" t="str">
        <f t="shared" si="56"/>
        <v>26-35</v>
      </c>
    </row>
    <row r="1202" spans="1:13" x14ac:dyDescent="0.2">
      <c r="A1202" t="s">
        <v>2405</v>
      </c>
      <c r="B1202" t="s">
        <v>2406</v>
      </c>
      <c r="C1202">
        <v>39</v>
      </c>
      <c r="D1202" t="s">
        <v>20</v>
      </c>
      <c r="E1202" t="s">
        <v>17</v>
      </c>
      <c r="F1202" s="1">
        <v>45382</v>
      </c>
      <c r="G1202" s="1">
        <v>46145</v>
      </c>
      <c r="H1202">
        <v>68</v>
      </c>
      <c r="I1202">
        <v>4</v>
      </c>
      <c r="J1202">
        <v>1</v>
      </c>
      <c r="K1202" t="str">
        <f t="shared" si="54"/>
        <v>Mar-2024</v>
      </c>
      <c r="L1202" s="1">
        <f t="shared" ca="1" si="55"/>
        <v>13</v>
      </c>
      <c r="M1202" t="str">
        <f t="shared" si="56"/>
        <v>36-45</v>
      </c>
    </row>
    <row r="1203" spans="1:13" x14ac:dyDescent="0.2">
      <c r="A1203" t="s">
        <v>2407</v>
      </c>
      <c r="B1203" t="s">
        <v>2408</v>
      </c>
      <c r="C1203">
        <v>26</v>
      </c>
      <c r="D1203" t="s">
        <v>12</v>
      </c>
      <c r="E1203" t="s">
        <v>21</v>
      </c>
      <c r="F1203" s="1">
        <v>45406</v>
      </c>
      <c r="G1203" s="1">
        <v>46076</v>
      </c>
      <c r="H1203">
        <v>40</v>
      </c>
      <c r="I1203">
        <v>4</v>
      </c>
      <c r="J1203">
        <v>1</v>
      </c>
      <c r="K1203" t="str">
        <f t="shared" si="54"/>
        <v>Apr-2024</v>
      </c>
      <c r="L1203" s="1">
        <f t="shared" ca="1" si="55"/>
        <v>82</v>
      </c>
      <c r="M1203" t="str">
        <f t="shared" si="56"/>
        <v>26-35</v>
      </c>
    </row>
    <row r="1204" spans="1:13" x14ac:dyDescent="0.2">
      <c r="A1204" t="s">
        <v>2409</v>
      </c>
      <c r="B1204" t="s">
        <v>2410</v>
      </c>
      <c r="C1204">
        <v>19</v>
      </c>
      <c r="D1204" t="s">
        <v>12</v>
      </c>
      <c r="E1204" t="s">
        <v>21</v>
      </c>
      <c r="F1204" s="1">
        <v>45505</v>
      </c>
      <c r="G1204" s="1">
        <v>46073</v>
      </c>
      <c r="H1204">
        <v>52</v>
      </c>
      <c r="I1204">
        <v>7</v>
      </c>
      <c r="J1204">
        <v>0</v>
      </c>
      <c r="K1204" t="str">
        <f t="shared" si="54"/>
        <v>Aug-2024</v>
      </c>
      <c r="L1204" s="1">
        <f t="shared" ca="1" si="55"/>
        <v>85</v>
      </c>
      <c r="M1204" t="str">
        <f t="shared" si="56"/>
        <v>18-25</v>
      </c>
    </row>
    <row r="1205" spans="1:13" x14ac:dyDescent="0.2">
      <c r="A1205" t="s">
        <v>2411</v>
      </c>
      <c r="B1205" t="s">
        <v>2412</v>
      </c>
      <c r="C1205">
        <v>38</v>
      </c>
      <c r="D1205" t="s">
        <v>16</v>
      </c>
      <c r="E1205" t="s">
        <v>21</v>
      </c>
      <c r="F1205" s="1">
        <v>45495</v>
      </c>
      <c r="G1205" s="1">
        <v>46066</v>
      </c>
      <c r="H1205">
        <v>22</v>
      </c>
      <c r="I1205">
        <v>7</v>
      </c>
      <c r="J1205">
        <v>1</v>
      </c>
      <c r="K1205" t="str">
        <f t="shared" si="54"/>
        <v>Jul-2024</v>
      </c>
      <c r="L1205" s="1">
        <f t="shared" ca="1" si="55"/>
        <v>92</v>
      </c>
      <c r="M1205" t="str">
        <f t="shared" si="56"/>
        <v>36-45</v>
      </c>
    </row>
    <row r="1206" spans="1:13" x14ac:dyDescent="0.2">
      <c r="A1206" t="s">
        <v>2413</v>
      </c>
      <c r="B1206" t="s">
        <v>2414</v>
      </c>
      <c r="C1206">
        <v>55</v>
      </c>
      <c r="D1206" t="s">
        <v>12</v>
      </c>
      <c r="E1206" t="s">
        <v>21</v>
      </c>
      <c r="F1206" s="1">
        <v>45357</v>
      </c>
      <c r="G1206" s="1">
        <v>46069</v>
      </c>
      <c r="H1206">
        <v>26</v>
      </c>
      <c r="I1206">
        <v>6</v>
      </c>
      <c r="J1206">
        <v>0</v>
      </c>
      <c r="K1206" t="str">
        <f t="shared" si="54"/>
        <v>Mar-2024</v>
      </c>
      <c r="L1206" s="1">
        <f t="shared" ca="1" si="55"/>
        <v>89</v>
      </c>
      <c r="M1206" t="str">
        <f t="shared" si="56"/>
        <v>46+</v>
      </c>
    </row>
    <row r="1207" spans="1:13" x14ac:dyDescent="0.2">
      <c r="A1207" t="s">
        <v>2415</v>
      </c>
      <c r="B1207" t="s">
        <v>2416</v>
      </c>
      <c r="C1207">
        <v>48</v>
      </c>
      <c r="D1207" t="s">
        <v>16</v>
      </c>
      <c r="E1207" t="s">
        <v>21</v>
      </c>
      <c r="F1207" s="1">
        <v>45790</v>
      </c>
      <c r="G1207" s="1">
        <v>46097</v>
      </c>
      <c r="H1207">
        <v>64</v>
      </c>
      <c r="I1207">
        <v>2</v>
      </c>
      <c r="J1207">
        <v>1</v>
      </c>
      <c r="K1207" t="str">
        <f t="shared" si="54"/>
        <v>May-2025</v>
      </c>
      <c r="L1207" s="1">
        <f t="shared" ca="1" si="55"/>
        <v>61</v>
      </c>
      <c r="M1207" t="str">
        <f t="shared" si="56"/>
        <v>46+</v>
      </c>
    </row>
    <row r="1208" spans="1:13" x14ac:dyDescent="0.2">
      <c r="A1208" t="s">
        <v>2417</v>
      </c>
      <c r="B1208" t="s">
        <v>2418</v>
      </c>
      <c r="C1208">
        <v>26</v>
      </c>
      <c r="D1208" t="s">
        <v>16</v>
      </c>
      <c r="E1208" t="s">
        <v>17</v>
      </c>
      <c r="F1208" s="1">
        <v>45906</v>
      </c>
      <c r="G1208" s="1">
        <v>46150</v>
      </c>
      <c r="H1208">
        <v>52</v>
      </c>
      <c r="I1208">
        <v>1</v>
      </c>
      <c r="J1208">
        <v>0</v>
      </c>
      <c r="K1208" t="str">
        <f t="shared" si="54"/>
        <v>Sep-2025</v>
      </c>
      <c r="L1208" s="1">
        <f t="shared" ca="1" si="55"/>
        <v>8</v>
      </c>
      <c r="M1208" t="str">
        <f t="shared" si="56"/>
        <v>26-35</v>
      </c>
    </row>
    <row r="1209" spans="1:13" x14ac:dyDescent="0.2">
      <c r="A1209" t="s">
        <v>2419</v>
      </c>
      <c r="B1209" t="s">
        <v>2420</v>
      </c>
      <c r="C1209">
        <v>60</v>
      </c>
      <c r="D1209" t="s">
        <v>20</v>
      </c>
      <c r="E1209" t="s">
        <v>21</v>
      </c>
      <c r="F1209" s="1">
        <v>46075</v>
      </c>
      <c r="G1209" s="1">
        <v>46045</v>
      </c>
      <c r="H1209">
        <v>76</v>
      </c>
      <c r="I1209">
        <v>4</v>
      </c>
      <c r="J1209">
        <v>1</v>
      </c>
      <c r="K1209" t="str">
        <f t="shared" si="54"/>
        <v>Feb-2026</v>
      </c>
      <c r="L1209" s="1">
        <f t="shared" ca="1" si="55"/>
        <v>113</v>
      </c>
      <c r="M1209" t="str">
        <f t="shared" si="56"/>
        <v>46+</v>
      </c>
    </row>
    <row r="1210" spans="1:13" x14ac:dyDescent="0.2">
      <c r="A1210" t="s">
        <v>2421</v>
      </c>
      <c r="B1210" t="s">
        <v>2422</v>
      </c>
      <c r="C1210">
        <v>31</v>
      </c>
      <c r="D1210" t="s">
        <v>16</v>
      </c>
      <c r="E1210" t="s">
        <v>21</v>
      </c>
      <c r="F1210" s="1">
        <v>45729</v>
      </c>
      <c r="G1210" s="1">
        <v>46039</v>
      </c>
      <c r="H1210">
        <v>50</v>
      </c>
      <c r="I1210">
        <v>6</v>
      </c>
      <c r="J1210">
        <v>1</v>
      </c>
      <c r="K1210" t="str">
        <f t="shared" si="54"/>
        <v>Mar-2025</v>
      </c>
      <c r="L1210" s="1">
        <f t="shared" ca="1" si="55"/>
        <v>119</v>
      </c>
      <c r="M1210" t="str">
        <f t="shared" si="56"/>
        <v>26-35</v>
      </c>
    </row>
    <row r="1211" spans="1:13" x14ac:dyDescent="0.2">
      <c r="A1211" t="s">
        <v>2423</v>
      </c>
      <c r="B1211" t="s">
        <v>2424</v>
      </c>
      <c r="C1211">
        <v>37</v>
      </c>
      <c r="D1211" t="s">
        <v>12</v>
      </c>
      <c r="E1211" t="s">
        <v>21</v>
      </c>
      <c r="F1211" s="1">
        <v>45771</v>
      </c>
      <c r="G1211" s="1">
        <v>46101</v>
      </c>
      <c r="H1211">
        <v>10</v>
      </c>
      <c r="I1211">
        <v>2</v>
      </c>
      <c r="J1211">
        <v>1</v>
      </c>
      <c r="K1211" t="str">
        <f t="shared" si="54"/>
        <v>Apr-2025</v>
      </c>
      <c r="L1211" s="1">
        <f t="shared" ca="1" si="55"/>
        <v>57</v>
      </c>
      <c r="M1211" t="str">
        <f t="shared" si="56"/>
        <v>36-45</v>
      </c>
    </row>
    <row r="1212" spans="1:13" x14ac:dyDescent="0.2">
      <c r="A1212" t="s">
        <v>2425</v>
      </c>
      <c r="B1212" t="s">
        <v>2426</v>
      </c>
      <c r="C1212">
        <v>21</v>
      </c>
      <c r="D1212" t="s">
        <v>12</v>
      </c>
      <c r="E1212" t="s">
        <v>21</v>
      </c>
      <c r="F1212" s="1">
        <v>45551</v>
      </c>
      <c r="G1212" s="1">
        <v>46080</v>
      </c>
      <c r="H1212">
        <v>37</v>
      </c>
      <c r="I1212">
        <v>5</v>
      </c>
      <c r="J1212">
        <v>1</v>
      </c>
      <c r="K1212" t="str">
        <f t="shared" si="54"/>
        <v>Sep-2024</v>
      </c>
      <c r="L1212" s="1">
        <f t="shared" ca="1" si="55"/>
        <v>78</v>
      </c>
      <c r="M1212" t="str">
        <f t="shared" si="56"/>
        <v>18-25</v>
      </c>
    </row>
    <row r="1213" spans="1:13" x14ac:dyDescent="0.2">
      <c r="A1213" t="s">
        <v>2427</v>
      </c>
      <c r="B1213" t="s">
        <v>2428</v>
      </c>
      <c r="C1213">
        <v>29</v>
      </c>
      <c r="D1213" t="s">
        <v>12</v>
      </c>
      <c r="E1213" t="s">
        <v>21</v>
      </c>
      <c r="F1213" s="1">
        <v>45780</v>
      </c>
      <c r="G1213" s="1">
        <v>46114</v>
      </c>
      <c r="H1213">
        <v>47</v>
      </c>
      <c r="I1213">
        <v>2</v>
      </c>
      <c r="J1213">
        <v>0</v>
      </c>
      <c r="K1213" t="str">
        <f t="shared" si="54"/>
        <v>May-2025</v>
      </c>
      <c r="L1213" s="1">
        <f t="shared" ca="1" si="55"/>
        <v>44</v>
      </c>
      <c r="M1213" t="str">
        <f t="shared" si="56"/>
        <v>26-35</v>
      </c>
    </row>
    <row r="1214" spans="1:13" x14ac:dyDescent="0.2">
      <c r="A1214" t="s">
        <v>2429</v>
      </c>
      <c r="B1214" t="s">
        <v>2430</v>
      </c>
      <c r="C1214">
        <v>58</v>
      </c>
      <c r="D1214" t="s">
        <v>20</v>
      </c>
      <c r="E1214" t="s">
        <v>17</v>
      </c>
      <c r="F1214" s="1">
        <v>45874</v>
      </c>
      <c r="G1214" s="1">
        <v>46096</v>
      </c>
      <c r="H1214">
        <v>44</v>
      </c>
      <c r="I1214">
        <v>1</v>
      </c>
      <c r="J1214">
        <v>0</v>
      </c>
      <c r="K1214" t="str">
        <f t="shared" si="54"/>
        <v>Aug-2025</v>
      </c>
      <c r="L1214" s="1">
        <f t="shared" ca="1" si="55"/>
        <v>62</v>
      </c>
      <c r="M1214" t="str">
        <f t="shared" si="56"/>
        <v>46+</v>
      </c>
    </row>
    <row r="1215" spans="1:13" x14ac:dyDescent="0.2">
      <c r="A1215" t="s">
        <v>2431</v>
      </c>
      <c r="B1215" t="s">
        <v>2432</v>
      </c>
      <c r="C1215">
        <v>34</v>
      </c>
      <c r="D1215" t="s">
        <v>12</v>
      </c>
      <c r="E1215" t="s">
        <v>21</v>
      </c>
      <c r="F1215" s="1">
        <v>45975</v>
      </c>
      <c r="G1215" s="1">
        <v>46132</v>
      </c>
      <c r="H1215">
        <v>76</v>
      </c>
      <c r="I1215">
        <v>7</v>
      </c>
      <c r="J1215">
        <v>0</v>
      </c>
      <c r="K1215" t="str">
        <f t="shared" si="54"/>
        <v>Nov-2025</v>
      </c>
      <c r="L1215" s="1">
        <f t="shared" ca="1" si="55"/>
        <v>26</v>
      </c>
      <c r="M1215" t="str">
        <f t="shared" si="56"/>
        <v>26-35</v>
      </c>
    </row>
    <row r="1216" spans="1:13" x14ac:dyDescent="0.2">
      <c r="A1216" t="s">
        <v>2433</v>
      </c>
      <c r="B1216" t="s">
        <v>2434</v>
      </c>
      <c r="C1216">
        <v>49</v>
      </c>
      <c r="D1216" t="s">
        <v>16</v>
      </c>
      <c r="E1216" t="s">
        <v>21</v>
      </c>
      <c r="F1216" s="1">
        <v>45554</v>
      </c>
      <c r="G1216" s="1">
        <v>46101</v>
      </c>
      <c r="H1216">
        <v>3</v>
      </c>
      <c r="I1216">
        <v>4</v>
      </c>
      <c r="J1216">
        <v>1</v>
      </c>
      <c r="K1216" t="str">
        <f t="shared" si="54"/>
        <v>Sep-2024</v>
      </c>
      <c r="L1216" s="1">
        <f t="shared" ca="1" si="55"/>
        <v>57</v>
      </c>
      <c r="M1216" t="str">
        <f t="shared" si="56"/>
        <v>46+</v>
      </c>
    </row>
    <row r="1217" spans="1:13" x14ac:dyDescent="0.2">
      <c r="A1217" t="s">
        <v>2435</v>
      </c>
      <c r="B1217" t="s">
        <v>2436</v>
      </c>
      <c r="C1217">
        <v>24</v>
      </c>
      <c r="D1217" t="s">
        <v>20</v>
      </c>
      <c r="E1217" t="s">
        <v>13</v>
      </c>
      <c r="F1217" s="1">
        <v>45751</v>
      </c>
      <c r="G1217" s="1">
        <v>46149</v>
      </c>
      <c r="H1217">
        <v>39</v>
      </c>
      <c r="I1217">
        <v>9</v>
      </c>
      <c r="J1217">
        <v>0</v>
      </c>
      <c r="K1217" t="str">
        <f t="shared" si="54"/>
        <v>Apr-2025</v>
      </c>
      <c r="L1217" s="1">
        <f t="shared" ca="1" si="55"/>
        <v>9</v>
      </c>
      <c r="M1217" t="str">
        <f t="shared" si="56"/>
        <v>18-25</v>
      </c>
    </row>
    <row r="1218" spans="1:13" x14ac:dyDescent="0.2">
      <c r="A1218" t="s">
        <v>2437</v>
      </c>
      <c r="B1218" t="s">
        <v>2438</v>
      </c>
      <c r="C1218">
        <v>28</v>
      </c>
      <c r="D1218" t="s">
        <v>16</v>
      </c>
      <c r="E1218" t="s">
        <v>13</v>
      </c>
      <c r="F1218" s="1">
        <v>45996</v>
      </c>
      <c r="G1218" s="1">
        <v>46133</v>
      </c>
      <c r="H1218">
        <v>37</v>
      </c>
      <c r="I1218">
        <v>4</v>
      </c>
      <c r="J1218">
        <v>0</v>
      </c>
      <c r="K1218" t="str">
        <f t="shared" si="54"/>
        <v>Dec-2025</v>
      </c>
      <c r="L1218" s="1">
        <f t="shared" ca="1" si="55"/>
        <v>25</v>
      </c>
      <c r="M1218" t="str">
        <f t="shared" si="56"/>
        <v>26-35</v>
      </c>
    </row>
    <row r="1219" spans="1:13" x14ac:dyDescent="0.2">
      <c r="A1219" t="s">
        <v>2439</v>
      </c>
      <c r="B1219" t="s">
        <v>2440</v>
      </c>
      <c r="C1219">
        <v>49</v>
      </c>
      <c r="D1219" t="s">
        <v>12</v>
      </c>
      <c r="E1219" t="s">
        <v>17</v>
      </c>
      <c r="F1219" s="1">
        <v>45803</v>
      </c>
      <c r="G1219" s="1">
        <v>46145</v>
      </c>
      <c r="H1219">
        <v>74</v>
      </c>
      <c r="I1219">
        <v>10</v>
      </c>
      <c r="J1219">
        <v>0</v>
      </c>
      <c r="K1219" t="str">
        <f t="shared" ref="K1219:K1282" si="57">TEXT(F1219,"MMM-YYYY")</f>
        <v>May-2025</v>
      </c>
      <c r="L1219" s="1">
        <f t="shared" ref="L1219:L1282" ca="1" si="58">TODAY()-G1219</f>
        <v>13</v>
      </c>
      <c r="M1219" t="str">
        <f t="shared" ref="M1219:M1282" si="59">IF(C1219&lt;=25,"18-25",IF(C1219&lt;=35,"26-35",IF(C1219&lt;=45,"36-45","46+")))</f>
        <v>46+</v>
      </c>
    </row>
    <row r="1220" spans="1:13" x14ac:dyDescent="0.2">
      <c r="A1220" t="s">
        <v>2441</v>
      </c>
      <c r="B1220" t="s">
        <v>2442</v>
      </c>
      <c r="C1220">
        <v>31</v>
      </c>
      <c r="D1220" t="s">
        <v>16</v>
      </c>
      <c r="E1220" t="s">
        <v>21</v>
      </c>
      <c r="F1220" s="1">
        <v>46011</v>
      </c>
      <c r="G1220" s="1">
        <v>46126</v>
      </c>
      <c r="H1220">
        <v>30</v>
      </c>
      <c r="I1220">
        <v>7</v>
      </c>
      <c r="J1220">
        <v>0</v>
      </c>
      <c r="K1220" t="str">
        <f t="shared" si="57"/>
        <v>Dec-2025</v>
      </c>
      <c r="L1220" s="1">
        <f t="shared" ca="1" si="58"/>
        <v>32</v>
      </c>
      <c r="M1220" t="str">
        <f t="shared" si="59"/>
        <v>26-35</v>
      </c>
    </row>
    <row r="1221" spans="1:13" x14ac:dyDescent="0.2">
      <c r="A1221" t="s">
        <v>2443</v>
      </c>
      <c r="B1221" t="s">
        <v>2444</v>
      </c>
      <c r="C1221">
        <v>20</v>
      </c>
      <c r="D1221" t="s">
        <v>12</v>
      </c>
      <c r="E1221" t="s">
        <v>21</v>
      </c>
      <c r="F1221" s="1">
        <v>45487</v>
      </c>
      <c r="G1221" s="1">
        <v>46081</v>
      </c>
      <c r="H1221">
        <v>71</v>
      </c>
      <c r="I1221">
        <v>8</v>
      </c>
      <c r="J1221">
        <v>0</v>
      </c>
      <c r="K1221" t="str">
        <f t="shared" si="57"/>
        <v>Jul-2024</v>
      </c>
      <c r="L1221" s="1">
        <f t="shared" ca="1" si="58"/>
        <v>77</v>
      </c>
      <c r="M1221" t="str">
        <f t="shared" si="59"/>
        <v>18-25</v>
      </c>
    </row>
    <row r="1222" spans="1:13" x14ac:dyDescent="0.2">
      <c r="A1222" t="s">
        <v>2445</v>
      </c>
      <c r="B1222" t="s">
        <v>2446</v>
      </c>
      <c r="C1222">
        <v>49</v>
      </c>
      <c r="D1222" t="s">
        <v>16</v>
      </c>
      <c r="E1222" t="s">
        <v>17</v>
      </c>
      <c r="F1222" s="1">
        <v>45714</v>
      </c>
      <c r="G1222" s="1">
        <v>46077</v>
      </c>
      <c r="H1222">
        <v>38</v>
      </c>
      <c r="I1222">
        <v>10</v>
      </c>
      <c r="J1222">
        <v>0</v>
      </c>
      <c r="K1222" t="str">
        <f t="shared" si="57"/>
        <v>Feb-2025</v>
      </c>
      <c r="L1222" s="1">
        <f t="shared" ca="1" si="58"/>
        <v>81</v>
      </c>
      <c r="M1222" t="str">
        <f t="shared" si="59"/>
        <v>46+</v>
      </c>
    </row>
    <row r="1223" spans="1:13" x14ac:dyDescent="0.2">
      <c r="A1223" t="s">
        <v>2447</v>
      </c>
      <c r="B1223" t="s">
        <v>2448</v>
      </c>
      <c r="C1223">
        <v>33</v>
      </c>
      <c r="D1223" t="s">
        <v>16</v>
      </c>
      <c r="E1223" t="s">
        <v>17</v>
      </c>
      <c r="F1223" s="1">
        <v>45938</v>
      </c>
      <c r="G1223" s="1">
        <v>46063</v>
      </c>
      <c r="H1223">
        <v>15</v>
      </c>
      <c r="I1223">
        <v>10</v>
      </c>
      <c r="J1223">
        <v>1</v>
      </c>
      <c r="K1223" t="str">
        <f t="shared" si="57"/>
        <v>Oct-2025</v>
      </c>
      <c r="L1223" s="1">
        <f t="shared" ca="1" si="58"/>
        <v>95</v>
      </c>
      <c r="M1223" t="str">
        <f t="shared" si="59"/>
        <v>26-35</v>
      </c>
    </row>
    <row r="1224" spans="1:13" x14ac:dyDescent="0.2">
      <c r="A1224" t="s">
        <v>2449</v>
      </c>
      <c r="B1224" t="s">
        <v>2450</v>
      </c>
      <c r="C1224">
        <v>32</v>
      </c>
      <c r="D1224" t="s">
        <v>12</v>
      </c>
      <c r="E1224" t="s">
        <v>21</v>
      </c>
      <c r="F1224" s="1">
        <v>45168</v>
      </c>
      <c r="G1224" s="1">
        <v>46130</v>
      </c>
      <c r="H1224">
        <v>46</v>
      </c>
      <c r="I1224">
        <v>4</v>
      </c>
      <c r="J1224">
        <v>0</v>
      </c>
      <c r="K1224" t="str">
        <f t="shared" si="57"/>
        <v>Aug-2023</v>
      </c>
      <c r="L1224" s="1">
        <f t="shared" ca="1" si="58"/>
        <v>28</v>
      </c>
      <c r="M1224" t="str">
        <f t="shared" si="59"/>
        <v>26-35</v>
      </c>
    </row>
    <row r="1225" spans="1:13" x14ac:dyDescent="0.2">
      <c r="A1225" t="s">
        <v>2451</v>
      </c>
      <c r="B1225" t="s">
        <v>1267</v>
      </c>
      <c r="C1225">
        <v>29</v>
      </c>
      <c r="D1225" t="s">
        <v>16</v>
      </c>
      <c r="E1225" t="s">
        <v>17</v>
      </c>
      <c r="F1225" s="1">
        <v>45986</v>
      </c>
      <c r="G1225" s="1">
        <v>46042</v>
      </c>
      <c r="H1225">
        <v>22</v>
      </c>
      <c r="I1225">
        <v>2</v>
      </c>
      <c r="J1225">
        <v>1</v>
      </c>
      <c r="K1225" t="str">
        <f t="shared" si="57"/>
        <v>Nov-2025</v>
      </c>
      <c r="L1225" s="1">
        <f t="shared" ca="1" si="58"/>
        <v>116</v>
      </c>
      <c r="M1225" t="str">
        <f t="shared" si="59"/>
        <v>26-35</v>
      </c>
    </row>
    <row r="1226" spans="1:13" x14ac:dyDescent="0.2">
      <c r="A1226" t="s">
        <v>2452</v>
      </c>
      <c r="B1226" t="s">
        <v>2453</v>
      </c>
      <c r="C1226">
        <v>25</v>
      </c>
      <c r="D1226" t="s">
        <v>12</v>
      </c>
      <c r="E1226" t="s">
        <v>21</v>
      </c>
      <c r="F1226" s="1">
        <v>45436</v>
      </c>
      <c r="G1226" s="1">
        <v>46145</v>
      </c>
      <c r="H1226">
        <v>38</v>
      </c>
      <c r="I1226">
        <v>9</v>
      </c>
      <c r="J1226">
        <v>0</v>
      </c>
      <c r="K1226" t="str">
        <f t="shared" si="57"/>
        <v>May-2024</v>
      </c>
      <c r="L1226" s="1">
        <f t="shared" ca="1" si="58"/>
        <v>13</v>
      </c>
      <c r="M1226" t="str">
        <f t="shared" si="59"/>
        <v>18-25</v>
      </c>
    </row>
    <row r="1227" spans="1:13" x14ac:dyDescent="0.2">
      <c r="A1227" t="s">
        <v>2454</v>
      </c>
      <c r="B1227" t="s">
        <v>2455</v>
      </c>
      <c r="C1227">
        <v>53</v>
      </c>
      <c r="D1227" t="s">
        <v>12</v>
      </c>
      <c r="E1227" t="s">
        <v>21</v>
      </c>
      <c r="F1227" s="1">
        <v>45788</v>
      </c>
      <c r="G1227" s="1">
        <v>46135</v>
      </c>
      <c r="H1227">
        <v>9</v>
      </c>
      <c r="I1227">
        <v>8</v>
      </c>
      <c r="J1227">
        <v>0</v>
      </c>
      <c r="K1227" t="str">
        <f t="shared" si="57"/>
        <v>May-2025</v>
      </c>
      <c r="L1227" s="1">
        <f t="shared" ca="1" si="58"/>
        <v>23</v>
      </c>
      <c r="M1227" t="str">
        <f t="shared" si="59"/>
        <v>46+</v>
      </c>
    </row>
    <row r="1228" spans="1:13" x14ac:dyDescent="0.2">
      <c r="A1228" t="s">
        <v>2456</v>
      </c>
      <c r="B1228" t="s">
        <v>2457</v>
      </c>
      <c r="C1228">
        <v>37</v>
      </c>
      <c r="D1228" t="s">
        <v>12</v>
      </c>
      <c r="E1228" t="s">
        <v>17</v>
      </c>
      <c r="F1228" s="1">
        <v>45754</v>
      </c>
      <c r="G1228" s="1">
        <v>46137</v>
      </c>
      <c r="H1228">
        <v>39</v>
      </c>
      <c r="I1228">
        <v>1</v>
      </c>
      <c r="J1228">
        <v>0</v>
      </c>
      <c r="K1228" t="str">
        <f t="shared" si="57"/>
        <v>Apr-2025</v>
      </c>
      <c r="L1228" s="1">
        <f t="shared" ca="1" si="58"/>
        <v>21</v>
      </c>
      <c r="M1228" t="str">
        <f t="shared" si="59"/>
        <v>36-45</v>
      </c>
    </row>
    <row r="1229" spans="1:13" x14ac:dyDescent="0.2">
      <c r="A1229" t="s">
        <v>2458</v>
      </c>
      <c r="B1229" t="s">
        <v>2459</v>
      </c>
      <c r="C1229">
        <v>51</v>
      </c>
      <c r="D1229" t="s">
        <v>20</v>
      </c>
      <c r="E1229" t="s">
        <v>17</v>
      </c>
      <c r="F1229" s="1">
        <v>45530</v>
      </c>
      <c r="G1229" s="1">
        <v>46110</v>
      </c>
      <c r="H1229">
        <v>55</v>
      </c>
      <c r="I1229">
        <v>3</v>
      </c>
      <c r="J1229">
        <v>0</v>
      </c>
      <c r="K1229" t="str">
        <f t="shared" si="57"/>
        <v>Aug-2024</v>
      </c>
      <c r="L1229" s="1">
        <f t="shared" ca="1" si="58"/>
        <v>48</v>
      </c>
      <c r="M1229" t="str">
        <f t="shared" si="59"/>
        <v>46+</v>
      </c>
    </row>
    <row r="1230" spans="1:13" x14ac:dyDescent="0.2">
      <c r="A1230" t="s">
        <v>2460</v>
      </c>
      <c r="B1230" t="s">
        <v>2461</v>
      </c>
      <c r="C1230">
        <v>40</v>
      </c>
      <c r="D1230" t="s">
        <v>12</v>
      </c>
      <c r="E1230" t="s">
        <v>17</v>
      </c>
      <c r="F1230" s="1">
        <v>45292</v>
      </c>
      <c r="G1230" s="1">
        <v>46132</v>
      </c>
      <c r="H1230">
        <v>35</v>
      </c>
      <c r="I1230">
        <v>1</v>
      </c>
      <c r="J1230">
        <v>1</v>
      </c>
      <c r="K1230" t="str">
        <f t="shared" si="57"/>
        <v>Jan-2024</v>
      </c>
      <c r="L1230" s="1">
        <f t="shared" ca="1" si="58"/>
        <v>26</v>
      </c>
      <c r="M1230" t="str">
        <f t="shared" si="59"/>
        <v>36-45</v>
      </c>
    </row>
    <row r="1231" spans="1:13" x14ac:dyDescent="0.2">
      <c r="A1231" t="s">
        <v>2462</v>
      </c>
      <c r="B1231" t="s">
        <v>2463</v>
      </c>
      <c r="C1231">
        <v>25</v>
      </c>
      <c r="D1231" t="s">
        <v>20</v>
      </c>
      <c r="E1231" t="s">
        <v>21</v>
      </c>
      <c r="F1231" s="1">
        <v>45654</v>
      </c>
      <c r="G1231" s="1">
        <v>46107</v>
      </c>
      <c r="H1231">
        <v>49</v>
      </c>
      <c r="I1231">
        <v>7</v>
      </c>
      <c r="J1231">
        <v>1</v>
      </c>
      <c r="K1231" t="str">
        <f t="shared" si="57"/>
        <v>Dec-2024</v>
      </c>
      <c r="L1231" s="1">
        <f t="shared" ca="1" si="58"/>
        <v>51</v>
      </c>
      <c r="M1231" t="str">
        <f t="shared" si="59"/>
        <v>18-25</v>
      </c>
    </row>
    <row r="1232" spans="1:13" x14ac:dyDescent="0.2">
      <c r="A1232" t="s">
        <v>2464</v>
      </c>
      <c r="B1232" t="s">
        <v>2465</v>
      </c>
      <c r="C1232">
        <v>28</v>
      </c>
      <c r="D1232" t="s">
        <v>20</v>
      </c>
      <c r="E1232" t="s">
        <v>17</v>
      </c>
      <c r="F1232" s="1">
        <v>46079</v>
      </c>
      <c r="G1232" s="1">
        <v>46053</v>
      </c>
      <c r="H1232">
        <v>38</v>
      </c>
      <c r="I1232">
        <v>1</v>
      </c>
      <c r="J1232">
        <v>0</v>
      </c>
      <c r="K1232" t="str">
        <f t="shared" si="57"/>
        <v>Feb-2026</v>
      </c>
      <c r="L1232" s="1">
        <f t="shared" ca="1" si="58"/>
        <v>105</v>
      </c>
      <c r="M1232" t="str">
        <f t="shared" si="59"/>
        <v>26-35</v>
      </c>
    </row>
    <row r="1233" spans="1:13" x14ac:dyDescent="0.2">
      <c r="A1233" t="s">
        <v>2466</v>
      </c>
      <c r="B1233" t="s">
        <v>2467</v>
      </c>
      <c r="C1233">
        <v>40</v>
      </c>
      <c r="D1233" t="s">
        <v>12</v>
      </c>
      <c r="E1233" t="s">
        <v>21</v>
      </c>
      <c r="F1233" s="1">
        <v>46074</v>
      </c>
      <c r="G1233" s="1">
        <v>46136</v>
      </c>
      <c r="H1233">
        <v>65</v>
      </c>
      <c r="I1233">
        <v>2</v>
      </c>
      <c r="J1233">
        <v>1</v>
      </c>
      <c r="K1233" t="str">
        <f t="shared" si="57"/>
        <v>Feb-2026</v>
      </c>
      <c r="L1233" s="1">
        <f t="shared" ca="1" si="58"/>
        <v>22</v>
      </c>
      <c r="M1233" t="str">
        <f t="shared" si="59"/>
        <v>36-45</v>
      </c>
    </row>
    <row r="1234" spans="1:13" x14ac:dyDescent="0.2">
      <c r="A1234" t="s">
        <v>2468</v>
      </c>
      <c r="B1234" t="s">
        <v>2469</v>
      </c>
      <c r="C1234">
        <v>51</v>
      </c>
      <c r="D1234" t="s">
        <v>20</v>
      </c>
      <c r="E1234" t="s">
        <v>21</v>
      </c>
      <c r="F1234" s="1">
        <v>46070</v>
      </c>
      <c r="G1234" s="1">
        <v>46062</v>
      </c>
      <c r="H1234">
        <v>56</v>
      </c>
      <c r="I1234">
        <v>5</v>
      </c>
      <c r="J1234">
        <v>0</v>
      </c>
      <c r="K1234" t="str">
        <f t="shared" si="57"/>
        <v>Feb-2026</v>
      </c>
      <c r="L1234" s="1">
        <f t="shared" ca="1" si="58"/>
        <v>96</v>
      </c>
      <c r="M1234" t="str">
        <f t="shared" si="59"/>
        <v>46+</v>
      </c>
    </row>
    <row r="1235" spans="1:13" x14ac:dyDescent="0.2">
      <c r="A1235" t="s">
        <v>2470</v>
      </c>
      <c r="B1235" t="s">
        <v>2471</v>
      </c>
      <c r="C1235">
        <v>49</v>
      </c>
      <c r="D1235" t="s">
        <v>12</v>
      </c>
      <c r="E1235" t="s">
        <v>17</v>
      </c>
      <c r="F1235" s="1">
        <v>46041</v>
      </c>
      <c r="G1235" s="1">
        <v>46037</v>
      </c>
      <c r="H1235">
        <v>26</v>
      </c>
      <c r="I1235">
        <v>3</v>
      </c>
      <c r="J1235">
        <v>0</v>
      </c>
      <c r="K1235" t="str">
        <f t="shared" si="57"/>
        <v>Jan-2026</v>
      </c>
      <c r="L1235" s="1">
        <f t="shared" ca="1" si="58"/>
        <v>121</v>
      </c>
      <c r="M1235" t="str">
        <f t="shared" si="59"/>
        <v>46+</v>
      </c>
    </row>
    <row r="1236" spans="1:13" x14ac:dyDescent="0.2">
      <c r="A1236" t="s">
        <v>2472</v>
      </c>
      <c r="B1236" t="s">
        <v>2473</v>
      </c>
      <c r="C1236">
        <v>22</v>
      </c>
      <c r="D1236" t="s">
        <v>16</v>
      </c>
      <c r="E1236" t="s">
        <v>13</v>
      </c>
      <c r="F1236" s="1">
        <v>45677</v>
      </c>
      <c r="G1236" s="1">
        <v>46086</v>
      </c>
      <c r="H1236">
        <v>72</v>
      </c>
      <c r="I1236">
        <v>2</v>
      </c>
      <c r="J1236">
        <v>1</v>
      </c>
      <c r="K1236" t="str">
        <f t="shared" si="57"/>
        <v>Jan-2025</v>
      </c>
      <c r="L1236" s="1">
        <f t="shared" ca="1" si="58"/>
        <v>72</v>
      </c>
      <c r="M1236" t="str">
        <f t="shared" si="59"/>
        <v>18-25</v>
      </c>
    </row>
    <row r="1237" spans="1:13" x14ac:dyDescent="0.2">
      <c r="A1237" t="s">
        <v>2474</v>
      </c>
      <c r="B1237" t="s">
        <v>2475</v>
      </c>
      <c r="C1237">
        <v>48</v>
      </c>
      <c r="D1237" t="s">
        <v>16</v>
      </c>
      <c r="E1237" t="s">
        <v>17</v>
      </c>
      <c r="F1237" s="1">
        <v>45671</v>
      </c>
      <c r="G1237" s="1">
        <v>46134</v>
      </c>
      <c r="H1237">
        <v>11</v>
      </c>
      <c r="I1237">
        <v>8</v>
      </c>
      <c r="J1237">
        <v>1</v>
      </c>
      <c r="K1237" t="str">
        <f t="shared" si="57"/>
        <v>Jan-2025</v>
      </c>
      <c r="L1237" s="1">
        <f t="shared" ca="1" si="58"/>
        <v>24</v>
      </c>
      <c r="M1237" t="str">
        <f t="shared" si="59"/>
        <v>46+</v>
      </c>
    </row>
    <row r="1238" spans="1:13" x14ac:dyDescent="0.2">
      <c r="A1238" t="s">
        <v>2476</v>
      </c>
      <c r="B1238" t="s">
        <v>2477</v>
      </c>
      <c r="C1238">
        <v>48</v>
      </c>
      <c r="D1238" t="s">
        <v>16</v>
      </c>
      <c r="E1238" t="s">
        <v>21</v>
      </c>
      <c r="F1238" s="1">
        <v>46060</v>
      </c>
      <c r="G1238" s="1">
        <v>46058</v>
      </c>
      <c r="H1238">
        <v>12</v>
      </c>
      <c r="I1238">
        <v>9</v>
      </c>
      <c r="J1238">
        <v>1</v>
      </c>
      <c r="K1238" t="str">
        <f t="shared" si="57"/>
        <v>Feb-2026</v>
      </c>
      <c r="L1238" s="1">
        <f t="shared" ca="1" si="58"/>
        <v>100</v>
      </c>
      <c r="M1238" t="str">
        <f t="shared" si="59"/>
        <v>46+</v>
      </c>
    </row>
    <row r="1239" spans="1:13" x14ac:dyDescent="0.2">
      <c r="A1239" t="s">
        <v>2478</v>
      </c>
      <c r="B1239" t="s">
        <v>2479</v>
      </c>
      <c r="C1239">
        <v>40</v>
      </c>
      <c r="D1239" t="s">
        <v>16</v>
      </c>
      <c r="E1239" t="s">
        <v>13</v>
      </c>
      <c r="F1239" s="1">
        <v>46078</v>
      </c>
      <c r="G1239" s="1">
        <v>46050</v>
      </c>
      <c r="H1239">
        <v>73</v>
      </c>
      <c r="I1239">
        <v>1</v>
      </c>
      <c r="J1239">
        <v>1</v>
      </c>
      <c r="K1239" t="str">
        <f t="shared" si="57"/>
        <v>Feb-2026</v>
      </c>
      <c r="L1239" s="1">
        <f t="shared" ca="1" si="58"/>
        <v>108</v>
      </c>
      <c r="M1239" t="str">
        <f t="shared" si="59"/>
        <v>36-45</v>
      </c>
    </row>
    <row r="1240" spans="1:13" x14ac:dyDescent="0.2">
      <c r="A1240" t="s">
        <v>2480</v>
      </c>
      <c r="B1240" t="s">
        <v>2481</v>
      </c>
      <c r="C1240">
        <v>18</v>
      </c>
      <c r="D1240" t="s">
        <v>16</v>
      </c>
      <c r="E1240" t="s">
        <v>21</v>
      </c>
      <c r="F1240" s="1">
        <v>46081</v>
      </c>
      <c r="G1240" s="1">
        <v>46092</v>
      </c>
      <c r="H1240">
        <v>46</v>
      </c>
      <c r="I1240">
        <v>7</v>
      </c>
      <c r="J1240">
        <v>1</v>
      </c>
      <c r="K1240" t="str">
        <f t="shared" si="57"/>
        <v>Feb-2026</v>
      </c>
      <c r="L1240" s="1">
        <f t="shared" ca="1" si="58"/>
        <v>66</v>
      </c>
      <c r="M1240" t="str">
        <f t="shared" si="59"/>
        <v>18-25</v>
      </c>
    </row>
    <row r="1241" spans="1:13" x14ac:dyDescent="0.2">
      <c r="A1241" t="s">
        <v>2482</v>
      </c>
      <c r="B1241" t="s">
        <v>2483</v>
      </c>
      <c r="C1241">
        <v>36</v>
      </c>
      <c r="D1241" t="s">
        <v>12</v>
      </c>
      <c r="E1241" t="s">
        <v>13</v>
      </c>
      <c r="F1241" s="1">
        <v>45410</v>
      </c>
      <c r="G1241" s="1">
        <v>46106</v>
      </c>
      <c r="H1241">
        <v>64</v>
      </c>
      <c r="I1241">
        <v>1</v>
      </c>
      <c r="J1241">
        <v>0</v>
      </c>
      <c r="K1241" t="str">
        <f t="shared" si="57"/>
        <v>Apr-2024</v>
      </c>
      <c r="L1241" s="1">
        <f t="shared" ca="1" si="58"/>
        <v>52</v>
      </c>
      <c r="M1241" t="str">
        <f t="shared" si="59"/>
        <v>36-45</v>
      </c>
    </row>
    <row r="1242" spans="1:13" x14ac:dyDescent="0.2">
      <c r="A1242" t="s">
        <v>2484</v>
      </c>
      <c r="B1242" t="s">
        <v>2485</v>
      </c>
      <c r="C1242">
        <v>34</v>
      </c>
      <c r="D1242" t="s">
        <v>20</v>
      </c>
      <c r="E1242" t="s">
        <v>17</v>
      </c>
      <c r="F1242" s="1">
        <v>45629</v>
      </c>
      <c r="G1242" s="1">
        <v>46082</v>
      </c>
      <c r="H1242">
        <v>3</v>
      </c>
      <c r="I1242">
        <v>5</v>
      </c>
      <c r="J1242">
        <v>1</v>
      </c>
      <c r="K1242" t="str">
        <f t="shared" si="57"/>
        <v>Dec-2024</v>
      </c>
      <c r="L1242" s="1">
        <f t="shared" ca="1" si="58"/>
        <v>76</v>
      </c>
      <c r="M1242" t="str">
        <f t="shared" si="59"/>
        <v>26-35</v>
      </c>
    </row>
    <row r="1243" spans="1:13" x14ac:dyDescent="0.2">
      <c r="A1243" t="s">
        <v>2486</v>
      </c>
      <c r="B1243" t="s">
        <v>2487</v>
      </c>
      <c r="C1243">
        <v>24</v>
      </c>
      <c r="D1243" t="s">
        <v>12</v>
      </c>
      <c r="E1243" t="s">
        <v>21</v>
      </c>
      <c r="F1243" s="1">
        <v>45278</v>
      </c>
      <c r="G1243" s="1">
        <v>46136</v>
      </c>
      <c r="H1243">
        <v>63</v>
      </c>
      <c r="I1243">
        <v>5</v>
      </c>
      <c r="J1243">
        <v>1</v>
      </c>
      <c r="K1243" t="str">
        <f t="shared" si="57"/>
        <v>Dec-2023</v>
      </c>
      <c r="L1243" s="1">
        <f t="shared" ca="1" si="58"/>
        <v>22</v>
      </c>
      <c r="M1243" t="str">
        <f t="shared" si="59"/>
        <v>18-25</v>
      </c>
    </row>
    <row r="1244" spans="1:13" x14ac:dyDescent="0.2">
      <c r="A1244" t="s">
        <v>2488</v>
      </c>
      <c r="B1244" t="s">
        <v>2489</v>
      </c>
      <c r="C1244">
        <v>60</v>
      </c>
      <c r="D1244" t="s">
        <v>20</v>
      </c>
      <c r="E1244" t="s">
        <v>21</v>
      </c>
      <c r="F1244" s="1">
        <v>46049</v>
      </c>
      <c r="G1244" s="1">
        <v>46064</v>
      </c>
      <c r="H1244">
        <v>50</v>
      </c>
      <c r="I1244">
        <v>2</v>
      </c>
      <c r="J1244">
        <v>0</v>
      </c>
      <c r="K1244" t="str">
        <f t="shared" si="57"/>
        <v>Jan-2026</v>
      </c>
      <c r="L1244" s="1">
        <f t="shared" ca="1" si="58"/>
        <v>94</v>
      </c>
      <c r="M1244" t="str">
        <f t="shared" si="59"/>
        <v>46+</v>
      </c>
    </row>
    <row r="1245" spans="1:13" x14ac:dyDescent="0.2">
      <c r="A1245" t="s">
        <v>2490</v>
      </c>
      <c r="B1245" t="s">
        <v>2491</v>
      </c>
      <c r="C1245">
        <v>39</v>
      </c>
      <c r="D1245" t="s">
        <v>20</v>
      </c>
      <c r="E1245" t="s">
        <v>17</v>
      </c>
      <c r="F1245" s="1">
        <v>46087</v>
      </c>
      <c r="G1245" s="1">
        <v>46046</v>
      </c>
      <c r="H1245">
        <v>2</v>
      </c>
      <c r="I1245">
        <v>7</v>
      </c>
      <c r="J1245">
        <v>0</v>
      </c>
      <c r="K1245" t="str">
        <f t="shared" si="57"/>
        <v>Mar-2026</v>
      </c>
      <c r="L1245" s="1">
        <f t="shared" ca="1" si="58"/>
        <v>112</v>
      </c>
      <c r="M1245" t="str">
        <f t="shared" si="59"/>
        <v>36-45</v>
      </c>
    </row>
    <row r="1246" spans="1:13" x14ac:dyDescent="0.2">
      <c r="A1246" t="s">
        <v>2492</v>
      </c>
      <c r="B1246" t="s">
        <v>2493</v>
      </c>
      <c r="C1246">
        <v>37</v>
      </c>
      <c r="D1246" t="s">
        <v>16</v>
      </c>
      <c r="E1246" t="s">
        <v>17</v>
      </c>
      <c r="F1246" s="1">
        <v>46018</v>
      </c>
      <c r="G1246" s="1">
        <v>46077</v>
      </c>
      <c r="H1246">
        <v>76</v>
      </c>
      <c r="I1246">
        <v>8</v>
      </c>
      <c r="J1246">
        <v>0</v>
      </c>
      <c r="K1246" t="str">
        <f t="shared" si="57"/>
        <v>Dec-2025</v>
      </c>
      <c r="L1246" s="1">
        <f t="shared" ca="1" si="58"/>
        <v>81</v>
      </c>
      <c r="M1246" t="str">
        <f t="shared" si="59"/>
        <v>36-45</v>
      </c>
    </row>
    <row r="1247" spans="1:13" x14ac:dyDescent="0.2">
      <c r="A1247" t="s">
        <v>2494</v>
      </c>
      <c r="B1247" t="s">
        <v>2495</v>
      </c>
      <c r="C1247">
        <v>26</v>
      </c>
      <c r="D1247" t="s">
        <v>16</v>
      </c>
      <c r="E1247" t="s">
        <v>21</v>
      </c>
      <c r="F1247" s="1">
        <v>46027</v>
      </c>
      <c r="G1247" s="1">
        <v>46068</v>
      </c>
      <c r="H1247">
        <v>49</v>
      </c>
      <c r="I1247">
        <v>6</v>
      </c>
      <c r="J1247">
        <v>0</v>
      </c>
      <c r="K1247" t="str">
        <f t="shared" si="57"/>
        <v>Jan-2026</v>
      </c>
      <c r="L1247" s="1">
        <f t="shared" ca="1" si="58"/>
        <v>90</v>
      </c>
      <c r="M1247" t="str">
        <f t="shared" si="59"/>
        <v>26-35</v>
      </c>
    </row>
    <row r="1248" spans="1:13" x14ac:dyDescent="0.2">
      <c r="A1248" t="s">
        <v>2496</v>
      </c>
      <c r="B1248" t="s">
        <v>2497</v>
      </c>
      <c r="C1248">
        <v>47</v>
      </c>
      <c r="D1248" t="s">
        <v>16</v>
      </c>
      <c r="E1248" t="s">
        <v>21</v>
      </c>
      <c r="F1248" s="1">
        <v>45693</v>
      </c>
      <c r="G1248" s="1">
        <v>46076</v>
      </c>
      <c r="H1248">
        <v>65</v>
      </c>
      <c r="I1248">
        <v>5</v>
      </c>
      <c r="J1248">
        <v>1</v>
      </c>
      <c r="K1248" t="str">
        <f t="shared" si="57"/>
        <v>Feb-2025</v>
      </c>
      <c r="L1248" s="1">
        <f t="shared" ca="1" si="58"/>
        <v>82</v>
      </c>
      <c r="M1248" t="str">
        <f t="shared" si="59"/>
        <v>46+</v>
      </c>
    </row>
    <row r="1249" spans="1:13" x14ac:dyDescent="0.2">
      <c r="A1249" t="s">
        <v>2498</v>
      </c>
      <c r="B1249" t="s">
        <v>2499</v>
      </c>
      <c r="C1249">
        <v>20</v>
      </c>
      <c r="D1249" t="s">
        <v>16</v>
      </c>
      <c r="E1249" t="s">
        <v>17</v>
      </c>
      <c r="F1249" s="1">
        <v>45188</v>
      </c>
      <c r="G1249" s="1">
        <v>46046</v>
      </c>
      <c r="H1249">
        <v>54</v>
      </c>
      <c r="I1249">
        <v>7</v>
      </c>
      <c r="J1249">
        <v>0</v>
      </c>
      <c r="K1249" t="str">
        <f t="shared" si="57"/>
        <v>Sep-2023</v>
      </c>
      <c r="L1249" s="1">
        <f t="shared" ca="1" si="58"/>
        <v>112</v>
      </c>
      <c r="M1249" t="str">
        <f t="shared" si="59"/>
        <v>18-25</v>
      </c>
    </row>
    <row r="1250" spans="1:13" x14ac:dyDescent="0.2">
      <c r="A1250" t="s">
        <v>2500</v>
      </c>
      <c r="B1250" t="s">
        <v>2501</v>
      </c>
      <c r="C1250">
        <v>32</v>
      </c>
      <c r="D1250" t="s">
        <v>12</v>
      </c>
      <c r="E1250" t="s">
        <v>17</v>
      </c>
      <c r="F1250" s="1">
        <v>45821</v>
      </c>
      <c r="G1250" s="1">
        <v>46118</v>
      </c>
      <c r="H1250">
        <v>13</v>
      </c>
      <c r="I1250">
        <v>10</v>
      </c>
      <c r="J1250">
        <v>0</v>
      </c>
      <c r="K1250" t="str">
        <f t="shared" si="57"/>
        <v>Jun-2025</v>
      </c>
      <c r="L1250" s="1">
        <f t="shared" ca="1" si="58"/>
        <v>40</v>
      </c>
      <c r="M1250" t="str">
        <f t="shared" si="59"/>
        <v>26-35</v>
      </c>
    </row>
    <row r="1251" spans="1:13" x14ac:dyDescent="0.2">
      <c r="A1251" t="s">
        <v>2502</v>
      </c>
      <c r="B1251" t="s">
        <v>2503</v>
      </c>
      <c r="C1251">
        <v>59</v>
      </c>
      <c r="D1251" t="s">
        <v>12</v>
      </c>
      <c r="E1251" t="s">
        <v>21</v>
      </c>
      <c r="F1251" s="1">
        <v>45893</v>
      </c>
      <c r="G1251" s="1">
        <v>46037</v>
      </c>
      <c r="H1251">
        <v>66</v>
      </c>
      <c r="I1251">
        <v>8</v>
      </c>
      <c r="J1251">
        <v>1</v>
      </c>
      <c r="K1251" t="str">
        <f t="shared" si="57"/>
        <v>Aug-2025</v>
      </c>
      <c r="L1251" s="1">
        <f t="shared" ca="1" si="58"/>
        <v>121</v>
      </c>
      <c r="M1251" t="str">
        <f t="shared" si="59"/>
        <v>46+</v>
      </c>
    </row>
    <row r="1252" spans="1:13" x14ac:dyDescent="0.2">
      <c r="A1252" t="s">
        <v>2504</v>
      </c>
      <c r="B1252" t="s">
        <v>2505</v>
      </c>
      <c r="C1252">
        <v>49</v>
      </c>
      <c r="D1252" t="s">
        <v>12</v>
      </c>
      <c r="E1252" t="s">
        <v>17</v>
      </c>
      <c r="F1252" s="1">
        <v>45411</v>
      </c>
      <c r="G1252" s="1">
        <v>46069</v>
      </c>
      <c r="H1252">
        <v>54</v>
      </c>
      <c r="I1252">
        <v>10</v>
      </c>
      <c r="J1252">
        <v>0</v>
      </c>
      <c r="K1252" t="str">
        <f t="shared" si="57"/>
        <v>Apr-2024</v>
      </c>
      <c r="L1252" s="1">
        <f t="shared" ca="1" si="58"/>
        <v>89</v>
      </c>
      <c r="M1252" t="str">
        <f t="shared" si="59"/>
        <v>46+</v>
      </c>
    </row>
    <row r="1253" spans="1:13" x14ac:dyDescent="0.2">
      <c r="A1253" t="s">
        <v>2506</v>
      </c>
      <c r="B1253" t="s">
        <v>2507</v>
      </c>
      <c r="C1253">
        <v>54</v>
      </c>
      <c r="D1253" t="s">
        <v>20</v>
      </c>
      <c r="E1253" t="s">
        <v>21</v>
      </c>
      <c r="F1253" s="1">
        <v>45918</v>
      </c>
      <c r="G1253" s="1">
        <v>46133</v>
      </c>
      <c r="H1253">
        <v>24</v>
      </c>
      <c r="I1253">
        <v>7</v>
      </c>
      <c r="J1253">
        <v>0</v>
      </c>
      <c r="K1253" t="str">
        <f t="shared" si="57"/>
        <v>Sep-2025</v>
      </c>
      <c r="L1253" s="1">
        <f t="shared" ca="1" si="58"/>
        <v>25</v>
      </c>
      <c r="M1253" t="str">
        <f t="shared" si="59"/>
        <v>46+</v>
      </c>
    </row>
    <row r="1254" spans="1:13" x14ac:dyDescent="0.2">
      <c r="A1254" t="s">
        <v>2508</v>
      </c>
      <c r="B1254" t="s">
        <v>2509</v>
      </c>
      <c r="C1254">
        <v>50</v>
      </c>
      <c r="D1254" t="s">
        <v>20</v>
      </c>
      <c r="E1254" t="s">
        <v>17</v>
      </c>
      <c r="F1254" s="1">
        <v>45620</v>
      </c>
      <c r="G1254" s="1">
        <v>46062</v>
      </c>
      <c r="H1254">
        <v>54</v>
      </c>
      <c r="I1254">
        <v>4</v>
      </c>
      <c r="J1254">
        <v>0</v>
      </c>
      <c r="K1254" t="str">
        <f t="shared" si="57"/>
        <v>Nov-2024</v>
      </c>
      <c r="L1254" s="1">
        <f t="shared" ca="1" si="58"/>
        <v>96</v>
      </c>
      <c r="M1254" t="str">
        <f t="shared" si="59"/>
        <v>46+</v>
      </c>
    </row>
    <row r="1255" spans="1:13" x14ac:dyDescent="0.2">
      <c r="A1255" t="s">
        <v>2510</v>
      </c>
      <c r="B1255" t="s">
        <v>2511</v>
      </c>
      <c r="C1255">
        <v>52</v>
      </c>
      <c r="D1255" t="s">
        <v>12</v>
      </c>
      <c r="E1255" t="s">
        <v>13</v>
      </c>
      <c r="F1255" s="1">
        <v>45848</v>
      </c>
      <c r="G1255" s="1">
        <v>46098</v>
      </c>
      <c r="H1255">
        <v>43</v>
      </c>
      <c r="I1255">
        <v>5</v>
      </c>
      <c r="J1255">
        <v>0</v>
      </c>
      <c r="K1255" t="str">
        <f t="shared" si="57"/>
        <v>Jul-2025</v>
      </c>
      <c r="L1255" s="1">
        <f t="shared" ca="1" si="58"/>
        <v>60</v>
      </c>
      <c r="M1255" t="str">
        <f t="shared" si="59"/>
        <v>46+</v>
      </c>
    </row>
    <row r="1256" spans="1:13" x14ac:dyDescent="0.2">
      <c r="A1256" t="s">
        <v>2512</v>
      </c>
      <c r="B1256" t="s">
        <v>2513</v>
      </c>
      <c r="C1256">
        <v>58</v>
      </c>
      <c r="D1256" t="s">
        <v>16</v>
      </c>
      <c r="E1256" t="s">
        <v>21</v>
      </c>
      <c r="F1256" s="1">
        <v>46017</v>
      </c>
      <c r="G1256" s="1">
        <v>46069</v>
      </c>
      <c r="H1256">
        <v>19</v>
      </c>
      <c r="I1256">
        <v>1</v>
      </c>
      <c r="J1256">
        <v>0</v>
      </c>
      <c r="K1256" t="str">
        <f t="shared" si="57"/>
        <v>Dec-2025</v>
      </c>
      <c r="L1256" s="1">
        <f t="shared" ca="1" si="58"/>
        <v>89</v>
      </c>
      <c r="M1256" t="str">
        <f t="shared" si="59"/>
        <v>46+</v>
      </c>
    </row>
    <row r="1257" spans="1:13" x14ac:dyDescent="0.2">
      <c r="A1257" t="s">
        <v>2514</v>
      </c>
      <c r="B1257" t="s">
        <v>2515</v>
      </c>
      <c r="C1257">
        <v>38</v>
      </c>
      <c r="D1257" t="s">
        <v>20</v>
      </c>
      <c r="E1257" t="s">
        <v>21</v>
      </c>
      <c r="F1257" s="1">
        <v>45761</v>
      </c>
      <c r="G1257" s="1">
        <v>46043</v>
      </c>
      <c r="H1257">
        <v>59</v>
      </c>
      <c r="I1257">
        <v>10</v>
      </c>
      <c r="J1257">
        <v>1</v>
      </c>
      <c r="K1257" t="str">
        <f t="shared" si="57"/>
        <v>Apr-2025</v>
      </c>
      <c r="L1257" s="1">
        <f t="shared" ca="1" si="58"/>
        <v>115</v>
      </c>
      <c r="M1257" t="str">
        <f t="shared" si="59"/>
        <v>36-45</v>
      </c>
    </row>
    <row r="1258" spans="1:13" x14ac:dyDescent="0.2">
      <c r="A1258" t="s">
        <v>2516</v>
      </c>
      <c r="B1258" t="s">
        <v>2517</v>
      </c>
      <c r="C1258">
        <v>48</v>
      </c>
      <c r="D1258" t="s">
        <v>16</v>
      </c>
      <c r="E1258" t="s">
        <v>13</v>
      </c>
      <c r="F1258" s="1">
        <v>45372</v>
      </c>
      <c r="G1258" s="1">
        <v>46050</v>
      </c>
      <c r="H1258">
        <v>7</v>
      </c>
      <c r="I1258">
        <v>7</v>
      </c>
      <c r="J1258">
        <v>1</v>
      </c>
      <c r="K1258" t="str">
        <f t="shared" si="57"/>
        <v>Mar-2024</v>
      </c>
      <c r="L1258" s="1">
        <f t="shared" ca="1" si="58"/>
        <v>108</v>
      </c>
      <c r="M1258" t="str">
        <f t="shared" si="59"/>
        <v>46+</v>
      </c>
    </row>
    <row r="1259" spans="1:13" x14ac:dyDescent="0.2">
      <c r="A1259" t="s">
        <v>2518</v>
      </c>
      <c r="B1259" t="s">
        <v>233</v>
      </c>
      <c r="C1259">
        <v>57</v>
      </c>
      <c r="D1259" t="s">
        <v>20</v>
      </c>
      <c r="E1259" t="s">
        <v>21</v>
      </c>
      <c r="F1259" s="1">
        <v>45282</v>
      </c>
      <c r="G1259" s="1">
        <v>46102</v>
      </c>
      <c r="H1259">
        <v>77</v>
      </c>
      <c r="I1259">
        <v>9</v>
      </c>
      <c r="J1259">
        <v>0</v>
      </c>
      <c r="K1259" t="str">
        <f t="shared" si="57"/>
        <v>Dec-2023</v>
      </c>
      <c r="L1259" s="1">
        <f t="shared" ca="1" si="58"/>
        <v>56</v>
      </c>
      <c r="M1259" t="str">
        <f t="shared" si="59"/>
        <v>46+</v>
      </c>
    </row>
    <row r="1260" spans="1:13" x14ac:dyDescent="0.2">
      <c r="A1260" t="s">
        <v>2519</v>
      </c>
      <c r="B1260" t="s">
        <v>2520</v>
      </c>
      <c r="C1260">
        <v>51</v>
      </c>
      <c r="D1260" t="s">
        <v>12</v>
      </c>
      <c r="E1260" t="s">
        <v>17</v>
      </c>
      <c r="F1260" s="1">
        <v>45454</v>
      </c>
      <c r="G1260" s="1">
        <v>46097</v>
      </c>
      <c r="H1260">
        <v>43</v>
      </c>
      <c r="I1260">
        <v>4</v>
      </c>
      <c r="J1260">
        <v>1</v>
      </c>
      <c r="K1260" t="str">
        <f t="shared" si="57"/>
        <v>Jun-2024</v>
      </c>
      <c r="L1260" s="1">
        <f t="shared" ca="1" si="58"/>
        <v>61</v>
      </c>
      <c r="M1260" t="str">
        <f t="shared" si="59"/>
        <v>46+</v>
      </c>
    </row>
    <row r="1261" spans="1:13" x14ac:dyDescent="0.2">
      <c r="A1261" t="s">
        <v>2521</v>
      </c>
      <c r="B1261" t="s">
        <v>2522</v>
      </c>
      <c r="C1261">
        <v>50</v>
      </c>
      <c r="D1261" t="s">
        <v>20</v>
      </c>
      <c r="E1261" t="s">
        <v>21</v>
      </c>
      <c r="F1261" s="1">
        <v>45893</v>
      </c>
      <c r="G1261" s="1">
        <v>46075</v>
      </c>
      <c r="H1261">
        <v>33</v>
      </c>
      <c r="I1261">
        <v>2</v>
      </c>
      <c r="J1261">
        <v>1</v>
      </c>
      <c r="K1261" t="str">
        <f t="shared" si="57"/>
        <v>Aug-2025</v>
      </c>
      <c r="L1261" s="1">
        <f t="shared" ca="1" si="58"/>
        <v>83</v>
      </c>
      <c r="M1261" t="str">
        <f t="shared" si="59"/>
        <v>46+</v>
      </c>
    </row>
    <row r="1262" spans="1:13" x14ac:dyDescent="0.2">
      <c r="A1262" t="s">
        <v>2523</v>
      </c>
      <c r="B1262" t="s">
        <v>2524</v>
      </c>
      <c r="C1262">
        <v>57</v>
      </c>
      <c r="D1262" t="s">
        <v>16</v>
      </c>
      <c r="E1262" t="s">
        <v>17</v>
      </c>
      <c r="F1262" s="1">
        <v>45643</v>
      </c>
      <c r="G1262" s="1">
        <v>46133</v>
      </c>
      <c r="H1262">
        <v>27</v>
      </c>
      <c r="I1262">
        <v>8</v>
      </c>
      <c r="J1262">
        <v>0</v>
      </c>
      <c r="K1262" t="str">
        <f t="shared" si="57"/>
        <v>Dec-2024</v>
      </c>
      <c r="L1262" s="1">
        <f t="shared" ca="1" si="58"/>
        <v>25</v>
      </c>
      <c r="M1262" t="str">
        <f t="shared" si="59"/>
        <v>46+</v>
      </c>
    </row>
    <row r="1263" spans="1:13" x14ac:dyDescent="0.2">
      <c r="A1263" t="s">
        <v>2525</v>
      </c>
      <c r="B1263" t="s">
        <v>2526</v>
      </c>
      <c r="C1263">
        <v>29</v>
      </c>
      <c r="D1263" t="s">
        <v>12</v>
      </c>
      <c r="E1263" t="s">
        <v>13</v>
      </c>
      <c r="F1263" s="1">
        <v>45652</v>
      </c>
      <c r="G1263" s="1">
        <v>46124</v>
      </c>
      <c r="H1263">
        <v>29</v>
      </c>
      <c r="I1263">
        <v>1</v>
      </c>
      <c r="J1263">
        <v>1</v>
      </c>
      <c r="K1263" t="str">
        <f t="shared" si="57"/>
        <v>Dec-2024</v>
      </c>
      <c r="L1263" s="1">
        <f t="shared" ca="1" si="58"/>
        <v>34</v>
      </c>
      <c r="M1263" t="str">
        <f t="shared" si="59"/>
        <v>26-35</v>
      </c>
    </row>
    <row r="1264" spans="1:13" x14ac:dyDescent="0.2">
      <c r="A1264" t="s">
        <v>2527</v>
      </c>
      <c r="B1264" t="s">
        <v>2528</v>
      </c>
      <c r="C1264">
        <v>19</v>
      </c>
      <c r="D1264" t="s">
        <v>20</v>
      </c>
      <c r="E1264" t="s">
        <v>21</v>
      </c>
      <c r="F1264" s="1">
        <v>45888</v>
      </c>
      <c r="G1264" s="1">
        <v>46118</v>
      </c>
      <c r="H1264">
        <v>50</v>
      </c>
      <c r="I1264">
        <v>9</v>
      </c>
      <c r="J1264">
        <v>0</v>
      </c>
      <c r="K1264" t="str">
        <f t="shared" si="57"/>
        <v>Aug-2025</v>
      </c>
      <c r="L1264" s="1">
        <f t="shared" ca="1" si="58"/>
        <v>40</v>
      </c>
      <c r="M1264" t="str">
        <f t="shared" si="59"/>
        <v>18-25</v>
      </c>
    </row>
    <row r="1265" spans="1:13" x14ac:dyDescent="0.2">
      <c r="A1265" t="s">
        <v>2529</v>
      </c>
      <c r="B1265" t="s">
        <v>2530</v>
      </c>
      <c r="C1265">
        <v>48</v>
      </c>
      <c r="D1265" t="s">
        <v>20</v>
      </c>
      <c r="E1265" t="s">
        <v>17</v>
      </c>
      <c r="F1265" s="1">
        <v>45247</v>
      </c>
      <c r="G1265" s="1">
        <v>46110</v>
      </c>
      <c r="H1265">
        <v>24</v>
      </c>
      <c r="I1265">
        <v>6</v>
      </c>
      <c r="J1265">
        <v>0</v>
      </c>
      <c r="K1265" t="str">
        <f t="shared" si="57"/>
        <v>Nov-2023</v>
      </c>
      <c r="L1265" s="1">
        <f t="shared" ca="1" si="58"/>
        <v>48</v>
      </c>
      <c r="M1265" t="str">
        <f t="shared" si="59"/>
        <v>46+</v>
      </c>
    </row>
    <row r="1266" spans="1:13" x14ac:dyDescent="0.2">
      <c r="A1266" t="s">
        <v>2531</v>
      </c>
      <c r="B1266" t="s">
        <v>2532</v>
      </c>
      <c r="C1266">
        <v>25</v>
      </c>
      <c r="D1266" t="s">
        <v>16</v>
      </c>
      <c r="E1266" t="s">
        <v>21</v>
      </c>
      <c r="F1266" s="1">
        <v>45188</v>
      </c>
      <c r="G1266" s="1">
        <v>46127</v>
      </c>
      <c r="H1266">
        <v>32</v>
      </c>
      <c r="I1266">
        <v>4</v>
      </c>
      <c r="J1266">
        <v>0</v>
      </c>
      <c r="K1266" t="str">
        <f t="shared" si="57"/>
        <v>Sep-2023</v>
      </c>
      <c r="L1266" s="1">
        <f t="shared" ca="1" si="58"/>
        <v>31</v>
      </c>
      <c r="M1266" t="str">
        <f t="shared" si="59"/>
        <v>18-25</v>
      </c>
    </row>
    <row r="1267" spans="1:13" x14ac:dyDescent="0.2">
      <c r="A1267" t="s">
        <v>2533</v>
      </c>
      <c r="B1267" t="s">
        <v>2534</v>
      </c>
      <c r="C1267">
        <v>57</v>
      </c>
      <c r="D1267" t="s">
        <v>16</v>
      </c>
      <c r="E1267" t="s">
        <v>17</v>
      </c>
      <c r="F1267" s="1">
        <v>45763</v>
      </c>
      <c r="G1267" s="1">
        <v>46092</v>
      </c>
      <c r="H1267">
        <v>53</v>
      </c>
      <c r="I1267">
        <v>9</v>
      </c>
      <c r="J1267">
        <v>0</v>
      </c>
      <c r="K1267" t="str">
        <f t="shared" si="57"/>
        <v>Apr-2025</v>
      </c>
      <c r="L1267" s="1">
        <f t="shared" ca="1" si="58"/>
        <v>66</v>
      </c>
      <c r="M1267" t="str">
        <f t="shared" si="59"/>
        <v>46+</v>
      </c>
    </row>
    <row r="1268" spans="1:13" x14ac:dyDescent="0.2">
      <c r="A1268" t="s">
        <v>2535</v>
      </c>
      <c r="B1268" t="s">
        <v>2536</v>
      </c>
      <c r="C1268">
        <v>57</v>
      </c>
      <c r="D1268" t="s">
        <v>20</v>
      </c>
      <c r="E1268" t="s">
        <v>13</v>
      </c>
      <c r="F1268" s="1">
        <v>45971</v>
      </c>
      <c r="G1268" s="1">
        <v>46131</v>
      </c>
      <c r="H1268">
        <v>68</v>
      </c>
      <c r="I1268">
        <v>2</v>
      </c>
      <c r="J1268">
        <v>0</v>
      </c>
      <c r="K1268" t="str">
        <f t="shared" si="57"/>
        <v>Nov-2025</v>
      </c>
      <c r="L1268" s="1">
        <f t="shared" ca="1" si="58"/>
        <v>27</v>
      </c>
      <c r="M1268" t="str">
        <f t="shared" si="59"/>
        <v>46+</v>
      </c>
    </row>
    <row r="1269" spans="1:13" x14ac:dyDescent="0.2">
      <c r="A1269" t="s">
        <v>2537</v>
      </c>
      <c r="B1269" t="s">
        <v>2538</v>
      </c>
      <c r="C1269">
        <v>51</v>
      </c>
      <c r="D1269" t="s">
        <v>12</v>
      </c>
      <c r="E1269" t="s">
        <v>21</v>
      </c>
      <c r="F1269" s="1">
        <v>45170</v>
      </c>
      <c r="G1269" s="1">
        <v>46078</v>
      </c>
      <c r="H1269">
        <v>28</v>
      </c>
      <c r="I1269">
        <v>9</v>
      </c>
      <c r="J1269">
        <v>1</v>
      </c>
      <c r="K1269" t="str">
        <f t="shared" si="57"/>
        <v>Sep-2023</v>
      </c>
      <c r="L1269" s="1">
        <f t="shared" ca="1" si="58"/>
        <v>80</v>
      </c>
      <c r="M1269" t="str">
        <f t="shared" si="59"/>
        <v>46+</v>
      </c>
    </row>
    <row r="1270" spans="1:13" x14ac:dyDescent="0.2">
      <c r="A1270" t="s">
        <v>2539</v>
      </c>
      <c r="B1270" t="s">
        <v>2540</v>
      </c>
      <c r="C1270">
        <v>21</v>
      </c>
      <c r="D1270" t="s">
        <v>20</v>
      </c>
      <c r="E1270" t="s">
        <v>17</v>
      </c>
      <c r="F1270" s="1">
        <v>45423</v>
      </c>
      <c r="G1270" s="1">
        <v>46099</v>
      </c>
      <c r="H1270">
        <v>34</v>
      </c>
      <c r="I1270">
        <v>9</v>
      </c>
      <c r="J1270">
        <v>1</v>
      </c>
      <c r="K1270" t="str">
        <f t="shared" si="57"/>
        <v>May-2024</v>
      </c>
      <c r="L1270" s="1">
        <f t="shared" ca="1" si="58"/>
        <v>59</v>
      </c>
      <c r="M1270" t="str">
        <f t="shared" si="59"/>
        <v>18-25</v>
      </c>
    </row>
    <row r="1271" spans="1:13" x14ac:dyDescent="0.2">
      <c r="A1271" t="s">
        <v>2541</v>
      </c>
      <c r="B1271" t="s">
        <v>2542</v>
      </c>
      <c r="C1271">
        <v>30</v>
      </c>
      <c r="D1271" t="s">
        <v>20</v>
      </c>
      <c r="E1271" t="s">
        <v>13</v>
      </c>
      <c r="F1271" s="1">
        <v>45178</v>
      </c>
      <c r="G1271" s="1">
        <v>46086</v>
      </c>
      <c r="H1271">
        <v>18</v>
      </c>
      <c r="I1271">
        <v>1</v>
      </c>
      <c r="J1271">
        <v>0</v>
      </c>
      <c r="K1271" t="str">
        <f t="shared" si="57"/>
        <v>Sep-2023</v>
      </c>
      <c r="L1271" s="1">
        <f t="shared" ca="1" si="58"/>
        <v>72</v>
      </c>
      <c r="M1271" t="str">
        <f t="shared" si="59"/>
        <v>26-35</v>
      </c>
    </row>
    <row r="1272" spans="1:13" x14ac:dyDescent="0.2">
      <c r="A1272" t="s">
        <v>2543</v>
      </c>
      <c r="B1272" t="s">
        <v>2544</v>
      </c>
      <c r="C1272">
        <v>31</v>
      </c>
      <c r="D1272" t="s">
        <v>12</v>
      </c>
      <c r="E1272" t="s">
        <v>21</v>
      </c>
      <c r="F1272" s="1">
        <v>45812</v>
      </c>
      <c r="G1272" s="1">
        <v>46030</v>
      </c>
      <c r="H1272">
        <v>36</v>
      </c>
      <c r="I1272">
        <v>8</v>
      </c>
      <c r="J1272">
        <v>1</v>
      </c>
      <c r="K1272" t="str">
        <f t="shared" si="57"/>
        <v>Jun-2025</v>
      </c>
      <c r="L1272" s="1">
        <f t="shared" ca="1" si="58"/>
        <v>128</v>
      </c>
      <c r="M1272" t="str">
        <f t="shared" si="59"/>
        <v>26-35</v>
      </c>
    </row>
    <row r="1273" spans="1:13" x14ac:dyDescent="0.2">
      <c r="A1273" t="s">
        <v>2545</v>
      </c>
      <c r="B1273" t="s">
        <v>2546</v>
      </c>
      <c r="C1273">
        <v>53</v>
      </c>
      <c r="D1273" t="s">
        <v>20</v>
      </c>
      <c r="E1273" t="s">
        <v>17</v>
      </c>
      <c r="F1273" s="1">
        <v>45780</v>
      </c>
      <c r="G1273" s="1">
        <v>46053</v>
      </c>
      <c r="H1273">
        <v>47</v>
      </c>
      <c r="I1273">
        <v>1</v>
      </c>
      <c r="J1273">
        <v>1</v>
      </c>
      <c r="K1273" t="str">
        <f t="shared" si="57"/>
        <v>May-2025</v>
      </c>
      <c r="L1273" s="1">
        <f t="shared" ca="1" si="58"/>
        <v>105</v>
      </c>
      <c r="M1273" t="str">
        <f t="shared" si="59"/>
        <v>46+</v>
      </c>
    </row>
    <row r="1274" spans="1:13" x14ac:dyDescent="0.2">
      <c r="A1274" t="s">
        <v>2547</v>
      </c>
      <c r="B1274" t="s">
        <v>2548</v>
      </c>
      <c r="C1274">
        <v>34</v>
      </c>
      <c r="D1274" t="s">
        <v>20</v>
      </c>
      <c r="E1274" t="s">
        <v>13</v>
      </c>
      <c r="F1274" s="1">
        <v>45946</v>
      </c>
      <c r="G1274" s="1">
        <v>46069</v>
      </c>
      <c r="H1274">
        <v>37</v>
      </c>
      <c r="I1274">
        <v>1</v>
      </c>
      <c r="J1274">
        <v>1</v>
      </c>
      <c r="K1274" t="str">
        <f t="shared" si="57"/>
        <v>Oct-2025</v>
      </c>
      <c r="L1274" s="1">
        <f t="shared" ca="1" si="58"/>
        <v>89</v>
      </c>
      <c r="M1274" t="str">
        <f t="shared" si="59"/>
        <v>26-35</v>
      </c>
    </row>
    <row r="1275" spans="1:13" x14ac:dyDescent="0.2">
      <c r="A1275" t="s">
        <v>2549</v>
      </c>
      <c r="B1275" t="s">
        <v>2550</v>
      </c>
      <c r="C1275">
        <v>41</v>
      </c>
      <c r="D1275" t="s">
        <v>16</v>
      </c>
      <c r="E1275" t="s">
        <v>13</v>
      </c>
      <c r="F1275" s="1">
        <v>45972</v>
      </c>
      <c r="G1275" s="1">
        <v>46079</v>
      </c>
      <c r="H1275">
        <v>76</v>
      </c>
      <c r="I1275">
        <v>4</v>
      </c>
      <c r="J1275">
        <v>0</v>
      </c>
      <c r="K1275" t="str">
        <f t="shared" si="57"/>
        <v>Nov-2025</v>
      </c>
      <c r="L1275" s="1">
        <f t="shared" ca="1" si="58"/>
        <v>79</v>
      </c>
      <c r="M1275" t="str">
        <f t="shared" si="59"/>
        <v>36-45</v>
      </c>
    </row>
    <row r="1276" spans="1:13" x14ac:dyDescent="0.2">
      <c r="A1276" t="s">
        <v>2551</v>
      </c>
      <c r="B1276" t="s">
        <v>2552</v>
      </c>
      <c r="C1276">
        <v>52</v>
      </c>
      <c r="D1276" t="s">
        <v>12</v>
      </c>
      <c r="E1276" t="s">
        <v>13</v>
      </c>
      <c r="F1276" s="1">
        <v>45155</v>
      </c>
      <c r="G1276" s="1">
        <v>46046</v>
      </c>
      <c r="H1276">
        <v>73</v>
      </c>
      <c r="I1276">
        <v>9</v>
      </c>
      <c r="J1276">
        <v>1</v>
      </c>
      <c r="K1276" t="str">
        <f t="shared" si="57"/>
        <v>Aug-2023</v>
      </c>
      <c r="L1276" s="1">
        <f t="shared" ca="1" si="58"/>
        <v>112</v>
      </c>
      <c r="M1276" t="str">
        <f t="shared" si="59"/>
        <v>46+</v>
      </c>
    </row>
    <row r="1277" spans="1:13" x14ac:dyDescent="0.2">
      <c r="A1277" t="s">
        <v>2553</v>
      </c>
      <c r="B1277" t="s">
        <v>2554</v>
      </c>
      <c r="C1277">
        <v>54</v>
      </c>
      <c r="D1277" t="s">
        <v>16</v>
      </c>
      <c r="E1277" t="s">
        <v>17</v>
      </c>
      <c r="F1277" s="1">
        <v>45217</v>
      </c>
      <c r="G1277" s="1">
        <v>46062</v>
      </c>
      <c r="H1277">
        <v>2</v>
      </c>
      <c r="I1277">
        <v>4</v>
      </c>
      <c r="J1277">
        <v>1</v>
      </c>
      <c r="K1277" t="str">
        <f t="shared" si="57"/>
        <v>Oct-2023</v>
      </c>
      <c r="L1277" s="1">
        <f t="shared" ca="1" si="58"/>
        <v>96</v>
      </c>
      <c r="M1277" t="str">
        <f t="shared" si="59"/>
        <v>46+</v>
      </c>
    </row>
    <row r="1278" spans="1:13" x14ac:dyDescent="0.2">
      <c r="A1278" t="s">
        <v>2555</v>
      </c>
      <c r="B1278" t="s">
        <v>2556</v>
      </c>
      <c r="C1278">
        <v>36</v>
      </c>
      <c r="D1278" t="s">
        <v>20</v>
      </c>
      <c r="E1278" t="s">
        <v>13</v>
      </c>
      <c r="F1278" s="1">
        <v>46004</v>
      </c>
      <c r="G1278" s="1">
        <v>46145</v>
      </c>
      <c r="H1278">
        <v>60</v>
      </c>
      <c r="I1278">
        <v>4</v>
      </c>
      <c r="J1278">
        <v>0</v>
      </c>
      <c r="K1278" t="str">
        <f t="shared" si="57"/>
        <v>Dec-2025</v>
      </c>
      <c r="L1278" s="1">
        <f t="shared" ca="1" si="58"/>
        <v>13</v>
      </c>
      <c r="M1278" t="str">
        <f t="shared" si="59"/>
        <v>36-45</v>
      </c>
    </row>
    <row r="1279" spans="1:13" x14ac:dyDescent="0.2">
      <c r="A1279" t="s">
        <v>2557</v>
      </c>
      <c r="B1279" t="s">
        <v>2558</v>
      </c>
      <c r="C1279">
        <v>18</v>
      </c>
      <c r="D1279" t="s">
        <v>12</v>
      </c>
      <c r="E1279" t="s">
        <v>13</v>
      </c>
      <c r="F1279" s="1">
        <v>46105</v>
      </c>
      <c r="G1279" s="1">
        <v>46085</v>
      </c>
      <c r="H1279">
        <v>46</v>
      </c>
      <c r="I1279">
        <v>9</v>
      </c>
      <c r="J1279">
        <v>1</v>
      </c>
      <c r="K1279" t="str">
        <f t="shared" si="57"/>
        <v>Mar-2026</v>
      </c>
      <c r="L1279" s="1">
        <f t="shared" ca="1" si="58"/>
        <v>73</v>
      </c>
      <c r="M1279" t="str">
        <f t="shared" si="59"/>
        <v>18-25</v>
      </c>
    </row>
    <row r="1280" spans="1:13" x14ac:dyDescent="0.2">
      <c r="A1280" t="s">
        <v>2559</v>
      </c>
      <c r="B1280" t="s">
        <v>2560</v>
      </c>
      <c r="C1280">
        <v>29</v>
      </c>
      <c r="D1280" t="s">
        <v>12</v>
      </c>
      <c r="E1280" t="s">
        <v>21</v>
      </c>
      <c r="F1280" s="1">
        <v>45222</v>
      </c>
      <c r="G1280" s="1">
        <v>46142</v>
      </c>
      <c r="H1280">
        <v>29</v>
      </c>
      <c r="I1280">
        <v>3</v>
      </c>
      <c r="J1280">
        <v>0</v>
      </c>
      <c r="K1280" t="str">
        <f t="shared" si="57"/>
        <v>Oct-2023</v>
      </c>
      <c r="L1280" s="1">
        <f t="shared" ca="1" si="58"/>
        <v>16</v>
      </c>
      <c r="M1280" t="str">
        <f t="shared" si="59"/>
        <v>26-35</v>
      </c>
    </row>
    <row r="1281" spans="1:13" x14ac:dyDescent="0.2">
      <c r="A1281" t="s">
        <v>2561</v>
      </c>
      <c r="B1281" t="s">
        <v>2562</v>
      </c>
      <c r="C1281">
        <v>40</v>
      </c>
      <c r="D1281" t="s">
        <v>12</v>
      </c>
      <c r="E1281" t="s">
        <v>21</v>
      </c>
      <c r="F1281" s="1">
        <v>46021</v>
      </c>
      <c r="G1281" s="1">
        <v>46047</v>
      </c>
      <c r="H1281">
        <v>50</v>
      </c>
      <c r="I1281">
        <v>10</v>
      </c>
      <c r="J1281">
        <v>0</v>
      </c>
      <c r="K1281" t="str">
        <f t="shared" si="57"/>
        <v>Dec-2025</v>
      </c>
      <c r="L1281" s="1">
        <f t="shared" ca="1" si="58"/>
        <v>111</v>
      </c>
      <c r="M1281" t="str">
        <f t="shared" si="59"/>
        <v>36-45</v>
      </c>
    </row>
    <row r="1282" spans="1:13" x14ac:dyDescent="0.2">
      <c r="A1282" t="s">
        <v>2563</v>
      </c>
      <c r="B1282" t="s">
        <v>2564</v>
      </c>
      <c r="C1282">
        <v>51</v>
      </c>
      <c r="D1282" t="s">
        <v>16</v>
      </c>
      <c r="E1282" t="s">
        <v>17</v>
      </c>
      <c r="F1282" s="1">
        <v>45859</v>
      </c>
      <c r="G1282" s="1">
        <v>46079</v>
      </c>
      <c r="H1282">
        <v>53</v>
      </c>
      <c r="I1282">
        <v>4</v>
      </c>
      <c r="J1282">
        <v>0</v>
      </c>
      <c r="K1282" t="str">
        <f t="shared" si="57"/>
        <v>Jul-2025</v>
      </c>
      <c r="L1282" s="1">
        <f t="shared" ca="1" si="58"/>
        <v>79</v>
      </c>
      <c r="M1282" t="str">
        <f t="shared" si="59"/>
        <v>46+</v>
      </c>
    </row>
    <row r="1283" spans="1:13" x14ac:dyDescent="0.2">
      <c r="A1283" t="s">
        <v>2565</v>
      </c>
      <c r="B1283" t="s">
        <v>2566</v>
      </c>
      <c r="C1283">
        <v>55</v>
      </c>
      <c r="D1283" t="s">
        <v>12</v>
      </c>
      <c r="E1283" t="s">
        <v>17</v>
      </c>
      <c r="F1283" s="1">
        <v>45949</v>
      </c>
      <c r="G1283" s="1">
        <v>46149</v>
      </c>
      <c r="H1283">
        <v>45</v>
      </c>
      <c r="I1283">
        <v>1</v>
      </c>
      <c r="J1283">
        <v>0</v>
      </c>
      <c r="K1283" t="str">
        <f t="shared" ref="K1283:K1346" si="60">TEXT(F1283,"MMM-YYYY")</f>
        <v>Oct-2025</v>
      </c>
      <c r="L1283" s="1">
        <f t="shared" ref="L1283:L1346" ca="1" si="61">TODAY()-G1283</f>
        <v>9</v>
      </c>
      <c r="M1283" t="str">
        <f t="shared" ref="M1283:M1346" si="62">IF(C1283&lt;=25,"18-25",IF(C1283&lt;=35,"26-35",IF(C1283&lt;=45,"36-45","46+")))</f>
        <v>46+</v>
      </c>
    </row>
    <row r="1284" spans="1:13" x14ac:dyDescent="0.2">
      <c r="A1284" t="s">
        <v>2567</v>
      </c>
      <c r="B1284" t="s">
        <v>2568</v>
      </c>
      <c r="C1284">
        <v>56</v>
      </c>
      <c r="D1284" t="s">
        <v>12</v>
      </c>
      <c r="E1284" t="s">
        <v>21</v>
      </c>
      <c r="F1284" s="1">
        <v>45896</v>
      </c>
      <c r="G1284" s="1">
        <v>46079</v>
      </c>
      <c r="H1284">
        <v>42</v>
      </c>
      <c r="I1284">
        <v>2</v>
      </c>
      <c r="J1284">
        <v>1</v>
      </c>
      <c r="K1284" t="str">
        <f t="shared" si="60"/>
        <v>Aug-2025</v>
      </c>
      <c r="L1284" s="1">
        <f t="shared" ca="1" si="61"/>
        <v>79</v>
      </c>
      <c r="M1284" t="str">
        <f t="shared" si="62"/>
        <v>46+</v>
      </c>
    </row>
    <row r="1285" spans="1:13" x14ac:dyDescent="0.2">
      <c r="A1285" t="s">
        <v>2569</v>
      </c>
      <c r="B1285" t="s">
        <v>2570</v>
      </c>
      <c r="C1285">
        <v>57</v>
      </c>
      <c r="D1285" t="s">
        <v>16</v>
      </c>
      <c r="E1285" t="s">
        <v>13</v>
      </c>
      <c r="F1285" s="1">
        <v>45624</v>
      </c>
      <c r="G1285" s="1">
        <v>46052</v>
      </c>
      <c r="H1285">
        <v>31</v>
      </c>
      <c r="I1285">
        <v>9</v>
      </c>
      <c r="J1285">
        <v>0</v>
      </c>
      <c r="K1285" t="str">
        <f t="shared" si="60"/>
        <v>Nov-2024</v>
      </c>
      <c r="L1285" s="1">
        <f t="shared" ca="1" si="61"/>
        <v>106</v>
      </c>
      <c r="M1285" t="str">
        <f t="shared" si="62"/>
        <v>46+</v>
      </c>
    </row>
    <row r="1286" spans="1:13" x14ac:dyDescent="0.2">
      <c r="A1286" t="s">
        <v>2571</v>
      </c>
      <c r="B1286" t="s">
        <v>2572</v>
      </c>
      <c r="C1286">
        <v>59</v>
      </c>
      <c r="D1286" t="s">
        <v>20</v>
      </c>
      <c r="E1286" t="s">
        <v>21</v>
      </c>
      <c r="F1286" s="1">
        <v>45585</v>
      </c>
      <c r="G1286" s="1">
        <v>46109</v>
      </c>
      <c r="H1286">
        <v>71</v>
      </c>
      <c r="I1286">
        <v>6</v>
      </c>
      <c r="J1286">
        <v>0</v>
      </c>
      <c r="K1286" t="str">
        <f t="shared" si="60"/>
        <v>Oct-2024</v>
      </c>
      <c r="L1286" s="1">
        <f t="shared" ca="1" si="61"/>
        <v>49</v>
      </c>
      <c r="M1286" t="str">
        <f t="shared" si="62"/>
        <v>46+</v>
      </c>
    </row>
    <row r="1287" spans="1:13" x14ac:dyDescent="0.2">
      <c r="A1287" t="s">
        <v>2573</v>
      </c>
      <c r="B1287" t="s">
        <v>2574</v>
      </c>
      <c r="C1287">
        <v>36</v>
      </c>
      <c r="D1287" t="s">
        <v>16</v>
      </c>
      <c r="E1287" t="s">
        <v>17</v>
      </c>
      <c r="F1287" s="1">
        <v>45216</v>
      </c>
      <c r="G1287" s="1">
        <v>46080</v>
      </c>
      <c r="H1287">
        <v>16</v>
      </c>
      <c r="I1287">
        <v>2</v>
      </c>
      <c r="J1287">
        <v>0</v>
      </c>
      <c r="K1287" t="str">
        <f t="shared" si="60"/>
        <v>Oct-2023</v>
      </c>
      <c r="L1287" s="1">
        <f t="shared" ca="1" si="61"/>
        <v>78</v>
      </c>
      <c r="M1287" t="str">
        <f t="shared" si="62"/>
        <v>36-45</v>
      </c>
    </row>
    <row r="1288" spans="1:13" x14ac:dyDescent="0.2">
      <c r="A1288" t="s">
        <v>2575</v>
      </c>
      <c r="B1288" t="s">
        <v>2576</v>
      </c>
      <c r="C1288">
        <v>44</v>
      </c>
      <c r="D1288" t="s">
        <v>20</v>
      </c>
      <c r="E1288" t="s">
        <v>17</v>
      </c>
      <c r="F1288" s="1">
        <v>45448</v>
      </c>
      <c r="G1288" s="1">
        <v>46145</v>
      </c>
      <c r="H1288">
        <v>22</v>
      </c>
      <c r="I1288">
        <v>9</v>
      </c>
      <c r="J1288">
        <v>0</v>
      </c>
      <c r="K1288" t="str">
        <f t="shared" si="60"/>
        <v>Jun-2024</v>
      </c>
      <c r="L1288" s="1">
        <f t="shared" ca="1" si="61"/>
        <v>13</v>
      </c>
      <c r="M1288" t="str">
        <f t="shared" si="62"/>
        <v>36-45</v>
      </c>
    </row>
    <row r="1289" spans="1:13" x14ac:dyDescent="0.2">
      <c r="A1289" t="s">
        <v>2577</v>
      </c>
      <c r="B1289" t="s">
        <v>2578</v>
      </c>
      <c r="C1289">
        <v>36</v>
      </c>
      <c r="D1289" t="s">
        <v>20</v>
      </c>
      <c r="E1289" t="s">
        <v>21</v>
      </c>
      <c r="F1289" s="1">
        <v>46108</v>
      </c>
      <c r="G1289" s="1">
        <v>46071</v>
      </c>
      <c r="H1289">
        <v>58</v>
      </c>
      <c r="I1289">
        <v>4</v>
      </c>
      <c r="J1289">
        <v>0</v>
      </c>
      <c r="K1289" t="str">
        <f t="shared" si="60"/>
        <v>Mar-2026</v>
      </c>
      <c r="L1289" s="1">
        <f t="shared" ca="1" si="61"/>
        <v>87</v>
      </c>
      <c r="M1289" t="str">
        <f t="shared" si="62"/>
        <v>36-45</v>
      </c>
    </row>
    <row r="1290" spans="1:13" x14ac:dyDescent="0.2">
      <c r="A1290" t="s">
        <v>2579</v>
      </c>
      <c r="B1290" t="s">
        <v>2580</v>
      </c>
      <c r="C1290">
        <v>33</v>
      </c>
      <c r="D1290" t="s">
        <v>16</v>
      </c>
      <c r="E1290" t="s">
        <v>13</v>
      </c>
      <c r="F1290" s="1">
        <v>45349</v>
      </c>
      <c r="G1290" s="1">
        <v>46115</v>
      </c>
      <c r="H1290">
        <v>49</v>
      </c>
      <c r="I1290">
        <v>5</v>
      </c>
      <c r="J1290">
        <v>0</v>
      </c>
      <c r="K1290" t="str">
        <f t="shared" si="60"/>
        <v>Feb-2024</v>
      </c>
      <c r="L1290" s="1">
        <f t="shared" ca="1" si="61"/>
        <v>43</v>
      </c>
      <c r="M1290" t="str">
        <f t="shared" si="62"/>
        <v>26-35</v>
      </c>
    </row>
    <row r="1291" spans="1:13" x14ac:dyDescent="0.2">
      <c r="A1291" t="s">
        <v>2581</v>
      </c>
      <c r="B1291" t="s">
        <v>2582</v>
      </c>
      <c r="C1291">
        <v>42</v>
      </c>
      <c r="D1291" t="s">
        <v>16</v>
      </c>
      <c r="E1291" t="s">
        <v>21</v>
      </c>
      <c r="F1291" s="1">
        <v>46030</v>
      </c>
      <c r="G1291" s="1">
        <v>46068</v>
      </c>
      <c r="H1291">
        <v>80</v>
      </c>
      <c r="I1291">
        <v>2</v>
      </c>
      <c r="J1291">
        <v>1</v>
      </c>
      <c r="K1291" t="str">
        <f t="shared" si="60"/>
        <v>Jan-2026</v>
      </c>
      <c r="L1291" s="1">
        <f t="shared" ca="1" si="61"/>
        <v>90</v>
      </c>
      <c r="M1291" t="str">
        <f t="shared" si="62"/>
        <v>36-45</v>
      </c>
    </row>
    <row r="1292" spans="1:13" x14ac:dyDescent="0.2">
      <c r="A1292" t="s">
        <v>2583</v>
      </c>
      <c r="B1292" t="s">
        <v>2584</v>
      </c>
      <c r="C1292">
        <v>21</v>
      </c>
      <c r="D1292" t="s">
        <v>16</v>
      </c>
      <c r="E1292" t="s">
        <v>21</v>
      </c>
      <c r="F1292" s="1">
        <v>45525</v>
      </c>
      <c r="G1292" s="1">
        <v>46123</v>
      </c>
      <c r="H1292">
        <v>58</v>
      </c>
      <c r="I1292">
        <v>3</v>
      </c>
      <c r="J1292">
        <v>0</v>
      </c>
      <c r="K1292" t="str">
        <f t="shared" si="60"/>
        <v>Aug-2024</v>
      </c>
      <c r="L1292" s="1">
        <f t="shared" ca="1" si="61"/>
        <v>35</v>
      </c>
      <c r="M1292" t="str">
        <f t="shared" si="62"/>
        <v>18-25</v>
      </c>
    </row>
    <row r="1293" spans="1:13" x14ac:dyDescent="0.2">
      <c r="A1293" t="s">
        <v>2585</v>
      </c>
      <c r="B1293" t="s">
        <v>2586</v>
      </c>
      <c r="C1293">
        <v>31</v>
      </c>
      <c r="D1293" t="s">
        <v>20</v>
      </c>
      <c r="E1293" t="s">
        <v>17</v>
      </c>
      <c r="F1293" s="1">
        <v>45421</v>
      </c>
      <c r="G1293" s="1">
        <v>46081</v>
      </c>
      <c r="H1293">
        <v>35</v>
      </c>
      <c r="I1293">
        <v>10</v>
      </c>
      <c r="J1293">
        <v>1</v>
      </c>
      <c r="K1293" t="str">
        <f t="shared" si="60"/>
        <v>May-2024</v>
      </c>
      <c r="L1293" s="1">
        <f t="shared" ca="1" si="61"/>
        <v>77</v>
      </c>
      <c r="M1293" t="str">
        <f t="shared" si="62"/>
        <v>26-35</v>
      </c>
    </row>
    <row r="1294" spans="1:13" x14ac:dyDescent="0.2">
      <c r="A1294" t="s">
        <v>2587</v>
      </c>
      <c r="B1294" t="s">
        <v>2588</v>
      </c>
      <c r="C1294">
        <v>20</v>
      </c>
      <c r="D1294" t="s">
        <v>16</v>
      </c>
      <c r="E1294" t="s">
        <v>21</v>
      </c>
      <c r="F1294" s="1">
        <v>45728</v>
      </c>
      <c r="G1294" s="1">
        <v>46113</v>
      </c>
      <c r="H1294">
        <v>0</v>
      </c>
      <c r="I1294">
        <v>3</v>
      </c>
      <c r="J1294">
        <v>1</v>
      </c>
      <c r="K1294" t="str">
        <f t="shared" si="60"/>
        <v>Mar-2025</v>
      </c>
      <c r="L1294" s="1">
        <f t="shared" ca="1" si="61"/>
        <v>45</v>
      </c>
      <c r="M1294" t="str">
        <f t="shared" si="62"/>
        <v>18-25</v>
      </c>
    </row>
    <row r="1295" spans="1:13" x14ac:dyDescent="0.2">
      <c r="A1295" t="s">
        <v>2589</v>
      </c>
      <c r="B1295" t="s">
        <v>2590</v>
      </c>
      <c r="C1295">
        <v>24</v>
      </c>
      <c r="D1295" t="s">
        <v>12</v>
      </c>
      <c r="E1295" t="s">
        <v>17</v>
      </c>
      <c r="F1295" s="1">
        <v>45630</v>
      </c>
      <c r="G1295" s="1">
        <v>46127</v>
      </c>
      <c r="H1295">
        <v>15</v>
      </c>
      <c r="I1295">
        <v>7</v>
      </c>
      <c r="J1295">
        <v>0</v>
      </c>
      <c r="K1295" t="str">
        <f t="shared" si="60"/>
        <v>Dec-2024</v>
      </c>
      <c r="L1295" s="1">
        <f t="shared" ca="1" si="61"/>
        <v>31</v>
      </c>
      <c r="M1295" t="str">
        <f t="shared" si="62"/>
        <v>18-25</v>
      </c>
    </row>
    <row r="1296" spans="1:13" x14ac:dyDescent="0.2">
      <c r="A1296" t="s">
        <v>2591</v>
      </c>
      <c r="B1296" t="s">
        <v>2592</v>
      </c>
      <c r="C1296">
        <v>39</v>
      </c>
      <c r="D1296" t="s">
        <v>20</v>
      </c>
      <c r="E1296" t="s">
        <v>13</v>
      </c>
      <c r="F1296" s="1">
        <v>45824</v>
      </c>
      <c r="G1296" s="1">
        <v>46104</v>
      </c>
      <c r="H1296">
        <v>0</v>
      </c>
      <c r="I1296">
        <v>2</v>
      </c>
      <c r="J1296">
        <v>0</v>
      </c>
      <c r="K1296" t="str">
        <f t="shared" si="60"/>
        <v>Jun-2025</v>
      </c>
      <c r="L1296" s="1">
        <f t="shared" ca="1" si="61"/>
        <v>54</v>
      </c>
      <c r="M1296" t="str">
        <f t="shared" si="62"/>
        <v>36-45</v>
      </c>
    </row>
    <row r="1297" spans="1:13" x14ac:dyDescent="0.2">
      <c r="A1297" t="s">
        <v>2593</v>
      </c>
      <c r="B1297" t="s">
        <v>2594</v>
      </c>
      <c r="C1297">
        <v>40</v>
      </c>
      <c r="D1297" t="s">
        <v>20</v>
      </c>
      <c r="E1297" t="s">
        <v>13</v>
      </c>
      <c r="F1297" s="1">
        <v>45775</v>
      </c>
      <c r="G1297" s="1">
        <v>46054</v>
      </c>
      <c r="H1297">
        <v>26</v>
      </c>
      <c r="I1297">
        <v>2</v>
      </c>
      <c r="J1297">
        <v>0</v>
      </c>
      <c r="K1297" t="str">
        <f t="shared" si="60"/>
        <v>Apr-2025</v>
      </c>
      <c r="L1297" s="1">
        <f t="shared" ca="1" si="61"/>
        <v>104</v>
      </c>
      <c r="M1297" t="str">
        <f t="shared" si="62"/>
        <v>36-45</v>
      </c>
    </row>
    <row r="1298" spans="1:13" x14ac:dyDescent="0.2">
      <c r="A1298" t="s">
        <v>2595</v>
      </c>
      <c r="B1298" t="s">
        <v>2596</v>
      </c>
      <c r="C1298">
        <v>36</v>
      </c>
      <c r="D1298" t="s">
        <v>12</v>
      </c>
      <c r="E1298" t="s">
        <v>21</v>
      </c>
      <c r="F1298" s="1">
        <v>45757</v>
      </c>
      <c r="G1298" s="1">
        <v>46058</v>
      </c>
      <c r="H1298">
        <v>62</v>
      </c>
      <c r="I1298">
        <v>2</v>
      </c>
      <c r="J1298">
        <v>1</v>
      </c>
      <c r="K1298" t="str">
        <f t="shared" si="60"/>
        <v>Apr-2025</v>
      </c>
      <c r="L1298" s="1">
        <f t="shared" ca="1" si="61"/>
        <v>100</v>
      </c>
      <c r="M1298" t="str">
        <f t="shared" si="62"/>
        <v>36-45</v>
      </c>
    </row>
    <row r="1299" spans="1:13" x14ac:dyDescent="0.2">
      <c r="A1299" t="s">
        <v>2597</v>
      </c>
      <c r="B1299" t="s">
        <v>2598</v>
      </c>
      <c r="C1299">
        <v>24</v>
      </c>
      <c r="D1299" t="s">
        <v>20</v>
      </c>
      <c r="E1299" t="s">
        <v>17</v>
      </c>
      <c r="F1299" s="1">
        <v>46048</v>
      </c>
      <c r="G1299" s="1">
        <v>46032</v>
      </c>
      <c r="H1299">
        <v>15</v>
      </c>
      <c r="I1299">
        <v>3</v>
      </c>
      <c r="J1299">
        <v>1</v>
      </c>
      <c r="K1299" t="str">
        <f t="shared" si="60"/>
        <v>Jan-2026</v>
      </c>
      <c r="L1299" s="1">
        <f t="shared" ca="1" si="61"/>
        <v>126</v>
      </c>
      <c r="M1299" t="str">
        <f t="shared" si="62"/>
        <v>18-25</v>
      </c>
    </row>
    <row r="1300" spans="1:13" x14ac:dyDescent="0.2">
      <c r="A1300" t="s">
        <v>2599</v>
      </c>
      <c r="B1300" t="s">
        <v>2600</v>
      </c>
      <c r="C1300">
        <v>19</v>
      </c>
      <c r="D1300" t="s">
        <v>16</v>
      </c>
      <c r="E1300" t="s">
        <v>21</v>
      </c>
      <c r="F1300" s="1">
        <v>45751</v>
      </c>
      <c r="G1300" s="1">
        <v>46069</v>
      </c>
      <c r="H1300">
        <v>17</v>
      </c>
      <c r="I1300">
        <v>5</v>
      </c>
      <c r="J1300">
        <v>1</v>
      </c>
      <c r="K1300" t="str">
        <f t="shared" si="60"/>
        <v>Apr-2025</v>
      </c>
      <c r="L1300" s="1">
        <f t="shared" ca="1" si="61"/>
        <v>89</v>
      </c>
      <c r="M1300" t="str">
        <f t="shared" si="62"/>
        <v>18-25</v>
      </c>
    </row>
    <row r="1301" spans="1:13" x14ac:dyDescent="0.2">
      <c r="A1301" t="s">
        <v>2601</v>
      </c>
      <c r="B1301" t="s">
        <v>2602</v>
      </c>
      <c r="C1301">
        <v>27</v>
      </c>
      <c r="D1301" t="s">
        <v>16</v>
      </c>
      <c r="E1301" t="s">
        <v>21</v>
      </c>
      <c r="F1301" s="1">
        <v>46011</v>
      </c>
      <c r="G1301" s="1">
        <v>46036</v>
      </c>
      <c r="H1301">
        <v>44</v>
      </c>
      <c r="I1301">
        <v>1</v>
      </c>
      <c r="J1301">
        <v>1</v>
      </c>
      <c r="K1301" t="str">
        <f t="shared" si="60"/>
        <v>Dec-2025</v>
      </c>
      <c r="L1301" s="1">
        <f t="shared" ca="1" si="61"/>
        <v>122</v>
      </c>
      <c r="M1301" t="str">
        <f t="shared" si="62"/>
        <v>26-35</v>
      </c>
    </row>
    <row r="1302" spans="1:13" x14ac:dyDescent="0.2">
      <c r="A1302" t="s">
        <v>2603</v>
      </c>
      <c r="B1302" t="s">
        <v>2604</v>
      </c>
      <c r="C1302">
        <v>22</v>
      </c>
      <c r="D1302" t="s">
        <v>12</v>
      </c>
      <c r="E1302" t="s">
        <v>21</v>
      </c>
      <c r="F1302" s="1">
        <v>45577</v>
      </c>
      <c r="G1302" s="1">
        <v>46086</v>
      </c>
      <c r="H1302">
        <v>20</v>
      </c>
      <c r="I1302">
        <v>6</v>
      </c>
      <c r="J1302">
        <v>1</v>
      </c>
      <c r="K1302" t="str">
        <f t="shared" si="60"/>
        <v>Oct-2024</v>
      </c>
      <c r="L1302" s="1">
        <f t="shared" ca="1" si="61"/>
        <v>72</v>
      </c>
      <c r="M1302" t="str">
        <f t="shared" si="62"/>
        <v>18-25</v>
      </c>
    </row>
    <row r="1303" spans="1:13" x14ac:dyDescent="0.2">
      <c r="A1303" t="s">
        <v>2605</v>
      </c>
      <c r="B1303" t="s">
        <v>2606</v>
      </c>
      <c r="C1303">
        <v>27</v>
      </c>
      <c r="D1303" t="s">
        <v>16</v>
      </c>
      <c r="E1303" t="s">
        <v>21</v>
      </c>
      <c r="F1303" s="1">
        <v>45296</v>
      </c>
      <c r="G1303" s="1">
        <v>46098</v>
      </c>
      <c r="H1303">
        <v>19</v>
      </c>
      <c r="I1303">
        <v>4</v>
      </c>
      <c r="J1303">
        <v>0</v>
      </c>
      <c r="K1303" t="str">
        <f t="shared" si="60"/>
        <v>Jan-2024</v>
      </c>
      <c r="L1303" s="1">
        <f t="shared" ca="1" si="61"/>
        <v>60</v>
      </c>
      <c r="M1303" t="str">
        <f t="shared" si="62"/>
        <v>26-35</v>
      </c>
    </row>
    <row r="1304" spans="1:13" x14ac:dyDescent="0.2">
      <c r="A1304" t="s">
        <v>2607</v>
      </c>
      <c r="B1304" t="s">
        <v>2608</v>
      </c>
      <c r="C1304">
        <v>40</v>
      </c>
      <c r="D1304" t="s">
        <v>16</v>
      </c>
      <c r="E1304" t="s">
        <v>21</v>
      </c>
      <c r="F1304" s="1">
        <v>45916</v>
      </c>
      <c r="G1304" s="1">
        <v>46078</v>
      </c>
      <c r="H1304">
        <v>74</v>
      </c>
      <c r="I1304">
        <v>9</v>
      </c>
      <c r="J1304">
        <v>0</v>
      </c>
      <c r="K1304" t="str">
        <f t="shared" si="60"/>
        <v>Sep-2025</v>
      </c>
      <c r="L1304" s="1">
        <f t="shared" ca="1" si="61"/>
        <v>80</v>
      </c>
      <c r="M1304" t="str">
        <f t="shared" si="62"/>
        <v>36-45</v>
      </c>
    </row>
    <row r="1305" spans="1:13" x14ac:dyDescent="0.2">
      <c r="A1305" t="s">
        <v>2609</v>
      </c>
      <c r="B1305" t="s">
        <v>2610</v>
      </c>
      <c r="C1305">
        <v>35</v>
      </c>
      <c r="D1305" t="s">
        <v>12</v>
      </c>
      <c r="E1305" t="s">
        <v>21</v>
      </c>
      <c r="F1305" s="1">
        <v>45891</v>
      </c>
      <c r="G1305" s="1">
        <v>46111</v>
      </c>
      <c r="H1305">
        <v>37</v>
      </c>
      <c r="I1305">
        <v>3</v>
      </c>
      <c r="J1305">
        <v>0</v>
      </c>
      <c r="K1305" t="str">
        <f t="shared" si="60"/>
        <v>Aug-2025</v>
      </c>
      <c r="L1305" s="1">
        <f t="shared" ca="1" si="61"/>
        <v>47</v>
      </c>
      <c r="M1305" t="str">
        <f t="shared" si="62"/>
        <v>26-35</v>
      </c>
    </row>
    <row r="1306" spans="1:13" x14ac:dyDescent="0.2">
      <c r="A1306" t="s">
        <v>2611</v>
      </c>
      <c r="B1306" t="s">
        <v>2612</v>
      </c>
      <c r="C1306">
        <v>24</v>
      </c>
      <c r="D1306" t="s">
        <v>20</v>
      </c>
      <c r="E1306" t="s">
        <v>21</v>
      </c>
      <c r="F1306" s="1">
        <v>45810</v>
      </c>
      <c r="G1306" s="1">
        <v>46139</v>
      </c>
      <c r="H1306">
        <v>16</v>
      </c>
      <c r="I1306">
        <v>3</v>
      </c>
      <c r="J1306">
        <v>1</v>
      </c>
      <c r="K1306" t="str">
        <f t="shared" si="60"/>
        <v>Jun-2025</v>
      </c>
      <c r="L1306" s="1">
        <f t="shared" ca="1" si="61"/>
        <v>19</v>
      </c>
      <c r="M1306" t="str">
        <f t="shared" si="62"/>
        <v>18-25</v>
      </c>
    </row>
    <row r="1307" spans="1:13" x14ac:dyDescent="0.2">
      <c r="A1307" t="s">
        <v>2613</v>
      </c>
      <c r="B1307" t="s">
        <v>1505</v>
      </c>
      <c r="C1307">
        <v>30</v>
      </c>
      <c r="D1307" t="s">
        <v>16</v>
      </c>
      <c r="E1307" t="s">
        <v>21</v>
      </c>
      <c r="F1307" s="1">
        <v>46022</v>
      </c>
      <c r="G1307" s="1">
        <v>46082</v>
      </c>
      <c r="H1307">
        <v>35</v>
      </c>
      <c r="I1307">
        <v>3</v>
      </c>
      <c r="J1307">
        <v>1</v>
      </c>
      <c r="K1307" t="str">
        <f t="shared" si="60"/>
        <v>Dec-2025</v>
      </c>
      <c r="L1307" s="1">
        <f t="shared" ca="1" si="61"/>
        <v>76</v>
      </c>
      <c r="M1307" t="str">
        <f t="shared" si="62"/>
        <v>26-35</v>
      </c>
    </row>
    <row r="1308" spans="1:13" x14ac:dyDescent="0.2">
      <c r="A1308" t="s">
        <v>2614</v>
      </c>
      <c r="B1308" t="s">
        <v>2615</v>
      </c>
      <c r="C1308">
        <v>25</v>
      </c>
      <c r="D1308" t="s">
        <v>16</v>
      </c>
      <c r="E1308" t="s">
        <v>21</v>
      </c>
      <c r="F1308" s="1">
        <v>45813</v>
      </c>
      <c r="G1308" s="1">
        <v>46107</v>
      </c>
      <c r="H1308">
        <v>77</v>
      </c>
      <c r="I1308">
        <v>7</v>
      </c>
      <c r="J1308">
        <v>1</v>
      </c>
      <c r="K1308" t="str">
        <f t="shared" si="60"/>
        <v>Jun-2025</v>
      </c>
      <c r="L1308" s="1">
        <f t="shared" ca="1" si="61"/>
        <v>51</v>
      </c>
      <c r="M1308" t="str">
        <f t="shared" si="62"/>
        <v>18-25</v>
      </c>
    </row>
    <row r="1309" spans="1:13" x14ac:dyDescent="0.2">
      <c r="A1309" t="s">
        <v>2616</v>
      </c>
      <c r="B1309" t="s">
        <v>2617</v>
      </c>
      <c r="C1309">
        <v>52</v>
      </c>
      <c r="D1309" t="s">
        <v>20</v>
      </c>
      <c r="E1309" t="s">
        <v>17</v>
      </c>
      <c r="F1309" s="1">
        <v>45590</v>
      </c>
      <c r="G1309" s="1">
        <v>46078</v>
      </c>
      <c r="H1309">
        <v>19</v>
      </c>
      <c r="I1309">
        <v>7</v>
      </c>
      <c r="J1309">
        <v>0</v>
      </c>
      <c r="K1309" t="str">
        <f t="shared" si="60"/>
        <v>Oct-2024</v>
      </c>
      <c r="L1309" s="1">
        <f t="shared" ca="1" si="61"/>
        <v>80</v>
      </c>
      <c r="M1309" t="str">
        <f t="shared" si="62"/>
        <v>46+</v>
      </c>
    </row>
    <row r="1310" spans="1:13" x14ac:dyDescent="0.2">
      <c r="A1310" t="s">
        <v>2618</v>
      </c>
      <c r="B1310" t="s">
        <v>2619</v>
      </c>
      <c r="C1310">
        <v>51</v>
      </c>
      <c r="D1310" t="s">
        <v>12</v>
      </c>
      <c r="E1310" t="s">
        <v>21</v>
      </c>
      <c r="F1310" s="1">
        <v>46109</v>
      </c>
      <c r="G1310" s="1">
        <v>46121</v>
      </c>
      <c r="H1310">
        <v>55</v>
      </c>
      <c r="I1310">
        <v>10</v>
      </c>
      <c r="J1310">
        <v>0</v>
      </c>
      <c r="K1310" t="str">
        <f t="shared" si="60"/>
        <v>Mar-2026</v>
      </c>
      <c r="L1310" s="1">
        <f t="shared" ca="1" si="61"/>
        <v>37</v>
      </c>
      <c r="M1310" t="str">
        <f t="shared" si="62"/>
        <v>46+</v>
      </c>
    </row>
    <row r="1311" spans="1:13" x14ac:dyDescent="0.2">
      <c r="A1311" t="s">
        <v>2620</v>
      </c>
      <c r="B1311" t="s">
        <v>2621</v>
      </c>
      <c r="C1311">
        <v>58</v>
      </c>
      <c r="D1311" t="s">
        <v>20</v>
      </c>
      <c r="E1311" t="s">
        <v>13</v>
      </c>
      <c r="F1311" s="1">
        <v>45977</v>
      </c>
      <c r="G1311" s="1">
        <v>46130</v>
      </c>
      <c r="H1311">
        <v>6</v>
      </c>
      <c r="I1311">
        <v>10</v>
      </c>
      <c r="J1311">
        <v>0</v>
      </c>
      <c r="K1311" t="str">
        <f t="shared" si="60"/>
        <v>Nov-2025</v>
      </c>
      <c r="L1311" s="1">
        <f t="shared" ca="1" si="61"/>
        <v>28</v>
      </c>
      <c r="M1311" t="str">
        <f t="shared" si="62"/>
        <v>46+</v>
      </c>
    </row>
    <row r="1312" spans="1:13" x14ac:dyDescent="0.2">
      <c r="A1312" t="s">
        <v>2622</v>
      </c>
      <c r="B1312" t="s">
        <v>2623</v>
      </c>
      <c r="C1312">
        <v>21</v>
      </c>
      <c r="D1312" t="s">
        <v>20</v>
      </c>
      <c r="E1312" t="s">
        <v>17</v>
      </c>
      <c r="F1312" s="1">
        <v>45436</v>
      </c>
      <c r="G1312" s="1">
        <v>46068</v>
      </c>
      <c r="H1312">
        <v>50</v>
      </c>
      <c r="I1312">
        <v>9</v>
      </c>
      <c r="J1312">
        <v>0</v>
      </c>
      <c r="K1312" t="str">
        <f t="shared" si="60"/>
        <v>May-2024</v>
      </c>
      <c r="L1312" s="1">
        <f t="shared" ca="1" si="61"/>
        <v>90</v>
      </c>
      <c r="M1312" t="str">
        <f t="shared" si="62"/>
        <v>18-25</v>
      </c>
    </row>
    <row r="1313" spans="1:13" x14ac:dyDescent="0.2">
      <c r="A1313" t="s">
        <v>2624</v>
      </c>
      <c r="B1313" t="s">
        <v>2625</v>
      </c>
      <c r="C1313">
        <v>22</v>
      </c>
      <c r="D1313" t="s">
        <v>12</v>
      </c>
      <c r="E1313" t="s">
        <v>17</v>
      </c>
      <c r="F1313" s="1">
        <v>45496</v>
      </c>
      <c r="G1313" s="1">
        <v>46131</v>
      </c>
      <c r="H1313">
        <v>17</v>
      </c>
      <c r="I1313">
        <v>10</v>
      </c>
      <c r="J1313">
        <v>0</v>
      </c>
      <c r="K1313" t="str">
        <f t="shared" si="60"/>
        <v>Jul-2024</v>
      </c>
      <c r="L1313" s="1">
        <f t="shared" ca="1" si="61"/>
        <v>27</v>
      </c>
      <c r="M1313" t="str">
        <f t="shared" si="62"/>
        <v>18-25</v>
      </c>
    </row>
    <row r="1314" spans="1:13" x14ac:dyDescent="0.2">
      <c r="A1314" t="s">
        <v>2626</v>
      </c>
      <c r="B1314" t="s">
        <v>2627</v>
      </c>
      <c r="C1314">
        <v>60</v>
      </c>
      <c r="D1314" t="s">
        <v>12</v>
      </c>
      <c r="E1314" t="s">
        <v>17</v>
      </c>
      <c r="F1314" s="1">
        <v>46096</v>
      </c>
      <c r="G1314" s="1">
        <v>46107</v>
      </c>
      <c r="H1314">
        <v>25</v>
      </c>
      <c r="I1314">
        <v>3</v>
      </c>
      <c r="J1314">
        <v>1</v>
      </c>
      <c r="K1314" t="str">
        <f t="shared" si="60"/>
        <v>Mar-2026</v>
      </c>
      <c r="L1314" s="1">
        <f t="shared" ca="1" si="61"/>
        <v>51</v>
      </c>
      <c r="M1314" t="str">
        <f t="shared" si="62"/>
        <v>46+</v>
      </c>
    </row>
    <row r="1315" spans="1:13" x14ac:dyDescent="0.2">
      <c r="A1315" t="s">
        <v>2628</v>
      </c>
      <c r="B1315" t="s">
        <v>2629</v>
      </c>
      <c r="C1315">
        <v>35</v>
      </c>
      <c r="D1315" t="s">
        <v>12</v>
      </c>
      <c r="E1315" t="s">
        <v>17</v>
      </c>
      <c r="F1315" s="1">
        <v>45669</v>
      </c>
      <c r="G1315" s="1">
        <v>46030</v>
      </c>
      <c r="H1315">
        <v>41</v>
      </c>
      <c r="I1315">
        <v>8</v>
      </c>
      <c r="J1315">
        <v>0</v>
      </c>
      <c r="K1315" t="str">
        <f t="shared" si="60"/>
        <v>Jan-2025</v>
      </c>
      <c r="L1315" s="1">
        <f t="shared" ca="1" si="61"/>
        <v>128</v>
      </c>
      <c r="M1315" t="str">
        <f t="shared" si="62"/>
        <v>26-35</v>
      </c>
    </row>
    <row r="1316" spans="1:13" x14ac:dyDescent="0.2">
      <c r="A1316" t="s">
        <v>2630</v>
      </c>
      <c r="B1316" t="s">
        <v>2631</v>
      </c>
      <c r="C1316">
        <v>35</v>
      </c>
      <c r="D1316" t="s">
        <v>12</v>
      </c>
      <c r="E1316" t="s">
        <v>17</v>
      </c>
      <c r="F1316" s="1">
        <v>45347</v>
      </c>
      <c r="G1316" s="1">
        <v>46082</v>
      </c>
      <c r="H1316">
        <v>61</v>
      </c>
      <c r="I1316">
        <v>8</v>
      </c>
      <c r="J1316">
        <v>0</v>
      </c>
      <c r="K1316" t="str">
        <f t="shared" si="60"/>
        <v>Feb-2024</v>
      </c>
      <c r="L1316" s="1">
        <f t="shared" ca="1" si="61"/>
        <v>76</v>
      </c>
      <c r="M1316" t="str">
        <f t="shared" si="62"/>
        <v>26-35</v>
      </c>
    </row>
    <row r="1317" spans="1:13" x14ac:dyDescent="0.2">
      <c r="A1317" t="s">
        <v>2632</v>
      </c>
      <c r="B1317" t="s">
        <v>2633</v>
      </c>
      <c r="C1317">
        <v>30</v>
      </c>
      <c r="D1317" t="s">
        <v>20</v>
      </c>
      <c r="E1317" t="s">
        <v>13</v>
      </c>
      <c r="F1317" s="1">
        <v>46089</v>
      </c>
      <c r="G1317" s="1">
        <v>46134</v>
      </c>
      <c r="H1317">
        <v>63</v>
      </c>
      <c r="I1317">
        <v>5</v>
      </c>
      <c r="J1317">
        <v>0</v>
      </c>
      <c r="K1317" t="str">
        <f t="shared" si="60"/>
        <v>Mar-2026</v>
      </c>
      <c r="L1317" s="1">
        <f t="shared" ca="1" si="61"/>
        <v>24</v>
      </c>
      <c r="M1317" t="str">
        <f t="shared" si="62"/>
        <v>26-35</v>
      </c>
    </row>
    <row r="1318" spans="1:13" x14ac:dyDescent="0.2">
      <c r="A1318" t="s">
        <v>2634</v>
      </c>
      <c r="B1318" t="s">
        <v>2635</v>
      </c>
      <c r="C1318">
        <v>46</v>
      </c>
      <c r="D1318" t="s">
        <v>16</v>
      </c>
      <c r="E1318" t="s">
        <v>21</v>
      </c>
      <c r="F1318" s="1">
        <v>45852</v>
      </c>
      <c r="G1318" s="1">
        <v>46119</v>
      </c>
      <c r="H1318">
        <v>47</v>
      </c>
      <c r="I1318">
        <v>3</v>
      </c>
      <c r="J1318">
        <v>1</v>
      </c>
      <c r="K1318" t="str">
        <f t="shared" si="60"/>
        <v>Jul-2025</v>
      </c>
      <c r="L1318" s="1">
        <f t="shared" ca="1" si="61"/>
        <v>39</v>
      </c>
      <c r="M1318" t="str">
        <f t="shared" si="62"/>
        <v>46+</v>
      </c>
    </row>
    <row r="1319" spans="1:13" x14ac:dyDescent="0.2">
      <c r="A1319" t="s">
        <v>2636</v>
      </c>
      <c r="B1319" t="s">
        <v>2637</v>
      </c>
      <c r="C1319">
        <v>48</v>
      </c>
      <c r="D1319" t="s">
        <v>12</v>
      </c>
      <c r="E1319" t="s">
        <v>21</v>
      </c>
      <c r="F1319" s="1">
        <v>45630</v>
      </c>
      <c r="G1319" s="1">
        <v>46030</v>
      </c>
      <c r="H1319">
        <v>10</v>
      </c>
      <c r="I1319">
        <v>10</v>
      </c>
      <c r="J1319">
        <v>0</v>
      </c>
      <c r="K1319" t="str">
        <f t="shared" si="60"/>
        <v>Dec-2024</v>
      </c>
      <c r="L1319" s="1">
        <f t="shared" ca="1" si="61"/>
        <v>128</v>
      </c>
      <c r="M1319" t="str">
        <f t="shared" si="62"/>
        <v>46+</v>
      </c>
    </row>
    <row r="1320" spans="1:13" x14ac:dyDescent="0.2">
      <c r="A1320" t="s">
        <v>2638</v>
      </c>
      <c r="B1320" t="s">
        <v>2639</v>
      </c>
      <c r="C1320">
        <v>49</v>
      </c>
      <c r="D1320" t="s">
        <v>12</v>
      </c>
      <c r="E1320" t="s">
        <v>17</v>
      </c>
      <c r="F1320" s="1">
        <v>45328</v>
      </c>
      <c r="G1320" s="1">
        <v>46045</v>
      </c>
      <c r="H1320">
        <v>51</v>
      </c>
      <c r="I1320">
        <v>8</v>
      </c>
      <c r="J1320">
        <v>0</v>
      </c>
      <c r="K1320" t="str">
        <f t="shared" si="60"/>
        <v>Feb-2024</v>
      </c>
      <c r="L1320" s="1">
        <f t="shared" ca="1" si="61"/>
        <v>113</v>
      </c>
      <c r="M1320" t="str">
        <f t="shared" si="62"/>
        <v>46+</v>
      </c>
    </row>
    <row r="1321" spans="1:13" x14ac:dyDescent="0.2">
      <c r="A1321" t="s">
        <v>2640</v>
      </c>
      <c r="B1321" t="s">
        <v>2641</v>
      </c>
      <c r="C1321">
        <v>35</v>
      </c>
      <c r="D1321" t="s">
        <v>12</v>
      </c>
      <c r="E1321" t="s">
        <v>13</v>
      </c>
      <c r="F1321" s="1">
        <v>46010</v>
      </c>
      <c r="G1321" s="1">
        <v>46061</v>
      </c>
      <c r="H1321">
        <v>5</v>
      </c>
      <c r="I1321">
        <v>9</v>
      </c>
      <c r="J1321">
        <v>1</v>
      </c>
      <c r="K1321" t="str">
        <f t="shared" si="60"/>
        <v>Dec-2025</v>
      </c>
      <c r="L1321" s="1">
        <f t="shared" ca="1" si="61"/>
        <v>97</v>
      </c>
      <c r="M1321" t="str">
        <f t="shared" si="62"/>
        <v>26-35</v>
      </c>
    </row>
    <row r="1322" spans="1:13" x14ac:dyDescent="0.2">
      <c r="A1322" t="s">
        <v>2642</v>
      </c>
      <c r="B1322" t="s">
        <v>2643</v>
      </c>
      <c r="C1322">
        <v>29</v>
      </c>
      <c r="D1322" t="s">
        <v>12</v>
      </c>
      <c r="E1322" t="s">
        <v>21</v>
      </c>
      <c r="F1322" s="1">
        <v>45652</v>
      </c>
      <c r="G1322" s="1">
        <v>46117</v>
      </c>
      <c r="H1322">
        <v>69</v>
      </c>
      <c r="I1322">
        <v>2</v>
      </c>
      <c r="J1322">
        <v>0</v>
      </c>
      <c r="K1322" t="str">
        <f t="shared" si="60"/>
        <v>Dec-2024</v>
      </c>
      <c r="L1322" s="1">
        <f t="shared" ca="1" si="61"/>
        <v>41</v>
      </c>
      <c r="M1322" t="str">
        <f t="shared" si="62"/>
        <v>26-35</v>
      </c>
    </row>
    <row r="1323" spans="1:13" x14ac:dyDescent="0.2">
      <c r="A1323" t="s">
        <v>2644</v>
      </c>
      <c r="B1323" t="s">
        <v>2645</v>
      </c>
      <c r="C1323">
        <v>28</v>
      </c>
      <c r="D1323" t="s">
        <v>20</v>
      </c>
      <c r="E1323" t="s">
        <v>21</v>
      </c>
      <c r="F1323" s="1">
        <v>46071</v>
      </c>
      <c r="G1323" s="1">
        <v>46062</v>
      </c>
      <c r="H1323">
        <v>45</v>
      </c>
      <c r="I1323">
        <v>9</v>
      </c>
      <c r="J1323">
        <v>1</v>
      </c>
      <c r="K1323" t="str">
        <f t="shared" si="60"/>
        <v>Feb-2026</v>
      </c>
      <c r="L1323" s="1">
        <f t="shared" ca="1" si="61"/>
        <v>96</v>
      </c>
      <c r="M1323" t="str">
        <f t="shared" si="62"/>
        <v>26-35</v>
      </c>
    </row>
    <row r="1324" spans="1:13" x14ac:dyDescent="0.2">
      <c r="A1324" t="s">
        <v>2646</v>
      </c>
      <c r="B1324" t="s">
        <v>2647</v>
      </c>
      <c r="C1324">
        <v>60</v>
      </c>
      <c r="D1324" t="s">
        <v>16</v>
      </c>
      <c r="E1324" t="s">
        <v>13</v>
      </c>
      <c r="F1324" s="1">
        <v>45814</v>
      </c>
      <c r="G1324" s="1">
        <v>46070</v>
      </c>
      <c r="H1324">
        <v>44</v>
      </c>
      <c r="I1324">
        <v>8</v>
      </c>
      <c r="J1324">
        <v>0</v>
      </c>
      <c r="K1324" t="str">
        <f t="shared" si="60"/>
        <v>Jun-2025</v>
      </c>
      <c r="L1324" s="1">
        <f t="shared" ca="1" si="61"/>
        <v>88</v>
      </c>
      <c r="M1324" t="str">
        <f t="shared" si="62"/>
        <v>46+</v>
      </c>
    </row>
    <row r="1325" spans="1:13" x14ac:dyDescent="0.2">
      <c r="A1325" t="s">
        <v>2648</v>
      </c>
      <c r="B1325" t="s">
        <v>2649</v>
      </c>
      <c r="C1325">
        <v>35</v>
      </c>
      <c r="D1325" t="s">
        <v>20</v>
      </c>
      <c r="E1325" t="s">
        <v>13</v>
      </c>
      <c r="F1325" s="1">
        <v>45598</v>
      </c>
      <c r="G1325" s="1">
        <v>46067</v>
      </c>
      <c r="H1325">
        <v>13</v>
      </c>
      <c r="I1325">
        <v>1</v>
      </c>
      <c r="J1325">
        <v>1</v>
      </c>
      <c r="K1325" t="str">
        <f t="shared" si="60"/>
        <v>Nov-2024</v>
      </c>
      <c r="L1325" s="1">
        <f t="shared" ca="1" si="61"/>
        <v>91</v>
      </c>
      <c r="M1325" t="str">
        <f t="shared" si="62"/>
        <v>26-35</v>
      </c>
    </row>
    <row r="1326" spans="1:13" x14ac:dyDescent="0.2">
      <c r="A1326" t="s">
        <v>2650</v>
      </c>
      <c r="B1326" t="s">
        <v>2651</v>
      </c>
      <c r="C1326">
        <v>55</v>
      </c>
      <c r="D1326" t="s">
        <v>16</v>
      </c>
      <c r="E1326" t="s">
        <v>17</v>
      </c>
      <c r="F1326" s="1">
        <v>45247</v>
      </c>
      <c r="G1326" s="1">
        <v>46035</v>
      </c>
      <c r="H1326">
        <v>34</v>
      </c>
      <c r="I1326">
        <v>10</v>
      </c>
      <c r="J1326">
        <v>0</v>
      </c>
      <c r="K1326" t="str">
        <f t="shared" si="60"/>
        <v>Nov-2023</v>
      </c>
      <c r="L1326" s="1">
        <f t="shared" ca="1" si="61"/>
        <v>123</v>
      </c>
      <c r="M1326" t="str">
        <f t="shared" si="62"/>
        <v>46+</v>
      </c>
    </row>
    <row r="1327" spans="1:13" x14ac:dyDescent="0.2">
      <c r="A1327" t="s">
        <v>2652</v>
      </c>
      <c r="B1327" t="s">
        <v>2653</v>
      </c>
      <c r="C1327">
        <v>51</v>
      </c>
      <c r="D1327" t="s">
        <v>12</v>
      </c>
      <c r="E1327" t="s">
        <v>13</v>
      </c>
      <c r="F1327" s="1">
        <v>45203</v>
      </c>
      <c r="G1327" s="1">
        <v>46084</v>
      </c>
      <c r="H1327">
        <v>77</v>
      </c>
      <c r="I1327">
        <v>6</v>
      </c>
      <c r="J1327">
        <v>0</v>
      </c>
      <c r="K1327" t="str">
        <f t="shared" si="60"/>
        <v>Oct-2023</v>
      </c>
      <c r="L1327" s="1">
        <f t="shared" ca="1" si="61"/>
        <v>74</v>
      </c>
      <c r="M1327" t="str">
        <f t="shared" si="62"/>
        <v>46+</v>
      </c>
    </row>
    <row r="1328" spans="1:13" x14ac:dyDescent="0.2">
      <c r="A1328" t="s">
        <v>2654</v>
      </c>
      <c r="B1328" t="s">
        <v>2655</v>
      </c>
      <c r="C1328">
        <v>54</v>
      </c>
      <c r="D1328" t="s">
        <v>12</v>
      </c>
      <c r="E1328" t="s">
        <v>13</v>
      </c>
      <c r="F1328" s="1">
        <v>46058</v>
      </c>
      <c r="G1328" s="1">
        <v>46142</v>
      </c>
      <c r="H1328">
        <v>5</v>
      </c>
      <c r="I1328">
        <v>6</v>
      </c>
      <c r="J1328">
        <v>0</v>
      </c>
      <c r="K1328" t="str">
        <f t="shared" si="60"/>
        <v>Feb-2026</v>
      </c>
      <c r="L1328" s="1">
        <f t="shared" ca="1" si="61"/>
        <v>16</v>
      </c>
      <c r="M1328" t="str">
        <f t="shared" si="62"/>
        <v>46+</v>
      </c>
    </row>
    <row r="1329" spans="1:13" x14ac:dyDescent="0.2">
      <c r="A1329" t="s">
        <v>2656</v>
      </c>
      <c r="B1329" t="s">
        <v>2657</v>
      </c>
      <c r="C1329">
        <v>31</v>
      </c>
      <c r="D1329" t="s">
        <v>12</v>
      </c>
      <c r="E1329" t="s">
        <v>21</v>
      </c>
      <c r="F1329" s="1">
        <v>45968</v>
      </c>
      <c r="G1329" s="1">
        <v>46131</v>
      </c>
      <c r="H1329">
        <v>46</v>
      </c>
      <c r="I1329">
        <v>1</v>
      </c>
      <c r="J1329">
        <v>0</v>
      </c>
      <c r="K1329" t="str">
        <f t="shared" si="60"/>
        <v>Nov-2025</v>
      </c>
      <c r="L1329" s="1">
        <f t="shared" ca="1" si="61"/>
        <v>27</v>
      </c>
      <c r="M1329" t="str">
        <f t="shared" si="62"/>
        <v>26-35</v>
      </c>
    </row>
    <row r="1330" spans="1:13" x14ac:dyDescent="0.2">
      <c r="A1330" t="s">
        <v>2658</v>
      </c>
      <c r="B1330" t="s">
        <v>2659</v>
      </c>
      <c r="C1330">
        <v>18</v>
      </c>
      <c r="D1330" t="s">
        <v>12</v>
      </c>
      <c r="E1330" t="s">
        <v>21</v>
      </c>
      <c r="F1330" s="1">
        <v>45942</v>
      </c>
      <c r="G1330" s="1">
        <v>46132</v>
      </c>
      <c r="H1330">
        <v>68</v>
      </c>
      <c r="I1330">
        <v>8</v>
      </c>
      <c r="J1330">
        <v>0</v>
      </c>
      <c r="K1330" t="str">
        <f t="shared" si="60"/>
        <v>Oct-2025</v>
      </c>
      <c r="L1330" s="1">
        <f t="shared" ca="1" si="61"/>
        <v>26</v>
      </c>
      <c r="M1330" t="str">
        <f t="shared" si="62"/>
        <v>18-25</v>
      </c>
    </row>
    <row r="1331" spans="1:13" x14ac:dyDescent="0.2">
      <c r="A1331" t="s">
        <v>2660</v>
      </c>
      <c r="B1331" t="s">
        <v>2661</v>
      </c>
      <c r="C1331">
        <v>25</v>
      </c>
      <c r="D1331" t="s">
        <v>12</v>
      </c>
      <c r="E1331" t="s">
        <v>21</v>
      </c>
      <c r="F1331" s="1">
        <v>45403</v>
      </c>
      <c r="G1331" s="1">
        <v>46040</v>
      </c>
      <c r="H1331">
        <v>12</v>
      </c>
      <c r="I1331">
        <v>6</v>
      </c>
      <c r="J1331">
        <v>0</v>
      </c>
      <c r="K1331" t="str">
        <f t="shared" si="60"/>
        <v>Apr-2024</v>
      </c>
      <c r="L1331" s="1">
        <f t="shared" ca="1" si="61"/>
        <v>118</v>
      </c>
      <c r="M1331" t="str">
        <f t="shared" si="62"/>
        <v>18-25</v>
      </c>
    </row>
    <row r="1332" spans="1:13" x14ac:dyDescent="0.2">
      <c r="A1332" t="s">
        <v>2662</v>
      </c>
      <c r="B1332" t="s">
        <v>2663</v>
      </c>
      <c r="C1332">
        <v>50</v>
      </c>
      <c r="D1332" t="s">
        <v>16</v>
      </c>
      <c r="E1332" t="s">
        <v>21</v>
      </c>
      <c r="F1332" s="1">
        <v>45369</v>
      </c>
      <c r="G1332" s="1">
        <v>46090</v>
      </c>
      <c r="H1332">
        <v>55</v>
      </c>
      <c r="I1332">
        <v>6</v>
      </c>
      <c r="J1332">
        <v>0</v>
      </c>
      <c r="K1332" t="str">
        <f t="shared" si="60"/>
        <v>Mar-2024</v>
      </c>
      <c r="L1332" s="1">
        <f t="shared" ca="1" si="61"/>
        <v>68</v>
      </c>
      <c r="M1332" t="str">
        <f t="shared" si="62"/>
        <v>46+</v>
      </c>
    </row>
    <row r="1333" spans="1:13" x14ac:dyDescent="0.2">
      <c r="A1333" t="s">
        <v>2664</v>
      </c>
      <c r="B1333" t="s">
        <v>2665</v>
      </c>
      <c r="C1333">
        <v>56</v>
      </c>
      <c r="D1333" t="s">
        <v>16</v>
      </c>
      <c r="E1333" t="s">
        <v>21</v>
      </c>
      <c r="F1333" s="1">
        <v>45534</v>
      </c>
      <c r="G1333" s="1">
        <v>46134</v>
      </c>
      <c r="H1333">
        <v>58</v>
      </c>
      <c r="I1333">
        <v>3</v>
      </c>
      <c r="J1333">
        <v>1</v>
      </c>
      <c r="K1333" t="str">
        <f t="shared" si="60"/>
        <v>Aug-2024</v>
      </c>
      <c r="L1333" s="1">
        <f t="shared" ca="1" si="61"/>
        <v>24</v>
      </c>
      <c r="M1333" t="str">
        <f t="shared" si="62"/>
        <v>46+</v>
      </c>
    </row>
    <row r="1334" spans="1:13" x14ac:dyDescent="0.2">
      <c r="A1334" t="s">
        <v>2666</v>
      </c>
      <c r="B1334" t="s">
        <v>2667</v>
      </c>
      <c r="C1334">
        <v>19</v>
      </c>
      <c r="D1334" t="s">
        <v>16</v>
      </c>
      <c r="E1334" t="s">
        <v>21</v>
      </c>
      <c r="F1334" s="1">
        <v>45213</v>
      </c>
      <c r="G1334" s="1">
        <v>46038</v>
      </c>
      <c r="H1334">
        <v>48</v>
      </c>
      <c r="I1334">
        <v>2</v>
      </c>
      <c r="J1334">
        <v>1</v>
      </c>
      <c r="K1334" t="str">
        <f t="shared" si="60"/>
        <v>Oct-2023</v>
      </c>
      <c r="L1334" s="1">
        <f t="shared" ca="1" si="61"/>
        <v>120</v>
      </c>
      <c r="M1334" t="str">
        <f t="shared" si="62"/>
        <v>18-25</v>
      </c>
    </row>
    <row r="1335" spans="1:13" x14ac:dyDescent="0.2">
      <c r="A1335" t="s">
        <v>2668</v>
      </c>
      <c r="B1335" t="s">
        <v>2669</v>
      </c>
      <c r="C1335">
        <v>48</v>
      </c>
      <c r="D1335" t="s">
        <v>16</v>
      </c>
      <c r="E1335" t="s">
        <v>21</v>
      </c>
      <c r="F1335" s="1">
        <v>46071</v>
      </c>
      <c r="G1335" s="1">
        <v>46122</v>
      </c>
      <c r="H1335">
        <v>14</v>
      </c>
      <c r="I1335">
        <v>3</v>
      </c>
      <c r="J1335">
        <v>0</v>
      </c>
      <c r="K1335" t="str">
        <f t="shared" si="60"/>
        <v>Feb-2026</v>
      </c>
      <c r="L1335" s="1">
        <f t="shared" ca="1" si="61"/>
        <v>36</v>
      </c>
      <c r="M1335" t="str">
        <f t="shared" si="62"/>
        <v>46+</v>
      </c>
    </row>
    <row r="1336" spans="1:13" x14ac:dyDescent="0.2">
      <c r="A1336" t="s">
        <v>2670</v>
      </c>
      <c r="B1336" t="s">
        <v>2671</v>
      </c>
      <c r="C1336">
        <v>32</v>
      </c>
      <c r="D1336" t="s">
        <v>16</v>
      </c>
      <c r="E1336" t="s">
        <v>17</v>
      </c>
      <c r="F1336" s="1">
        <v>45568</v>
      </c>
      <c r="G1336" s="1">
        <v>46047</v>
      </c>
      <c r="H1336">
        <v>47</v>
      </c>
      <c r="I1336">
        <v>3</v>
      </c>
      <c r="J1336">
        <v>1</v>
      </c>
      <c r="K1336" t="str">
        <f t="shared" si="60"/>
        <v>Oct-2024</v>
      </c>
      <c r="L1336" s="1">
        <f t="shared" ca="1" si="61"/>
        <v>111</v>
      </c>
      <c r="M1336" t="str">
        <f t="shared" si="62"/>
        <v>26-35</v>
      </c>
    </row>
    <row r="1337" spans="1:13" x14ac:dyDescent="0.2">
      <c r="A1337" t="s">
        <v>2672</v>
      </c>
      <c r="B1337" t="s">
        <v>2673</v>
      </c>
      <c r="C1337">
        <v>48</v>
      </c>
      <c r="D1337" t="s">
        <v>16</v>
      </c>
      <c r="E1337" t="s">
        <v>17</v>
      </c>
      <c r="F1337" s="1">
        <v>45350</v>
      </c>
      <c r="G1337" s="1">
        <v>46077</v>
      </c>
      <c r="H1337">
        <v>9</v>
      </c>
      <c r="I1337">
        <v>2</v>
      </c>
      <c r="J1337">
        <v>0</v>
      </c>
      <c r="K1337" t="str">
        <f t="shared" si="60"/>
        <v>Feb-2024</v>
      </c>
      <c r="L1337" s="1">
        <f t="shared" ca="1" si="61"/>
        <v>81</v>
      </c>
      <c r="M1337" t="str">
        <f t="shared" si="62"/>
        <v>46+</v>
      </c>
    </row>
    <row r="1338" spans="1:13" x14ac:dyDescent="0.2">
      <c r="A1338" t="s">
        <v>2674</v>
      </c>
      <c r="B1338" t="s">
        <v>572</v>
      </c>
      <c r="C1338">
        <v>45</v>
      </c>
      <c r="D1338" t="s">
        <v>12</v>
      </c>
      <c r="E1338" t="s">
        <v>13</v>
      </c>
      <c r="F1338" s="1">
        <v>45804</v>
      </c>
      <c r="G1338" s="1">
        <v>46095</v>
      </c>
      <c r="H1338">
        <v>52</v>
      </c>
      <c r="I1338">
        <v>3</v>
      </c>
      <c r="J1338">
        <v>0</v>
      </c>
      <c r="K1338" t="str">
        <f t="shared" si="60"/>
        <v>May-2025</v>
      </c>
      <c r="L1338" s="1">
        <f t="shared" ca="1" si="61"/>
        <v>63</v>
      </c>
      <c r="M1338" t="str">
        <f t="shared" si="62"/>
        <v>36-45</v>
      </c>
    </row>
    <row r="1339" spans="1:13" x14ac:dyDescent="0.2">
      <c r="A1339" t="s">
        <v>2675</v>
      </c>
      <c r="B1339" t="s">
        <v>2676</v>
      </c>
      <c r="C1339">
        <v>57</v>
      </c>
      <c r="D1339" t="s">
        <v>20</v>
      </c>
      <c r="E1339" t="s">
        <v>21</v>
      </c>
      <c r="F1339" s="1">
        <v>45211</v>
      </c>
      <c r="G1339" s="1">
        <v>46124</v>
      </c>
      <c r="H1339">
        <v>56</v>
      </c>
      <c r="I1339">
        <v>10</v>
      </c>
      <c r="J1339">
        <v>0</v>
      </c>
      <c r="K1339" t="str">
        <f t="shared" si="60"/>
        <v>Oct-2023</v>
      </c>
      <c r="L1339" s="1">
        <f t="shared" ca="1" si="61"/>
        <v>34</v>
      </c>
      <c r="M1339" t="str">
        <f t="shared" si="62"/>
        <v>46+</v>
      </c>
    </row>
    <row r="1340" spans="1:13" x14ac:dyDescent="0.2">
      <c r="A1340" t="s">
        <v>2677</v>
      </c>
      <c r="B1340" t="s">
        <v>2678</v>
      </c>
      <c r="C1340">
        <v>47</v>
      </c>
      <c r="D1340" t="s">
        <v>20</v>
      </c>
      <c r="E1340" t="s">
        <v>21</v>
      </c>
      <c r="F1340" s="1">
        <v>45620</v>
      </c>
      <c r="G1340" s="1">
        <v>46132</v>
      </c>
      <c r="H1340">
        <v>5</v>
      </c>
      <c r="I1340">
        <v>5</v>
      </c>
      <c r="J1340">
        <v>0</v>
      </c>
      <c r="K1340" t="str">
        <f t="shared" si="60"/>
        <v>Nov-2024</v>
      </c>
      <c r="L1340" s="1">
        <f t="shared" ca="1" si="61"/>
        <v>26</v>
      </c>
      <c r="M1340" t="str">
        <f t="shared" si="62"/>
        <v>46+</v>
      </c>
    </row>
    <row r="1341" spans="1:13" x14ac:dyDescent="0.2">
      <c r="A1341" t="s">
        <v>2679</v>
      </c>
      <c r="B1341" t="s">
        <v>2680</v>
      </c>
      <c r="C1341">
        <v>35</v>
      </c>
      <c r="D1341" t="s">
        <v>20</v>
      </c>
      <c r="E1341" t="s">
        <v>21</v>
      </c>
      <c r="F1341" s="1">
        <v>45232</v>
      </c>
      <c r="G1341" s="1">
        <v>46097</v>
      </c>
      <c r="H1341">
        <v>23</v>
      </c>
      <c r="I1341">
        <v>5</v>
      </c>
      <c r="J1341">
        <v>0</v>
      </c>
      <c r="K1341" t="str">
        <f t="shared" si="60"/>
        <v>Nov-2023</v>
      </c>
      <c r="L1341" s="1">
        <f t="shared" ca="1" si="61"/>
        <v>61</v>
      </c>
      <c r="M1341" t="str">
        <f t="shared" si="62"/>
        <v>26-35</v>
      </c>
    </row>
    <row r="1342" spans="1:13" x14ac:dyDescent="0.2">
      <c r="A1342" t="s">
        <v>2681</v>
      </c>
      <c r="B1342" t="s">
        <v>2682</v>
      </c>
      <c r="C1342">
        <v>50</v>
      </c>
      <c r="D1342" t="s">
        <v>12</v>
      </c>
      <c r="E1342" t="s">
        <v>21</v>
      </c>
      <c r="F1342" s="1">
        <v>45579</v>
      </c>
      <c r="G1342" s="1">
        <v>46107</v>
      </c>
      <c r="H1342">
        <v>23</v>
      </c>
      <c r="I1342">
        <v>8</v>
      </c>
      <c r="J1342">
        <v>0</v>
      </c>
      <c r="K1342" t="str">
        <f t="shared" si="60"/>
        <v>Oct-2024</v>
      </c>
      <c r="L1342" s="1">
        <f t="shared" ca="1" si="61"/>
        <v>51</v>
      </c>
      <c r="M1342" t="str">
        <f t="shared" si="62"/>
        <v>46+</v>
      </c>
    </row>
    <row r="1343" spans="1:13" x14ac:dyDescent="0.2">
      <c r="A1343" t="s">
        <v>2683</v>
      </c>
      <c r="B1343" t="s">
        <v>2684</v>
      </c>
      <c r="C1343">
        <v>33</v>
      </c>
      <c r="D1343" t="s">
        <v>20</v>
      </c>
      <c r="E1343" t="s">
        <v>13</v>
      </c>
      <c r="F1343" s="1">
        <v>45251</v>
      </c>
      <c r="G1343" s="1">
        <v>46040</v>
      </c>
      <c r="H1343">
        <v>8</v>
      </c>
      <c r="I1343">
        <v>4</v>
      </c>
      <c r="J1343">
        <v>0</v>
      </c>
      <c r="K1343" t="str">
        <f t="shared" si="60"/>
        <v>Nov-2023</v>
      </c>
      <c r="L1343" s="1">
        <f t="shared" ca="1" si="61"/>
        <v>118</v>
      </c>
      <c r="M1343" t="str">
        <f t="shared" si="62"/>
        <v>26-35</v>
      </c>
    </row>
    <row r="1344" spans="1:13" x14ac:dyDescent="0.2">
      <c r="A1344" t="s">
        <v>2685</v>
      </c>
      <c r="B1344" t="s">
        <v>2686</v>
      </c>
      <c r="C1344">
        <v>37</v>
      </c>
      <c r="D1344" t="s">
        <v>16</v>
      </c>
      <c r="E1344" t="s">
        <v>21</v>
      </c>
      <c r="F1344" s="1">
        <v>45672</v>
      </c>
      <c r="G1344" s="1">
        <v>46092</v>
      </c>
      <c r="H1344">
        <v>65</v>
      </c>
      <c r="I1344">
        <v>7</v>
      </c>
      <c r="J1344">
        <v>0</v>
      </c>
      <c r="K1344" t="str">
        <f t="shared" si="60"/>
        <v>Jan-2025</v>
      </c>
      <c r="L1344" s="1">
        <f t="shared" ca="1" si="61"/>
        <v>66</v>
      </c>
      <c r="M1344" t="str">
        <f t="shared" si="62"/>
        <v>36-45</v>
      </c>
    </row>
    <row r="1345" spans="1:13" x14ac:dyDescent="0.2">
      <c r="A1345" t="s">
        <v>2687</v>
      </c>
      <c r="B1345" t="s">
        <v>2688</v>
      </c>
      <c r="C1345">
        <v>52</v>
      </c>
      <c r="D1345" t="s">
        <v>12</v>
      </c>
      <c r="E1345" t="s">
        <v>13</v>
      </c>
      <c r="F1345" s="1">
        <v>45541</v>
      </c>
      <c r="G1345" s="1">
        <v>46055</v>
      </c>
      <c r="H1345">
        <v>65</v>
      </c>
      <c r="I1345">
        <v>10</v>
      </c>
      <c r="J1345">
        <v>0</v>
      </c>
      <c r="K1345" t="str">
        <f t="shared" si="60"/>
        <v>Sep-2024</v>
      </c>
      <c r="L1345" s="1">
        <f t="shared" ca="1" si="61"/>
        <v>103</v>
      </c>
      <c r="M1345" t="str">
        <f t="shared" si="62"/>
        <v>46+</v>
      </c>
    </row>
    <row r="1346" spans="1:13" x14ac:dyDescent="0.2">
      <c r="A1346" t="s">
        <v>2689</v>
      </c>
      <c r="B1346" t="s">
        <v>2690</v>
      </c>
      <c r="C1346">
        <v>53</v>
      </c>
      <c r="D1346" t="s">
        <v>12</v>
      </c>
      <c r="E1346" t="s">
        <v>13</v>
      </c>
      <c r="F1346" s="1">
        <v>45381</v>
      </c>
      <c r="G1346" s="1">
        <v>46042</v>
      </c>
      <c r="H1346">
        <v>23</v>
      </c>
      <c r="I1346">
        <v>3</v>
      </c>
      <c r="J1346">
        <v>0</v>
      </c>
      <c r="K1346" t="str">
        <f t="shared" si="60"/>
        <v>Mar-2024</v>
      </c>
      <c r="L1346" s="1">
        <f t="shared" ca="1" si="61"/>
        <v>116</v>
      </c>
      <c r="M1346" t="str">
        <f t="shared" si="62"/>
        <v>46+</v>
      </c>
    </row>
    <row r="1347" spans="1:13" x14ac:dyDescent="0.2">
      <c r="A1347" t="s">
        <v>2691</v>
      </c>
      <c r="B1347" t="s">
        <v>2692</v>
      </c>
      <c r="C1347">
        <v>37</v>
      </c>
      <c r="D1347" t="s">
        <v>20</v>
      </c>
      <c r="E1347" t="s">
        <v>21</v>
      </c>
      <c r="F1347" s="1">
        <v>45702</v>
      </c>
      <c r="G1347" s="1">
        <v>46057</v>
      </c>
      <c r="H1347">
        <v>79</v>
      </c>
      <c r="I1347">
        <v>8</v>
      </c>
      <c r="J1347">
        <v>1</v>
      </c>
      <c r="K1347" t="str">
        <f t="shared" ref="K1347:K1410" si="63">TEXT(F1347,"MMM-YYYY")</f>
        <v>Feb-2025</v>
      </c>
      <c r="L1347" s="1">
        <f t="shared" ref="L1347:L1410" ca="1" si="64">TODAY()-G1347</f>
        <v>101</v>
      </c>
      <c r="M1347" t="str">
        <f t="shared" ref="M1347:M1410" si="65">IF(C1347&lt;=25,"18-25",IF(C1347&lt;=35,"26-35",IF(C1347&lt;=45,"36-45","46+")))</f>
        <v>36-45</v>
      </c>
    </row>
    <row r="1348" spans="1:13" x14ac:dyDescent="0.2">
      <c r="A1348" t="s">
        <v>2693</v>
      </c>
      <c r="B1348" t="s">
        <v>2694</v>
      </c>
      <c r="C1348">
        <v>42</v>
      </c>
      <c r="D1348" t="s">
        <v>16</v>
      </c>
      <c r="E1348" t="s">
        <v>17</v>
      </c>
      <c r="F1348" s="1">
        <v>45548</v>
      </c>
      <c r="G1348" s="1">
        <v>46103</v>
      </c>
      <c r="H1348">
        <v>69</v>
      </c>
      <c r="I1348">
        <v>8</v>
      </c>
      <c r="J1348">
        <v>1</v>
      </c>
      <c r="K1348" t="str">
        <f t="shared" si="63"/>
        <v>Sep-2024</v>
      </c>
      <c r="L1348" s="1">
        <f t="shared" ca="1" si="64"/>
        <v>55</v>
      </c>
      <c r="M1348" t="str">
        <f t="shared" si="65"/>
        <v>36-45</v>
      </c>
    </row>
    <row r="1349" spans="1:13" x14ac:dyDescent="0.2">
      <c r="A1349" t="s">
        <v>2695</v>
      </c>
      <c r="B1349" t="s">
        <v>2696</v>
      </c>
      <c r="C1349">
        <v>22</v>
      </c>
      <c r="D1349" t="s">
        <v>20</v>
      </c>
      <c r="E1349" t="s">
        <v>21</v>
      </c>
      <c r="F1349" s="1">
        <v>45354</v>
      </c>
      <c r="G1349" s="1">
        <v>46107</v>
      </c>
      <c r="H1349">
        <v>65</v>
      </c>
      <c r="I1349">
        <v>6</v>
      </c>
      <c r="J1349">
        <v>0</v>
      </c>
      <c r="K1349" t="str">
        <f t="shared" si="63"/>
        <v>Mar-2024</v>
      </c>
      <c r="L1349" s="1">
        <f t="shared" ca="1" si="64"/>
        <v>51</v>
      </c>
      <c r="M1349" t="str">
        <f t="shared" si="65"/>
        <v>18-25</v>
      </c>
    </row>
    <row r="1350" spans="1:13" x14ac:dyDescent="0.2">
      <c r="A1350" t="s">
        <v>2697</v>
      </c>
      <c r="B1350" t="s">
        <v>2698</v>
      </c>
      <c r="C1350">
        <v>28</v>
      </c>
      <c r="D1350" t="s">
        <v>20</v>
      </c>
      <c r="E1350" t="s">
        <v>21</v>
      </c>
      <c r="F1350" s="1">
        <v>45961</v>
      </c>
      <c r="G1350" s="1">
        <v>46117</v>
      </c>
      <c r="H1350">
        <v>21</v>
      </c>
      <c r="I1350">
        <v>1</v>
      </c>
      <c r="J1350">
        <v>1</v>
      </c>
      <c r="K1350" t="str">
        <f t="shared" si="63"/>
        <v>Oct-2025</v>
      </c>
      <c r="L1350" s="1">
        <f t="shared" ca="1" si="64"/>
        <v>41</v>
      </c>
      <c r="M1350" t="str">
        <f t="shared" si="65"/>
        <v>26-35</v>
      </c>
    </row>
    <row r="1351" spans="1:13" x14ac:dyDescent="0.2">
      <c r="A1351" t="s">
        <v>2699</v>
      </c>
      <c r="B1351" t="s">
        <v>2700</v>
      </c>
      <c r="C1351">
        <v>47</v>
      </c>
      <c r="D1351" t="s">
        <v>12</v>
      </c>
      <c r="E1351" t="s">
        <v>13</v>
      </c>
      <c r="F1351" s="1">
        <v>45818</v>
      </c>
      <c r="G1351" s="1">
        <v>46037</v>
      </c>
      <c r="H1351">
        <v>8</v>
      </c>
      <c r="I1351">
        <v>7</v>
      </c>
      <c r="J1351">
        <v>1</v>
      </c>
      <c r="K1351" t="str">
        <f t="shared" si="63"/>
        <v>Jun-2025</v>
      </c>
      <c r="L1351" s="1">
        <f t="shared" ca="1" si="64"/>
        <v>121</v>
      </c>
      <c r="M1351" t="str">
        <f t="shared" si="65"/>
        <v>46+</v>
      </c>
    </row>
    <row r="1352" spans="1:13" x14ac:dyDescent="0.2">
      <c r="A1352" t="s">
        <v>2701</v>
      </c>
      <c r="B1352" t="s">
        <v>2702</v>
      </c>
      <c r="C1352">
        <v>50</v>
      </c>
      <c r="D1352" t="s">
        <v>16</v>
      </c>
      <c r="E1352" t="s">
        <v>21</v>
      </c>
      <c r="F1352" s="1">
        <v>45979</v>
      </c>
      <c r="G1352" s="1">
        <v>46119</v>
      </c>
      <c r="H1352">
        <v>24</v>
      </c>
      <c r="I1352">
        <v>6</v>
      </c>
      <c r="J1352">
        <v>0</v>
      </c>
      <c r="K1352" t="str">
        <f t="shared" si="63"/>
        <v>Nov-2025</v>
      </c>
      <c r="L1352" s="1">
        <f t="shared" ca="1" si="64"/>
        <v>39</v>
      </c>
      <c r="M1352" t="str">
        <f t="shared" si="65"/>
        <v>46+</v>
      </c>
    </row>
    <row r="1353" spans="1:13" x14ac:dyDescent="0.2">
      <c r="A1353" t="s">
        <v>2703</v>
      </c>
      <c r="B1353" t="s">
        <v>2704</v>
      </c>
      <c r="C1353">
        <v>41</v>
      </c>
      <c r="D1353" t="s">
        <v>20</v>
      </c>
      <c r="E1353" t="s">
        <v>13</v>
      </c>
      <c r="F1353" s="1">
        <v>45602</v>
      </c>
      <c r="G1353" s="1">
        <v>46055</v>
      </c>
      <c r="H1353">
        <v>51</v>
      </c>
      <c r="I1353">
        <v>7</v>
      </c>
      <c r="J1353">
        <v>0</v>
      </c>
      <c r="K1353" t="str">
        <f t="shared" si="63"/>
        <v>Nov-2024</v>
      </c>
      <c r="L1353" s="1">
        <f t="shared" ca="1" si="64"/>
        <v>103</v>
      </c>
      <c r="M1353" t="str">
        <f t="shared" si="65"/>
        <v>36-45</v>
      </c>
    </row>
    <row r="1354" spans="1:13" x14ac:dyDescent="0.2">
      <c r="A1354" t="s">
        <v>2705</v>
      </c>
      <c r="B1354" t="s">
        <v>2706</v>
      </c>
      <c r="C1354">
        <v>60</v>
      </c>
      <c r="D1354" t="s">
        <v>16</v>
      </c>
      <c r="E1354" t="s">
        <v>17</v>
      </c>
      <c r="F1354" s="1">
        <v>46078</v>
      </c>
      <c r="G1354" s="1">
        <v>46066</v>
      </c>
      <c r="H1354">
        <v>5</v>
      </c>
      <c r="I1354">
        <v>1</v>
      </c>
      <c r="J1354">
        <v>1</v>
      </c>
      <c r="K1354" t="str">
        <f t="shared" si="63"/>
        <v>Feb-2026</v>
      </c>
      <c r="L1354" s="1">
        <f t="shared" ca="1" si="64"/>
        <v>92</v>
      </c>
      <c r="M1354" t="str">
        <f t="shared" si="65"/>
        <v>46+</v>
      </c>
    </row>
    <row r="1355" spans="1:13" x14ac:dyDescent="0.2">
      <c r="A1355" t="s">
        <v>2707</v>
      </c>
      <c r="B1355" t="s">
        <v>2708</v>
      </c>
      <c r="C1355">
        <v>60</v>
      </c>
      <c r="D1355" t="s">
        <v>16</v>
      </c>
      <c r="E1355" t="s">
        <v>13</v>
      </c>
      <c r="F1355" s="1">
        <v>45347</v>
      </c>
      <c r="G1355" s="1">
        <v>46101</v>
      </c>
      <c r="H1355">
        <v>24</v>
      </c>
      <c r="I1355">
        <v>9</v>
      </c>
      <c r="J1355">
        <v>0</v>
      </c>
      <c r="K1355" t="str">
        <f t="shared" si="63"/>
        <v>Feb-2024</v>
      </c>
      <c r="L1355" s="1">
        <f t="shared" ca="1" si="64"/>
        <v>57</v>
      </c>
      <c r="M1355" t="str">
        <f t="shared" si="65"/>
        <v>46+</v>
      </c>
    </row>
    <row r="1356" spans="1:13" x14ac:dyDescent="0.2">
      <c r="A1356" t="s">
        <v>2709</v>
      </c>
      <c r="B1356" t="s">
        <v>2710</v>
      </c>
      <c r="C1356">
        <v>30</v>
      </c>
      <c r="D1356" t="s">
        <v>16</v>
      </c>
      <c r="E1356" t="s">
        <v>13</v>
      </c>
      <c r="F1356" s="1">
        <v>45737</v>
      </c>
      <c r="G1356" s="1">
        <v>46085</v>
      </c>
      <c r="H1356">
        <v>52</v>
      </c>
      <c r="I1356">
        <v>2</v>
      </c>
      <c r="J1356">
        <v>0</v>
      </c>
      <c r="K1356" t="str">
        <f t="shared" si="63"/>
        <v>Mar-2025</v>
      </c>
      <c r="L1356" s="1">
        <f t="shared" ca="1" si="64"/>
        <v>73</v>
      </c>
      <c r="M1356" t="str">
        <f t="shared" si="65"/>
        <v>26-35</v>
      </c>
    </row>
    <row r="1357" spans="1:13" x14ac:dyDescent="0.2">
      <c r="A1357" t="s">
        <v>2711</v>
      </c>
      <c r="B1357" t="s">
        <v>2712</v>
      </c>
      <c r="C1357">
        <v>50</v>
      </c>
      <c r="D1357" t="s">
        <v>20</v>
      </c>
      <c r="E1357" t="s">
        <v>17</v>
      </c>
      <c r="F1357" s="1">
        <v>45464</v>
      </c>
      <c r="G1357" s="1">
        <v>46130</v>
      </c>
      <c r="H1357">
        <v>6</v>
      </c>
      <c r="I1357">
        <v>2</v>
      </c>
      <c r="J1357">
        <v>1</v>
      </c>
      <c r="K1357" t="str">
        <f t="shared" si="63"/>
        <v>Jun-2024</v>
      </c>
      <c r="L1357" s="1">
        <f t="shared" ca="1" si="64"/>
        <v>28</v>
      </c>
      <c r="M1357" t="str">
        <f t="shared" si="65"/>
        <v>46+</v>
      </c>
    </row>
    <row r="1358" spans="1:13" x14ac:dyDescent="0.2">
      <c r="A1358" t="s">
        <v>2713</v>
      </c>
      <c r="B1358" t="s">
        <v>2714</v>
      </c>
      <c r="C1358">
        <v>26</v>
      </c>
      <c r="D1358" t="s">
        <v>20</v>
      </c>
      <c r="E1358" t="s">
        <v>21</v>
      </c>
      <c r="F1358" s="1">
        <v>46092</v>
      </c>
      <c r="G1358" s="1">
        <v>46056</v>
      </c>
      <c r="H1358">
        <v>73</v>
      </c>
      <c r="I1358">
        <v>6</v>
      </c>
      <c r="J1358">
        <v>1</v>
      </c>
      <c r="K1358" t="str">
        <f t="shared" si="63"/>
        <v>Mar-2026</v>
      </c>
      <c r="L1358" s="1">
        <f t="shared" ca="1" si="64"/>
        <v>102</v>
      </c>
      <c r="M1358" t="str">
        <f t="shared" si="65"/>
        <v>26-35</v>
      </c>
    </row>
    <row r="1359" spans="1:13" x14ac:dyDescent="0.2">
      <c r="A1359" t="s">
        <v>2715</v>
      </c>
      <c r="B1359" t="s">
        <v>2716</v>
      </c>
      <c r="C1359">
        <v>46</v>
      </c>
      <c r="D1359" t="s">
        <v>16</v>
      </c>
      <c r="E1359" t="s">
        <v>21</v>
      </c>
      <c r="F1359" s="1">
        <v>45338</v>
      </c>
      <c r="G1359" s="1">
        <v>46112</v>
      </c>
      <c r="H1359">
        <v>61</v>
      </c>
      <c r="I1359">
        <v>9</v>
      </c>
      <c r="J1359">
        <v>0</v>
      </c>
      <c r="K1359" t="str">
        <f t="shared" si="63"/>
        <v>Feb-2024</v>
      </c>
      <c r="L1359" s="1">
        <f t="shared" ca="1" si="64"/>
        <v>46</v>
      </c>
      <c r="M1359" t="str">
        <f t="shared" si="65"/>
        <v>46+</v>
      </c>
    </row>
    <row r="1360" spans="1:13" x14ac:dyDescent="0.2">
      <c r="A1360" t="s">
        <v>2717</v>
      </c>
      <c r="B1360" t="s">
        <v>2718</v>
      </c>
      <c r="C1360">
        <v>20</v>
      </c>
      <c r="D1360" t="s">
        <v>12</v>
      </c>
      <c r="E1360" t="s">
        <v>21</v>
      </c>
      <c r="F1360" s="1">
        <v>45471</v>
      </c>
      <c r="G1360" s="1">
        <v>46137</v>
      </c>
      <c r="H1360">
        <v>62</v>
      </c>
      <c r="I1360">
        <v>9</v>
      </c>
      <c r="J1360">
        <v>0</v>
      </c>
      <c r="K1360" t="str">
        <f t="shared" si="63"/>
        <v>Jun-2024</v>
      </c>
      <c r="L1360" s="1">
        <f t="shared" ca="1" si="64"/>
        <v>21</v>
      </c>
      <c r="M1360" t="str">
        <f t="shared" si="65"/>
        <v>18-25</v>
      </c>
    </row>
    <row r="1361" spans="1:13" x14ac:dyDescent="0.2">
      <c r="A1361" t="s">
        <v>2719</v>
      </c>
      <c r="B1361" t="s">
        <v>2720</v>
      </c>
      <c r="C1361">
        <v>38</v>
      </c>
      <c r="D1361" t="s">
        <v>16</v>
      </c>
      <c r="E1361" t="s">
        <v>13</v>
      </c>
      <c r="F1361" s="1">
        <v>45172</v>
      </c>
      <c r="G1361" s="1">
        <v>46041</v>
      </c>
      <c r="H1361">
        <v>54</v>
      </c>
      <c r="I1361">
        <v>1</v>
      </c>
      <c r="J1361">
        <v>0</v>
      </c>
      <c r="K1361" t="str">
        <f t="shared" si="63"/>
        <v>Sep-2023</v>
      </c>
      <c r="L1361" s="1">
        <f t="shared" ca="1" si="64"/>
        <v>117</v>
      </c>
      <c r="M1361" t="str">
        <f t="shared" si="65"/>
        <v>36-45</v>
      </c>
    </row>
    <row r="1362" spans="1:13" x14ac:dyDescent="0.2">
      <c r="A1362" t="s">
        <v>2721</v>
      </c>
      <c r="B1362" t="s">
        <v>2722</v>
      </c>
      <c r="C1362">
        <v>31</v>
      </c>
      <c r="D1362" t="s">
        <v>20</v>
      </c>
      <c r="E1362" t="s">
        <v>17</v>
      </c>
      <c r="F1362" s="1">
        <v>45632</v>
      </c>
      <c r="G1362" s="1">
        <v>46089</v>
      </c>
      <c r="H1362">
        <v>41</v>
      </c>
      <c r="I1362">
        <v>10</v>
      </c>
      <c r="J1362">
        <v>0</v>
      </c>
      <c r="K1362" t="str">
        <f t="shared" si="63"/>
        <v>Dec-2024</v>
      </c>
      <c r="L1362" s="1">
        <f t="shared" ca="1" si="64"/>
        <v>69</v>
      </c>
      <c r="M1362" t="str">
        <f t="shared" si="65"/>
        <v>26-35</v>
      </c>
    </row>
    <row r="1363" spans="1:13" x14ac:dyDescent="0.2">
      <c r="A1363" t="s">
        <v>2723</v>
      </c>
      <c r="B1363" t="s">
        <v>2724</v>
      </c>
      <c r="C1363">
        <v>19</v>
      </c>
      <c r="D1363" t="s">
        <v>16</v>
      </c>
      <c r="E1363" t="s">
        <v>17</v>
      </c>
      <c r="F1363" s="1">
        <v>45688</v>
      </c>
      <c r="G1363" s="1">
        <v>46054</v>
      </c>
      <c r="H1363">
        <v>20</v>
      </c>
      <c r="I1363">
        <v>3</v>
      </c>
      <c r="J1363">
        <v>1</v>
      </c>
      <c r="K1363" t="str">
        <f t="shared" si="63"/>
        <v>Jan-2025</v>
      </c>
      <c r="L1363" s="1">
        <f t="shared" ca="1" si="64"/>
        <v>104</v>
      </c>
      <c r="M1363" t="str">
        <f t="shared" si="65"/>
        <v>18-25</v>
      </c>
    </row>
    <row r="1364" spans="1:13" x14ac:dyDescent="0.2">
      <c r="A1364" t="s">
        <v>2725</v>
      </c>
      <c r="B1364" t="s">
        <v>2726</v>
      </c>
      <c r="C1364">
        <v>20</v>
      </c>
      <c r="D1364" t="s">
        <v>20</v>
      </c>
      <c r="E1364" t="s">
        <v>17</v>
      </c>
      <c r="F1364" s="1">
        <v>45944</v>
      </c>
      <c r="G1364" s="1">
        <v>46081</v>
      </c>
      <c r="H1364">
        <v>67</v>
      </c>
      <c r="I1364">
        <v>3</v>
      </c>
      <c r="J1364">
        <v>0</v>
      </c>
      <c r="K1364" t="str">
        <f t="shared" si="63"/>
        <v>Oct-2025</v>
      </c>
      <c r="L1364" s="1">
        <f t="shared" ca="1" si="64"/>
        <v>77</v>
      </c>
      <c r="M1364" t="str">
        <f t="shared" si="65"/>
        <v>18-25</v>
      </c>
    </row>
    <row r="1365" spans="1:13" x14ac:dyDescent="0.2">
      <c r="A1365" t="s">
        <v>2727</v>
      </c>
      <c r="B1365" t="s">
        <v>2728</v>
      </c>
      <c r="C1365">
        <v>30</v>
      </c>
      <c r="D1365" t="s">
        <v>20</v>
      </c>
      <c r="E1365" t="s">
        <v>13</v>
      </c>
      <c r="F1365" s="1">
        <v>45852</v>
      </c>
      <c r="G1365" s="1">
        <v>46070</v>
      </c>
      <c r="H1365">
        <v>46</v>
      </c>
      <c r="I1365">
        <v>10</v>
      </c>
      <c r="J1365">
        <v>1</v>
      </c>
      <c r="K1365" t="str">
        <f t="shared" si="63"/>
        <v>Jul-2025</v>
      </c>
      <c r="L1365" s="1">
        <f t="shared" ca="1" si="64"/>
        <v>88</v>
      </c>
      <c r="M1365" t="str">
        <f t="shared" si="65"/>
        <v>26-35</v>
      </c>
    </row>
    <row r="1366" spans="1:13" x14ac:dyDescent="0.2">
      <c r="A1366" t="s">
        <v>2729</v>
      </c>
      <c r="B1366" t="s">
        <v>2730</v>
      </c>
      <c r="C1366">
        <v>48</v>
      </c>
      <c r="D1366" t="s">
        <v>12</v>
      </c>
      <c r="E1366" t="s">
        <v>13</v>
      </c>
      <c r="F1366" s="1">
        <v>45327</v>
      </c>
      <c r="G1366" s="1">
        <v>46082</v>
      </c>
      <c r="H1366">
        <v>19</v>
      </c>
      <c r="I1366">
        <v>8</v>
      </c>
      <c r="J1366">
        <v>1</v>
      </c>
      <c r="K1366" t="str">
        <f t="shared" si="63"/>
        <v>Feb-2024</v>
      </c>
      <c r="L1366" s="1">
        <f t="shared" ca="1" si="64"/>
        <v>76</v>
      </c>
      <c r="M1366" t="str">
        <f t="shared" si="65"/>
        <v>46+</v>
      </c>
    </row>
    <row r="1367" spans="1:13" x14ac:dyDescent="0.2">
      <c r="A1367" t="s">
        <v>2731</v>
      </c>
      <c r="B1367" t="s">
        <v>2732</v>
      </c>
      <c r="C1367">
        <v>20</v>
      </c>
      <c r="D1367" t="s">
        <v>20</v>
      </c>
      <c r="E1367" t="s">
        <v>13</v>
      </c>
      <c r="F1367" s="1">
        <v>46050</v>
      </c>
      <c r="G1367" s="1">
        <v>46032</v>
      </c>
      <c r="H1367">
        <v>18</v>
      </c>
      <c r="I1367">
        <v>2</v>
      </c>
      <c r="J1367">
        <v>0</v>
      </c>
      <c r="K1367" t="str">
        <f t="shared" si="63"/>
        <v>Jan-2026</v>
      </c>
      <c r="L1367" s="1">
        <f t="shared" ca="1" si="64"/>
        <v>126</v>
      </c>
      <c r="M1367" t="str">
        <f t="shared" si="65"/>
        <v>18-25</v>
      </c>
    </row>
    <row r="1368" spans="1:13" x14ac:dyDescent="0.2">
      <c r="A1368" t="s">
        <v>2733</v>
      </c>
      <c r="B1368" t="s">
        <v>2734</v>
      </c>
      <c r="C1368">
        <v>32</v>
      </c>
      <c r="D1368" t="s">
        <v>16</v>
      </c>
      <c r="E1368" t="s">
        <v>21</v>
      </c>
      <c r="F1368" s="1">
        <v>46120</v>
      </c>
      <c r="G1368" s="1">
        <v>46100</v>
      </c>
      <c r="H1368">
        <v>79</v>
      </c>
      <c r="I1368">
        <v>7</v>
      </c>
      <c r="J1368">
        <v>0</v>
      </c>
      <c r="K1368" t="str">
        <f t="shared" si="63"/>
        <v>Apr-2026</v>
      </c>
      <c r="L1368" s="1">
        <f t="shared" ca="1" si="64"/>
        <v>58</v>
      </c>
      <c r="M1368" t="str">
        <f t="shared" si="65"/>
        <v>26-35</v>
      </c>
    </row>
    <row r="1369" spans="1:13" x14ac:dyDescent="0.2">
      <c r="A1369" t="s">
        <v>2735</v>
      </c>
      <c r="B1369" t="s">
        <v>2736</v>
      </c>
      <c r="C1369">
        <v>53</v>
      </c>
      <c r="D1369" t="s">
        <v>12</v>
      </c>
      <c r="E1369" t="s">
        <v>17</v>
      </c>
      <c r="F1369" s="1">
        <v>45234</v>
      </c>
      <c r="G1369" s="1">
        <v>46101</v>
      </c>
      <c r="H1369">
        <v>72</v>
      </c>
      <c r="I1369">
        <v>3</v>
      </c>
      <c r="J1369">
        <v>0</v>
      </c>
      <c r="K1369" t="str">
        <f t="shared" si="63"/>
        <v>Nov-2023</v>
      </c>
      <c r="L1369" s="1">
        <f t="shared" ca="1" si="64"/>
        <v>57</v>
      </c>
      <c r="M1369" t="str">
        <f t="shared" si="65"/>
        <v>46+</v>
      </c>
    </row>
    <row r="1370" spans="1:13" x14ac:dyDescent="0.2">
      <c r="A1370" t="s">
        <v>2737</v>
      </c>
      <c r="B1370" t="s">
        <v>2738</v>
      </c>
      <c r="C1370">
        <v>25</v>
      </c>
      <c r="D1370" t="s">
        <v>16</v>
      </c>
      <c r="E1370" t="s">
        <v>13</v>
      </c>
      <c r="F1370" s="1">
        <v>45406</v>
      </c>
      <c r="G1370" s="1">
        <v>46107</v>
      </c>
      <c r="H1370">
        <v>24</v>
      </c>
      <c r="I1370">
        <v>1</v>
      </c>
      <c r="J1370">
        <v>1</v>
      </c>
      <c r="K1370" t="str">
        <f t="shared" si="63"/>
        <v>Apr-2024</v>
      </c>
      <c r="L1370" s="1">
        <f t="shared" ca="1" si="64"/>
        <v>51</v>
      </c>
      <c r="M1370" t="str">
        <f t="shared" si="65"/>
        <v>18-25</v>
      </c>
    </row>
    <row r="1371" spans="1:13" x14ac:dyDescent="0.2">
      <c r="A1371" t="s">
        <v>2739</v>
      </c>
      <c r="B1371" t="s">
        <v>2740</v>
      </c>
      <c r="C1371">
        <v>33</v>
      </c>
      <c r="D1371" t="s">
        <v>12</v>
      </c>
      <c r="E1371" t="s">
        <v>17</v>
      </c>
      <c r="F1371" s="1">
        <v>45634</v>
      </c>
      <c r="G1371" s="1">
        <v>46107</v>
      </c>
      <c r="H1371">
        <v>29</v>
      </c>
      <c r="I1371">
        <v>10</v>
      </c>
      <c r="J1371">
        <v>0</v>
      </c>
      <c r="K1371" t="str">
        <f t="shared" si="63"/>
        <v>Dec-2024</v>
      </c>
      <c r="L1371" s="1">
        <f t="shared" ca="1" si="64"/>
        <v>51</v>
      </c>
      <c r="M1371" t="str">
        <f t="shared" si="65"/>
        <v>26-35</v>
      </c>
    </row>
    <row r="1372" spans="1:13" x14ac:dyDescent="0.2">
      <c r="A1372" t="s">
        <v>2741</v>
      </c>
      <c r="B1372" t="s">
        <v>2742</v>
      </c>
      <c r="C1372">
        <v>25</v>
      </c>
      <c r="D1372" t="s">
        <v>12</v>
      </c>
      <c r="E1372" t="s">
        <v>21</v>
      </c>
      <c r="F1372" s="1">
        <v>45932</v>
      </c>
      <c r="G1372" s="1">
        <v>46038</v>
      </c>
      <c r="H1372">
        <v>21</v>
      </c>
      <c r="I1372">
        <v>2</v>
      </c>
      <c r="J1372">
        <v>1</v>
      </c>
      <c r="K1372" t="str">
        <f t="shared" si="63"/>
        <v>Oct-2025</v>
      </c>
      <c r="L1372" s="1">
        <f t="shared" ca="1" si="64"/>
        <v>120</v>
      </c>
      <c r="M1372" t="str">
        <f t="shared" si="65"/>
        <v>18-25</v>
      </c>
    </row>
    <row r="1373" spans="1:13" x14ac:dyDescent="0.2">
      <c r="A1373" t="s">
        <v>2743</v>
      </c>
      <c r="B1373" t="s">
        <v>2744</v>
      </c>
      <c r="C1373">
        <v>39</v>
      </c>
      <c r="D1373" t="s">
        <v>12</v>
      </c>
      <c r="E1373" t="s">
        <v>17</v>
      </c>
      <c r="F1373" s="1">
        <v>45402</v>
      </c>
      <c r="G1373" s="1">
        <v>46076</v>
      </c>
      <c r="H1373">
        <v>3</v>
      </c>
      <c r="I1373">
        <v>5</v>
      </c>
      <c r="J1373">
        <v>0</v>
      </c>
      <c r="K1373" t="str">
        <f t="shared" si="63"/>
        <v>Apr-2024</v>
      </c>
      <c r="L1373" s="1">
        <f t="shared" ca="1" si="64"/>
        <v>82</v>
      </c>
      <c r="M1373" t="str">
        <f t="shared" si="65"/>
        <v>36-45</v>
      </c>
    </row>
    <row r="1374" spans="1:13" x14ac:dyDescent="0.2">
      <c r="A1374" t="s">
        <v>2745</v>
      </c>
      <c r="B1374" t="s">
        <v>2746</v>
      </c>
      <c r="C1374">
        <v>38</v>
      </c>
      <c r="D1374" t="s">
        <v>12</v>
      </c>
      <c r="E1374" t="s">
        <v>13</v>
      </c>
      <c r="F1374" s="1">
        <v>45291</v>
      </c>
      <c r="G1374" s="1">
        <v>46070</v>
      </c>
      <c r="H1374">
        <v>80</v>
      </c>
      <c r="I1374">
        <v>8</v>
      </c>
      <c r="J1374">
        <v>1</v>
      </c>
      <c r="K1374" t="str">
        <f t="shared" si="63"/>
        <v>Dec-2023</v>
      </c>
      <c r="L1374" s="1">
        <f t="shared" ca="1" si="64"/>
        <v>88</v>
      </c>
      <c r="M1374" t="str">
        <f t="shared" si="65"/>
        <v>36-45</v>
      </c>
    </row>
    <row r="1375" spans="1:13" x14ac:dyDescent="0.2">
      <c r="A1375" t="s">
        <v>2747</v>
      </c>
      <c r="B1375" t="s">
        <v>2748</v>
      </c>
      <c r="C1375">
        <v>26</v>
      </c>
      <c r="D1375" t="s">
        <v>20</v>
      </c>
      <c r="E1375" t="s">
        <v>17</v>
      </c>
      <c r="F1375" s="1">
        <v>45766</v>
      </c>
      <c r="G1375" s="1">
        <v>46056</v>
      </c>
      <c r="H1375">
        <v>45</v>
      </c>
      <c r="I1375">
        <v>4</v>
      </c>
      <c r="J1375">
        <v>1</v>
      </c>
      <c r="K1375" t="str">
        <f t="shared" si="63"/>
        <v>Apr-2025</v>
      </c>
      <c r="L1375" s="1">
        <f t="shared" ca="1" si="64"/>
        <v>102</v>
      </c>
      <c r="M1375" t="str">
        <f t="shared" si="65"/>
        <v>26-35</v>
      </c>
    </row>
    <row r="1376" spans="1:13" x14ac:dyDescent="0.2">
      <c r="A1376" t="s">
        <v>2749</v>
      </c>
      <c r="B1376" t="s">
        <v>2750</v>
      </c>
      <c r="C1376">
        <v>50</v>
      </c>
      <c r="D1376" t="s">
        <v>16</v>
      </c>
      <c r="E1376" t="s">
        <v>17</v>
      </c>
      <c r="F1376" s="1">
        <v>45167</v>
      </c>
      <c r="G1376" s="1">
        <v>46038</v>
      </c>
      <c r="H1376">
        <v>70</v>
      </c>
      <c r="I1376">
        <v>9</v>
      </c>
      <c r="J1376">
        <v>1</v>
      </c>
      <c r="K1376" t="str">
        <f t="shared" si="63"/>
        <v>Aug-2023</v>
      </c>
      <c r="L1376" s="1">
        <f t="shared" ca="1" si="64"/>
        <v>120</v>
      </c>
      <c r="M1376" t="str">
        <f t="shared" si="65"/>
        <v>46+</v>
      </c>
    </row>
    <row r="1377" spans="1:13" x14ac:dyDescent="0.2">
      <c r="A1377" t="s">
        <v>2751</v>
      </c>
      <c r="B1377" t="s">
        <v>2752</v>
      </c>
      <c r="C1377">
        <v>36</v>
      </c>
      <c r="D1377" t="s">
        <v>16</v>
      </c>
      <c r="E1377" t="s">
        <v>13</v>
      </c>
      <c r="F1377" s="1">
        <v>45223</v>
      </c>
      <c r="G1377" s="1">
        <v>46144</v>
      </c>
      <c r="H1377">
        <v>6</v>
      </c>
      <c r="I1377">
        <v>6</v>
      </c>
      <c r="J1377">
        <v>0</v>
      </c>
      <c r="K1377" t="str">
        <f t="shared" si="63"/>
        <v>Oct-2023</v>
      </c>
      <c r="L1377" s="1">
        <f t="shared" ca="1" si="64"/>
        <v>14</v>
      </c>
      <c r="M1377" t="str">
        <f t="shared" si="65"/>
        <v>36-45</v>
      </c>
    </row>
    <row r="1378" spans="1:13" x14ac:dyDescent="0.2">
      <c r="A1378" t="s">
        <v>2753</v>
      </c>
      <c r="B1378" t="s">
        <v>2754</v>
      </c>
      <c r="C1378">
        <v>47</v>
      </c>
      <c r="D1378" t="s">
        <v>16</v>
      </c>
      <c r="E1378" t="s">
        <v>13</v>
      </c>
      <c r="F1378" s="1">
        <v>45825</v>
      </c>
      <c r="G1378" s="1">
        <v>46128</v>
      </c>
      <c r="H1378">
        <v>11</v>
      </c>
      <c r="I1378">
        <v>1</v>
      </c>
      <c r="J1378">
        <v>0</v>
      </c>
      <c r="K1378" t="str">
        <f t="shared" si="63"/>
        <v>Jun-2025</v>
      </c>
      <c r="L1378" s="1">
        <f t="shared" ca="1" si="64"/>
        <v>30</v>
      </c>
      <c r="M1378" t="str">
        <f t="shared" si="65"/>
        <v>46+</v>
      </c>
    </row>
    <row r="1379" spans="1:13" x14ac:dyDescent="0.2">
      <c r="A1379" t="s">
        <v>2755</v>
      </c>
      <c r="B1379" t="s">
        <v>2756</v>
      </c>
      <c r="C1379">
        <v>45</v>
      </c>
      <c r="D1379" t="s">
        <v>12</v>
      </c>
      <c r="E1379" t="s">
        <v>21</v>
      </c>
      <c r="F1379" s="1">
        <v>45942</v>
      </c>
      <c r="G1379" s="1">
        <v>46069</v>
      </c>
      <c r="H1379">
        <v>79</v>
      </c>
      <c r="I1379">
        <v>1</v>
      </c>
      <c r="J1379">
        <v>1</v>
      </c>
      <c r="K1379" t="str">
        <f t="shared" si="63"/>
        <v>Oct-2025</v>
      </c>
      <c r="L1379" s="1">
        <f t="shared" ca="1" si="64"/>
        <v>89</v>
      </c>
      <c r="M1379" t="str">
        <f t="shared" si="65"/>
        <v>36-45</v>
      </c>
    </row>
    <row r="1380" spans="1:13" x14ac:dyDescent="0.2">
      <c r="A1380" t="s">
        <v>2757</v>
      </c>
      <c r="B1380" t="s">
        <v>2758</v>
      </c>
      <c r="C1380">
        <v>26</v>
      </c>
      <c r="D1380" t="s">
        <v>12</v>
      </c>
      <c r="E1380" t="s">
        <v>21</v>
      </c>
      <c r="F1380" s="1">
        <v>45220</v>
      </c>
      <c r="G1380" s="1">
        <v>46112</v>
      </c>
      <c r="H1380">
        <v>43</v>
      </c>
      <c r="I1380">
        <v>5</v>
      </c>
      <c r="J1380">
        <v>0</v>
      </c>
      <c r="K1380" t="str">
        <f t="shared" si="63"/>
        <v>Oct-2023</v>
      </c>
      <c r="L1380" s="1">
        <f t="shared" ca="1" si="64"/>
        <v>46</v>
      </c>
      <c r="M1380" t="str">
        <f t="shared" si="65"/>
        <v>26-35</v>
      </c>
    </row>
    <row r="1381" spans="1:13" x14ac:dyDescent="0.2">
      <c r="A1381" t="s">
        <v>2759</v>
      </c>
      <c r="B1381" t="s">
        <v>2760</v>
      </c>
      <c r="C1381">
        <v>20</v>
      </c>
      <c r="D1381" t="s">
        <v>20</v>
      </c>
      <c r="E1381" t="s">
        <v>17</v>
      </c>
      <c r="F1381" s="1">
        <v>46030</v>
      </c>
      <c r="G1381" s="1">
        <v>46066</v>
      </c>
      <c r="H1381">
        <v>5</v>
      </c>
      <c r="I1381">
        <v>4</v>
      </c>
      <c r="J1381">
        <v>1</v>
      </c>
      <c r="K1381" t="str">
        <f t="shared" si="63"/>
        <v>Jan-2026</v>
      </c>
      <c r="L1381" s="1">
        <f t="shared" ca="1" si="64"/>
        <v>92</v>
      </c>
      <c r="M1381" t="str">
        <f t="shared" si="65"/>
        <v>18-25</v>
      </c>
    </row>
    <row r="1382" spans="1:13" x14ac:dyDescent="0.2">
      <c r="A1382" t="s">
        <v>2761</v>
      </c>
      <c r="B1382" t="s">
        <v>2762</v>
      </c>
      <c r="C1382">
        <v>56</v>
      </c>
      <c r="D1382" t="s">
        <v>16</v>
      </c>
      <c r="E1382" t="s">
        <v>21</v>
      </c>
      <c r="F1382" s="1">
        <v>45853</v>
      </c>
      <c r="G1382" s="1">
        <v>46114</v>
      </c>
      <c r="H1382">
        <v>9</v>
      </c>
      <c r="I1382">
        <v>2</v>
      </c>
      <c r="J1382">
        <v>0</v>
      </c>
      <c r="K1382" t="str">
        <f t="shared" si="63"/>
        <v>Jul-2025</v>
      </c>
      <c r="L1382" s="1">
        <f t="shared" ca="1" si="64"/>
        <v>44</v>
      </c>
      <c r="M1382" t="str">
        <f t="shared" si="65"/>
        <v>46+</v>
      </c>
    </row>
    <row r="1383" spans="1:13" x14ac:dyDescent="0.2">
      <c r="A1383" t="s">
        <v>2763</v>
      </c>
      <c r="B1383" t="s">
        <v>2764</v>
      </c>
      <c r="C1383">
        <v>58</v>
      </c>
      <c r="D1383" t="s">
        <v>12</v>
      </c>
      <c r="E1383" t="s">
        <v>21</v>
      </c>
      <c r="F1383" s="1">
        <v>45225</v>
      </c>
      <c r="G1383" s="1">
        <v>46141</v>
      </c>
      <c r="H1383">
        <v>59</v>
      </c>
      <c r="I1383">
        <v>9</v>
      </c>
      <c r="J1383">
        <v>0</v>
      </c>
      <c r="K1383" t="str">
        <f t="shared" si="63"/>
        <v>Oct-2023</v>
      </c>
      <c r="L1383" s="1">
        <f t="shared" ca="1" si="64"/>
        <v>17</v>
      </c>
      <c r="M1383" t="str">
        <f t="shared" si="65"/>
        <v>46+</v>
      </c>
    </row>
    <row r="1384" spans="1:13" x14ac:dyDescent="0.2">
      <c r="A1384" t="s">
        <v>2765</v>
      </c>
      <c r="B1384" t="s">
        <v>2766</v>
      </c>
      <c r="C1384">
        <v>48</v>
      </c>
      <c r="D1384" t="s">
        <v>12</v>
      </c>
      <c r="E1384" t="s">
        <v>17</v>
      </c>
      <c r="F1384" s="1">
        <v>46116</v>
      </c>
      <c r="G1384" s="1">
        <v>46090</v>
      </c>
      <c r="H1384">
        <v>13</v>
      </c>
      <c r="I1384">
        <v>7</v>
      </c>
      <c r="J1384">
        <v>0</v>
      </c>
      <c r="K1384" t="str">
        <f t="shared" si="63"/>
        <v>Apr-2026</v>
      </c>
      <c r="L1384" s="1">
        <f t="shared" ca="1" si="64"/>
        <v>68</v>
      </c>
      <c r="M1384" t="str">
        <f t="shared" si="65"/>
        <v>46+</v>
      </c>
    </row>
    <row r="1385" spans="1:13" x14ac:dyDescent="0.2">
      <c r="A1385" t="s">
        <v>2767</v>
      </c>
      <c r="B1385" t="s">
        <v>2768</v>
      </c>
      <c r="C1385">
        <v>48</v>
      </c>
      <c r="D1385" t="s">
        <v>20</v>
      </c>
      <c r="E1385" t="s">
        <v>17</v>
      </c>
      <c r="F1385" s="1">
        <v>46085</v>
      </c>
      <c r="G1385" s="1">
        <v>46047</v>
      </c>
      <c r="H1385">
        <v>10</v>
      </c>
      <c r="I1385">
        <v>6</v>
      </c>
      <c r="J1385">
        <v>0</v>
      </c>
      <c r="K1385" t="str">
        <f t="shared" si="63"/>
        <v>Mar-2026</v>
      </c>
      <c r="L1385" s="1">
        <f t="shared" ca="1" si="64"/>
        <v>111</v>
      </c>
      <c r="M1385" t="str">
        <f t="shared" si="65"/>
        <v>46+</v>
      </c>
    </row>
    <row r="1386" spans="1:13" x14ac:dyDescent="0.2">
      <c r="A1386" t="s">
        <v>2769</v>
      </c>
      <c r="B1386" t="s">
        <v>2770</v>
      </c>
      <c r="C1386">
        <v>27</v>
      </c>
      <c r="D1386" t="s">
        <v>20</v>
      </c>
      <c r="E1386" t="s">
        <v>21</v>
      </c>
      <c r="F1386" s="1">
        <v>45386</v>
      </c>
      <c r="G1386" s="1">
        <v>46143</v>
      </c>
      <c r="H1386">
        <v>35</v>
      </c>
      <c r="I1386">
        <v>7</v>
      </c>
      <c r="J1386">
        <v>0</v>
      </c>
      <c r="K1386" t="str">
        <f t="shared" si="63"/>
        <v>Apr-2024</v>
      </c>
      <c r="L1386" s="1">
        <f t="shared" ca="1" si="64"/>
        <v>15</v>
      </c>
      <c r="M1386" t="str">
        <f t="shared" si="65"/>
        <v>26-35</v>
      </c>
    </row>
    <row r="1387" spans="1:13" x14ac:dyDescent="0.2">
      <c r="A1387" t="s">
        <v>2771</v>
      </c>
      <c r="B1387" t="s">
        <v>2772</v>
      </c>
      <c r="C1387">
        <v>59</v>
      </c>
      <c r="D1387" t="s">
        <v>20</v>
      </c>
      <c r="E1387" t="s">
        <v>17</v>
      </c>
      <c r="F1387" s="1">
        <v>45494</v>
      </c>
      <c r="G1387" s="1">
        <v>46148</v>
      </c>
      <c r="H1387">
        <v>45</v>
      </c>
      <c r="I1387">
        <v>6</v>
      </c>
      <c r="J1387">
        <v>0</v>
      </c>
      <c r="K1387" t="str">
        <f t="shared" si="63"/>
        <v>Jul-2024</v>
      </c>
      <c r="L1387" s="1">
        <f t="shared" ca="1" si="64"/>
        <v>10</v>
      </c>
      <c r="M1387" t="str">
        <f t="shared" si="65"/>
        <v>46+</v>
      </c>
    </row>
    <row r="1388" spans="1:13" x14ac:dyDescent="0.2">
      <c r="A1388" t="s">
        <v>2773</v>
      </c>
      <c r="B1388" t="s">
        <v>2774</v>
      </c>
      <c r="C1388">
        <v>21</v>
      </c>
      <c r="D1388" t="s">
        <v>16</v>
      </c>
      <c r="E1388" t="s">
        <v>17</v>
      </c>
      <c r="F1388" s="1">
        <v>45477</v>
      </c>
      <c r="G1388" s="1">
        <v>46110</v>
      </c>
      <c r="H1388">
        <v>71</v>
      </c>
      <c r="I1388">
        <v>6</v>
      </c>
      <c r="J1388">
        <v>1</v>
      </c>
      <c r="K1388" t="str">
        <f t="shared" si="63"/>
        <v>Jul-2024</v>
      </c>
      <c r="L1388" s="1">
        <f t="shared" ca="1" si="64"/>
        <v>48</v>
      </c>
      <c r="M1388" t="str">
        <f t="shared" si="65"/>
        <v>18-25</v>
      </c>
    </row>
    <row r="1389" spans="1:13" x14ac:dyDescent="0.2">
      <c r="A1389" t="s">
        <v>2775</v>
      </c>
      <c r="B1389" t="s">
        <v>2776</v>
      </c>
      <c r="C1389">
        <v>57</v>
      </c>
      <c r="D1389" t="s">
        <v>12</v>
      </c>
      <c r="E1389" t="s">
        <v>17</v>
      </c>
      <c r="F1389" s="1">
        <v>45850</v>
      </c>
      <c r="G1389" s="1">
        <v>46122</v>
      </c>
      <c r="H1389">
        <v>20</v>
      </c>
      <c r="I1389">
        <v>8</v>
      </c>
      <c r="J1389">
        <v>0</v>
      </c>
      <c r="K1389" t="str">
        <f t="shared" si="63"/>
        <v>Jul-2025</v>
      </c>
      <c r="L1389" s="1">
        <f t="shared" ca="1" si="64"/>
        <v>36</v>
      </c>
      <c r="M1389" t="str">
        <f t="shared" si="65"/>
        <v>46+</v>
      </c>
    </row>
    <row r="1390" spans="1:13" x14ac:dyDescent="0.2">
      <c r="A1390" t="s">
        <v>2777</v>
      </c>
      <c r="B1390" t="s">
        <v>2778</v>
      </c>
      <c r="C1390">
        <v>31</v>
      </c>
      <c r="D1390" t="s">
        <v>12</v>
      </c>
      <c r="E1390" t="s">
        <v>21</v>
      </c>
      <c r="F1390" s="1">
        <v>45498</v>
      </c>
      <c r="G1390" s="1">
        <v>46118</v>
      </c>
      <c r="H1390">
        <v>75</v>
      </c>
      <c r="I1390">
        <v>1</v>
      </c>
      <c r="J1390">
        <v>1</v>
      </c>
      <c r="K1390" t="str">
        <f t="shared" si="63"/>
        <v>Jul-2024</v>
      </c>
      <c r="L1390" s="1">
        <f t="shared" ca="1" si="64"/>
        <v>40</v>
      </c>
      <c r="M1390" t="str">
        <f t="shared" si="65"/>
        <v>26-35</v>
      </c>
    </row>
    <row r="1391" spans="1:13" x14ac:dyDescent="0.2">
      <c r="A1391" t="s">
        <v>2779</v>
      </c>
      <c r="B1391" t="s">
        <v>35</v>
      </c>
      <c r="C1391">
        <v>45</v>
      </c>
      <c r="D1391" t="s">
        <v>12</v>
      </c>
      <c r="E1391" t="s">
        <v>17</v>
      </c>
      <c r="F1391" s="1">
        <v>45928</v>
      </c>
      <c r="G1391" s="1">
        <v>46133</v>
      </c>
      <c r="H1391">
        <v>72</v>
      </c>
      <c r="I1391">
        <v>5</v>
      </c>
      <c r="J1391">
        <v>0</v>
      </c>
      <c r="K1391" t="str">
        <f t="shared" si="63"/>
        <v>Sep-2025</v>
      </c>
      <c r="L1391" s="1">
        <f t="shared" ca="1" si="64"/>
        <v>25</v>
      </c>
      <c r="M1391" t="str">
        <f t="shared" si="65"/>
        <v>36-45</v>
      </c>
    </row>
    <row r="1392" spans="1:13" x14ac:dyDescent="0.2">
      <c r="A1392" t="s">
        <v>2780</v>
      </c>
      <c r="B1392" t="s">
        <v>2781</v>
      </c>
      <c r="C1392">
        <v>29</v>
      </c>
      <c r="D1392" t="s">
        <v>12</v>
      </c>
      <c r="E1392" t="s">
        <v>17</v>
      </c>
      <c r="F1392" s="1">
        <v>45376</v>
      </c>
      <c r="G1392" s="1">
        <v>46105</v>
      </c>
      <c r="H1392">
        <v>9</v>
      </c>
      <c r="I1392">
        <v>7</v>
      </c>
      <c r="J1392">
        <v>0</v>
      </c>
      <c r="K1392" t="str">
        <f t="shared" si="63"/>
        <v>Mar-2024</v>
      </c>
      <c r="L1392" s="1">
        <f t="shared" ca="1" si="64"/>
        <v>53</v>
      </c>
      <c r="M1392" t="str">
        <f t="shared" si="65"/>
        <v>26-35</v>
      </c>
    </row>
    <row r="1393" spans="1:13" x14ac:dyDescent="0.2">
      <c r="A1393" t="s">
        <v>2782</v>
      </c>
      <c r="B1393" t="s">
        <v>2783</v>
      </c>
      <c r="C1393">
        <v>31</v>
      </c>
      <c r="D1393" t="s">
        <v>20</v>
      </c>
      <c r="E1393" t="s">
        <v>17</v>
      </c>
      <c r="F1393" s="1">
        <v>45153</v>
      </c>
      <c r="G1393" s="1">
        <v>46149</v>
      </c>
      <c r="H1393">
        <v>69</v>
      </c>
      <c r="I1393">
        <v>10</v>
      </c>
      <c r="J1393">
        <v>0</v>
      </c>
      <c r="K1393" t="str">
        <f t="shared" si="63"/>
        <v>Aug-2023</v>
      </c>
      <c r="L1393" s="1">
        <f t="shared" ca="1" si="64"/>
        <v>9</v>
      </c>
      <c r="M1393" t="str">
        <f t="shared" si="65"/>
        <v>26-35</v>
      </c>
    </row>
    <row r="1394" spans="1:13" x14ac:dyDescent="0.2">
      <c r="A1394" t="s">
        <v>2784</v>
      </c>
      <c r="B1394" t="s">
        <v>2785</v>
      </c>
      <c r="C1394">
        <v>58</v>
      </c>
      <c r="D1394" t="s">
        <v>12</v>
      </c>
      <c r="E1394" t="s">
        <v>21</v>
      </c>
      <c r="F1394" s="1">
        <v>45492</v>
      </c>
      <c r="G1394" s="1">
        <v>46145</v>
      </c>
      <c r="H1394">
        <v>63</v>
      </c>
      <c r="I1394">
        <v>6</v>
      </c>
      <c r="J1394">
        <v>1</v>
      </c>
      <c r="K1394" t="str">
        <f t="shared" si="63"/>
        <v>Jul-2024</v>
      </c>
      <c r="L1394" s="1">
        <f t="shared" ca="1" si="64"/>
        <v>13</v>
      </c>
      <c r="M1394" t="str">
        <f t="shared" si="65"/>
        <v>46+</v>
      </c>
    </row>
    <row r="1395" spans="1:13" x14ac:dyDescent="0.2">
      <c r="A1395" t="s">
        <v>2786</v>
      </c>
      <c r="B1395" t="s">
        <v>2787</v>
      </c>
      <c r="C1395">
        <v>20</v>
      </c>
      <c r="D1395" t="s">
        <v>12</v>
      </c>
      <c r="E1395" t="s">
        <v>13</v>
      </c>
      <c r="F1395" s="1">
        <v>45604</v>
      </c>
      <c r="G1395" s="1">
        <v>46118</v>
      </c>
      <c r="H1395">
        <v>58</v>
      </c>
      <c r="I1395">
        <v>6</v>
      </c>
      <c r="J1395">
        <v>0</v>
      </c>
      <c r="K1395" t="str">
        <f t="shared" si="63"/>
        <v>Nov-2024</v>
      </c>
      <c r="L1395" s="1">
        <f t="shared" ca="1" si="64"/>
        <v>40</v>
      </c>
      <c r="M1395" t="str">
        <f t="shared" si="65"/>
        <v>18-25</v>
      </c>
    </row>
    <row r="1396" spans="1:13" x14ac:dyDescent="0.2">
      <c r="A1396" t="s">
        <v>2788</v>
      </c>
      <c r="B1396" t="s">
        <v>2789</v>
      </c>
      <c r="C1396">
        <v>55</v>
      </c>
      <c r="D1396" t="s">
        <v>16</v>
      </c>
      <c r="E1396" t="s">
        <v>17</v>
      </c>
      <c r="F1396" s="1">
        <v>45692</v>
      </c>
      <c r="G1396" s="1">
        <v>46061</v>
      </c>
      <c r="H1396">
        <v>37</v>
      </c>
      <c r="I1396">
        <v>6</v>
      </c>
      <c r="J1396">
        <v>0</v>
      </c>
      <c r="K1396" t="str">
        <f t="shared" si="63"/>
        <v>Feb-2025</v>
      </c>
      <c r="L1396" s="1">
        <f t="shared" ca="1" si="64"/>
        <v>97</v>
      </c>
      <c r="M1396" t="str">
        <f t="shared" si="65"/>
        <v>46+</v>
      </c>
    </row>
    <row r="1397" spans="1:13" x14ac:dyDescent="0.2">
      <c r="A1397" t="s">
        <v>2790</v>
      </c>
      <c r="B1397" t="s">
        <v>2791</v>
      </c>
      <c r="C1397">
        <v>25</v>
      </c>
      <c r="D1397" t="s">
        <v>12</v>
      </c>
      <c r="E1397" t="s">
        <v>21</v>
      </c>
      <c r="F1397" s="1">
        <v>45504</v>
      </c>
      <c r="G1397" s="1">
        <v>46049</v>
      </c>
      <c r="H1397">
        <v>33</v>
      </c>
      <c r="I1397">
        <v>1</v>
      </c>
      <c r="J1397">
        <v>1</v>
      </c>
      <c r="K1397" t="str">
        <f t="shared" si="63"/>
        <v>Jul-2024</v>
      </c>
      <c r="L1397" s="1">
        <f t="shared" ca="1" si="64"/>
        <v>109</v>
      </c>
      <c r="M1397" t="str">
        <f t="shared" si="65"/>
        <v>18-25</v>
      </c>
    </row>
    <row r="1398" spans="1:13" x14ac:dyDescent="0.2">
      <c r="A1398" t="s">
        <v>2792</v>
      </c>
      <c r="B1398" t="s">
        <v>2793</v>
      </c>
      <c r="C1398">
        <v>34</v>
      </c>
      <c r="D1398" t="s">
        <v>16</v>
      </c>
      <c r="E1398" t="s">
        <v>17</v>
      </c>
      <c r="F1398" s="1">
        <v>45347</v>
      </c>
      <c r="G1398" s="1">
        <v>46140</v>
      </c>
      <c r="H1398">
        <v>63</v>
      </c>
      <c r="I1398">
        <v>7</v>
      </c>
      <c r="J1398">
        <v>0</v>
      </c>
      <c r="K1398" t="str">
        <f t="shared" si="63"/>
        <v>Feb-2024</v>
      </c>
      <c r="L1398" s="1">
        <f t="shared" ca="1" si="64"/>
        <v>18</v>
      </c>
      <c r="M1398" t="str">
        <f t="shared" si="65"/>
        <v>26-35</v>
      </c>
    </row>
    <row r="1399" spans="1:13" x14ac:dyDescent="0.2">
      <c r="A1399" t="s">
        <v>2794</v>
      </c>
      <c r="B1399" t="s">
        <v>2795</v>
      </c>
      <c r="C1399">
        <v>42</v>
      </c>
      <c r="D1399" t="s">
        <v>20</v>
      </c>
      <c r="E1399" t="s">
        <v>21</v>
      </c>
      <c r="F1399" s="1">
        <v>46066</v>
      </c>
      <c r="G1399" s="1">
        <v>46099</v>
      </c>
      <c r="H1399">
        <v>25</v>
      </c>
      <c r="I1399">
        <v>7</v>
      </c>
      <c r="J1399">
        <v>0</v>
      </c>
      <c r="K1399" t="str">
        <f t="shared" si="63"/>
        <v>Feb-2026</v>
      </c>
      <c r="L1399" s="1">
        <f t="shared" ca="1" si="64"/>
        <v>59</v>
      </c>
      <c r="M1399" t="str">
        <f t="shared" si="65"/>
        <v>36-45</v>
      </c>
    </row>
    <row r="1400" spans="1:13" x14ac:dyDescent="0.2">
      <c r="A1400" t="s">
        <v>2796</v>
      </c>
      <c r="B1400" t="s">
        <v>2797</v>
      </c>
      <c r="C1400">
        <v>57</v>
      </c>
      <c r="D1400" t="s">
        <v>12</v>
      </c>
      <c r="E1400" t="s">
        <v>17</v>
      </c>
      <c r="F1400" s="1">
        <v>45572</v>
      </c>
      <c r="G1400" s="1">
        <v>46137</v>
      </c>
      <c r="H1400">
        <v>24</v>
      </c>
      <c r="I1400">
        <v>1</v>
      </c>
      <c r="J1400">
        <v>0</v>
      </c>
      <c r="K1400" t="str">
        <f t="shared" si="63"/>
        <v>Oct-2024</v>
      </c>
      <c r="L1400" s="1">
        <f t="shared" ca="1" si="64"/>
        <v>21</v>
      </c>
      <c r="M1400" t="str">
        <f t="shared" si="65"/>
        <v>46+</v>
      </c>
    </row>
    <row r="1401" spans="1:13" x14ac:dyDescent="0.2">
      <c r="A1401" t="s">
        <v>2798</v>
      </c>
      <c r="B1401" t="s">
        <v>2799</v>
      </c>
      <c r="C1401">
        <v>19</v>
      </c>
      <c r="D1401" t="s">
        <v>12</v>
      </c>
      <c r="E1401" t="s">
        <v>21</v>
      </c>
      <c r="F1401" s="1">
        <v>45531</v>
      </c>
      <c r="G1401" s="1">
        <v>46147</v>
      </c>
      <c r="H1401">
        <v>42</v>
      </c>
      <c r="I1401">
        <v>1</v>
      </c>
      <c r="J1401">
        <v>0</v>
      </c>
      <c r="K1401" t="str">
        <f t="shared" si="63"/>
        <v>Aug-2024</v>
      </c>
      <c r="L1401" s="1">
        <f t="shared" ca="1" si="64"/>
        <v>11</v>
      </c>
      <c r="M1401" t="str">
        <f t="shared" si="65"/>
        <v>18-25</v>
      </c>
    </row>
    <row r="1402" spans="1:13" x14ac:dyDescent="0.2">
      <c r="A1402" t="s">
        <v>2800</v>
      </c>
      <c r="B1402" t="s">
        <v>2801</v>
      </c>
      <c r="C1402">
        <v>29</v>
      </c>
      <c r="D1402" t="s">
        <v>20</v>
      </c>
      <c r="E1402" t="s">
        <v>21</v>
      </c>
      <c r="F1402" s="1">
        <v>45589</v>
      </c>
      <c r="G1402" s="1">
        <v>46071</v>
      </c>
      <c r="H1402">
        <v>10</v>
      </c>
      <c r="I1402">
        <v>8</v>
      </c>
      <c r="J1402">
        <v>1</v>
      </c>
      <c r="K1402" t="str">
        <f t="shared" si="63"/>
        <v>Oct-2024</v>
      </c>
      <c r="L1402" s="1">
        <f t="shared" ca="1" si="64"/>
        <v>87</v>
      </c>
      <c r="M1402" t="str">
        <f t="shared" si="65"/>
        <v>26-35</v>
      </c>
    </row>
    <row r="1403" spans="1:13" x14ac:dyDescent="0.2">
      <c r="A1403" t="s">
        <v>2802</v>
      </c>
      <c r="B1403" t="s">
        <v>2803</v>
      </c>
      <c r="C1403">
        <v>52</v>
      </c>
      <c r="D1403" t="s">
        <v>12</v>
      </c>
      <c r="E1403" t="s">
        <v>21</v>
      </c>
      <c r="F1403" s="1">
        <v>45351</v>
      </c>
      <c r="G1403" s="1">
        <v>46100</v>
      </c>
      <c r="H1403">
        <v>79</v>
      </c>
      <c r="I1403">
        <v>8</v>
      </c>
      <c r="J1403">
        <v>0</v>
      </c>
      <c r="K1403" t="str">
        <f t="shared" si="63"/>
        <v>Feb-2024</v>
      </c>
      <c r="L1403" s="1">
        <f t="shared" ca="1" si="64"/>
        <v>58</v>
      </c>
      <c r="M1403" t="str">
        <f t="shared" si="65"/>
        <v>46+</v>
      </c>
    </row>
    <row r="1404" spans="1:13" x14ac:dyDescent="0.2">
      <c r="A1404" t="s">
        <v>2804</v>
      </c>
      <c r="B1404" t="s">
        <v>2805</v>
      </c>
      <c r="C1404">
        <v>30</v>
      </c>
      <c r="D1404" t="s">
        <v>20</v>
      </c>
      <c r="E1404" t="s">
        <v>13</v>
      </c>
      <c r="F1404" s="1">
        <v>45571</v>
      </c>
      <c r="G1404" s="1">
        <v>46058</v>
      </c>
      <c r="H1404">
        <v>3</v>
      </c>
      <c r="I1404">
        <v>10</v>
      </c>
      <c r="J1404">
        <v>0</v>
      </c>
      <c r="K1404" t="str">
        <f t="shared" si="63"/>
        <v>Oct-2024</v>
      </c>
      <c r="L1404" s="1">
        <f t="shared" ca="1" si="64"/>
        <v>100</v>
      </c>
      <c r="M1404" t="str">
        <f t="shared" si="65"/>
        <v>26-35</v>
      </c>
    </row>
    <row r="1405" spans="1:13" x14ac:dyDescent="0.2">
      <c r="A1405" t="s">
        <v>2806</v>
      </c>
      <c r="B1405" t="s">
        <v>2807</v>
      </c>
      <c r="C1405">
        <v>22</v>
      </c>
      <c r="D1405" t="s">
        <v>20</v>
      </c>
      <c r="E1405" t="s">
        <v>21</v>
      </c>
      <c r="F1405" s="1">
        <v>45153</v>
      </c>
      <c r="G1405" s="1">
        <v>46078</v>
      </c>
      <c r="H1405">
        <v>12</v>
      </c>
      <c r="I1405">
        <v>6</v>
      </c>
      <c r="J1405">
        <v>0</v>
      </c>
      <c r="K1405" t="str">
        <f t="shared" si="63"/>
        <v>Aug-2023</v>
      </c>
      <c r="L1405" s="1">
        <f t="shared" ca="1" si="64"/>
        <v>80</v>
      </c>
      <c r="M1405" t="str">
        <f t="shared" si="65"/>
        <v>18-25</v>
      </c>
    </row>
    <row r="1406" spans="1:13" x14ac:dyDescent="0.2">
      <c r="A1406" t="s">
        <v>2808</v>
      </c>
      <c r="B1406" t="s">
        <v>2809</v>
      </c>
      <c r="C1406">
        <v>52</v>
      </c>
      <c r="D1406" t="s">
        <v>20</v>
      </c>
      <c r="E1406" t="s">
        <v>21</v>
      </c>
      <c r="F1406" s="1">
        <v>45867</v>
      </c>
      <c r="G1406" s="1">
        <v>46073</v>
      </c>
      <c r="H1406">
        <v>27</v>
      </c>
      <c r="I1406">
        <v>1</v>
      </c>
      <c r="J1406">
        <v>1</v>
      </c>
      <c r="K1406" t="str">
        <f t="shared" si="63"/>
        <v>Jul-2025</v>
      </c>
      <c r="L1406" s="1">
        <f t="shared" ca="1" si="64"/>
        <v>85</v>
      </c>
      <c r="M1406" t="str">
        <f t="shared" si="65"/>
        <v>46+</v>
      </c>
    </row>
    <row r="1407" spans="1:13" x14ac:dyDescent="0.2">
      <c r="A1407" t="s">
        <v>2810</v>
      </c>
      <c r="B1407" t="s">
        <v>2811</v>
      </c>
      <c r="C1407">
        <v>57</v>
      </c>
      <c r="D1407" t="s">
        <v>20</v>
      </c>
      <c r="E1407" t="s">
        <v>21</v>
      </c>
      <c r="F1407" s="1">
        <v>45530</v>
      </c>
      <c r="G1407" s="1">
        <v>46135</v>
      </c>
      <c r="H1407">
        <v>26</v>
      </c>
      <c r="I1407">
        <v>3</v>
      </c>
      <c r="J1407">
        <v>1</v>
      </c>
      <c r="K1407" t="str">
        <f t="shared" si="63"/>
        <v>Aug-2024</v>
      </c>
      <c r="L1407" s="1">
        <f t="shared" ca="1" si="64"/>
        <v>23</v>
      </c>
      <c r="M1407" t="str">
        <f t="shared" si="65"/>
        <v>46+</v>
      </c>
    </row>
    <row r="1408" spans="1:13" x14ac:dyDescent="0.2">
      <c r="A1408" t="s">
        <v>2812</v>
      </c>
      <c r="B1408" t="s">
        <v>2813</v>
      </c>
      <c r="C1408">
        <v>49</v>
      </c>
      <c r="D1408" t="s">
        <v>20</v>
      </c>
      <c r="E1408" t="s">
        <v>17</v>
      </c>
      <c r="F1408" s="1">
        <v>45959</v>
      </c>
      <c r="G1408" s="1">
        <v>46096</v>
      </c>
      <c r="H1408">
        <v>24</v>
      </c>
      <c r="I1408">
        <v>10</v>
      </c>
      <c r="J1408">
        <v>0</v>
      </c>
      <c r="K1408" t="str">
        <f t="shared" si="63"/>
        <v>Oct-2025</v>
      </c>
      <c r="L1408" s="1">
        <f t="shared" ca="1" si="64"/>
        <v>62</v>
      </c>
      <c r="M1408" t="str">
        <f t="shared" si="65"/>
        <v>46+</v>
      </c>
    </row>
    <row r="1409" spans="1:13" x14ac:dyDescent="0.2">
      <c r="A1409" t="s">
        <v>2814</v>
      </c>
      <c r="B1409" t="s">
        <v>2815</v>
      </c>
      <c r="C1409">
        <v>44</v>
      </c>
      <c r="D1409" t="s">
        <v>20</v>
      </c>
      <c r="E1409" t="s">
        <v>21</v>
      </c>
      <c r="F1409" s="1">
        <v>45515</v>
      </c>
      <c r="G1409" s="1">
        <v>46092</v>
      </c>
      <c r="H1409">
        <v>1</v>
      </c>
      <c r="I1409">
        <v>4</v>
      </c>
      <c r="J1409">
        <v>1</v>
      </c>
      <c r="K1409" t="str">
        <f t="shared" si="63"/>
        <v>Aug-2024</v>
      </c>
      <c r="L1409" s="1">
        <f t="shared" ca="1" si="64"/>
        <v>66</v>
      </c>
      <c r="M1409" t="str">
        <f t="shared" si="65"/>
        <v>36-45</v>
      </c>
    </row>
    <row r="1410" spans="1:13" x14ac:dyDescent="0.2">
      <c r="A1410" t="s">
        <v>2816</v>
      </c>
      <c r="B1410" t="s">
        <v>2817</v>
      </c>
      <c r="C1410">
        <v>40</v>
      </c>
      <c r="D1410" t="s">
        <v>20</v>
      </c>
      <c r="E1410" t="s">
        <v>21</v>
      </c>
      <c r="F1410" s="1">
        <v>45754</v>
      </c>
      <c r="G1410" s="1">
        <v>46086</v>
      </c>
      <c r="H1410">
        <v>78</v>
      </c>
      <c r="I1410">
        <v>10</v>
      </c>
      <c r="J1410">
        <v>0</v>
      </c>
      <c r="K1410" t="str">
        <f t="shared" si="63"/>
        <v>Apr-2025</v>
      </c>
      <c r="L1410" s="1">
        <f t="shared" ca="1" si="64"/>
        <v>72</v>
      </c>
      <c r="M1410" t="str">
        <f t="shared" si="65"/>
        <v>36-45</v>
      </c>
    </row>
    <row r="1411" spans="1:13" x14ac:dyDescent="0.2">
      <c r="A1411" t="s">
        <v>2818</v>
      </c>
      <c r="B1411" t="s">
        <v>2819</v>
      </c>
      <c r="C1411">
        <v>26</v>
      </c>
      <c r="D1411" t="s">
        <v>12</v>
      </c>
      <c r="E1411" t="s">
        <v>17</v>
      </c>
      <c r="F1411" s="1">
        <v>45456</v>
      </c>
      <c r="G1411" s="1">
        <v>46141</v>
      </c>
      <c r="H1411">
        <v>4</v>
      </c>
      <c r="I1411">
        <v>2</v>
      </c>
      <c r="J1411">
        <v>0</v>
      </c>
      <c r="K1411" t="str">
        <f t="shared" ref="K1411:K1474" si="66">TEXT(F1411,"MMM-YYYY")</f>
        <v>Jun-2024</v>
      </c>
      <c r="L1411" s="1">
        <f t="shared" ref="L1411:L1474" ca="1" si="67">TODAY()-G1411</f>
        <v>17</v>
      </c>
      <c r="M1411" t="str">
        <f t="shared" ref="M1411:M1474" si="68">IF(C1411&lt;=25,"18-25",IF(C1411&lt;=35,"26-35",IF(C1411&lt;=45,"36-45","46+")))</f>
        <v>26-35</v>
      </c>
    </row>
    <row r="1412" spans="1:13" x14ac:dyDescent="0.2">
      <c r="A1412" t="s">
        <v>2820</v>
      </c>
      <c r="B1412" t="s">
        <v>2821</v>
      </c>
      <c r="C1412">
        <v>41</v>
      </c>
      <c r="D1412" t="s">
        <v>16</v>
      </c>
      <c r="E1412" t="s">
        <v>21</v>
      </c>
      <c r="F1412" s="1">
        <v>45290</v>
      </c>
      <c r="G1412" s="1">
        <v>46083</v>
      </c>
      <c r="H1412">
        <v>77</v>
      </c>
      <c r="I1412">
        <v>4</v>
      </c>
      <c r="J1412">
        <v>1</v>
      </c>
      <c r="K1412" t="str">
        <f t="shared" si="66"/>
        <v>Dec-2023</v>
      </c>
      <c r="L1412" s="1">
        <f t="shared" ca="1" si="67"/>
        <v>75</v>
      </c>
      <c r="M1412" t="str">
        <f t="shared" si="68"/>
        <v>36-45</v>
      </c>
    </row>
    <row r="1413" spans="1:13" x14ac:dyDescent="0.2">
      <c r="A1413" t="s">
        <v>2822</v>
      </c>
      <c r="B1413" t="s">
        <v>2823</v>
      </c>
      <c r="C1413">
        <v>52</v>
      </c>
      <c r="D1413" t="s">
        <v>20</v>
      </c>
      <c r="E1413" t="s">
        <v>17</v>
      </c>
      <c r="F1413" s="1">
        <v>45791</v>
      </c>
      <c r="G1413" s="1">
        <v>46074</v>
      </c>
      <c r="H1413">
        <v>72</v>
      </c>
      <c r="I1413">
        <v>10</v>
      </c>
      <c r="J1413">
        <v>0</v>
      </c>
      <c r="K1413" t="str">
        <f t="shared" si="66"/>
        <v>May-2025</v>
      </c>
      <c r="L1413" s="1">
        <f t="shared" ca="1" si="67"/>
        <v>84</v>
      </c>
      <c r="M1413" t="str">
        <f t="shared" si="68"/>
        <v>46+</v>
      </c>
    </row>
    <row r="1414" spans="1:13" x14ac:dyDescent="0.2">
      <c r="A1414" t="s">
        <v>2824</v>
      </c>
      <c r="B1414" t="s">
        <v>2825</v>
      </c>
      <c r="C1414">
        <v>48</v>
      </c>
      <c r="D1414" t="s">
        <v>12</v>
      </c>
      <c r="E1414" t="s">
        <v>21</v>
      </c>
      <c r="F1414" s="1">
        <v>45299</v>
      </c>
      <c r="G1414" s="1">
        <v>46103</v>
      </c>
      <c r="H1414">
        <v>18</v>
      </c>
      <c r="I1414">
        <v>5</v>
      </c>
      <c r="J1414">
        <v>0</v>
      </c>
      <c r="K1414" t="str">
        <f t="shared" si="66"/>
        <v>Jan-2024</v>
      </c>
      <c r="L1414" s="1">
        <f t="shared" ca="1" si="67"/>
        <v>55</v>
      </c>
      <c r="M1414" t="str">
        <f t="shared" si="68"/>
        <v>46+</v>
      </c>
    </row>
    <row r="1415" spans="1:13" x14ac:dyDescent="0.2">
      <c r="A1415" t="s">
        <v>2826</v>
      </c>
      <c r="B1415" t="s">
        <v>2827</v>
      </c>
      <c r="C1415">
        <v>58</v>
      </c>
      <c r="D1415" t="s">
        <v>12</v>
      </c>
      <c r="E1415" t="s">
        <v>17</v>
      </c>
      <c r="F1415" s="1">
        <v>45798</v>
      </c>
      <c r="G1415" s="1">
        <v>46112</v>
      </c>
      <c r="H1415">
        <v>32</v>
      </c>
      <c r="I1415">
        <v>10</v>
      </c>
      <c r="J1415">
        <v>0</v>
      </c>
      <c r="K1415" t="str">
        <f t="shared" si="66"/>
        <v>May-2025</v>
      </c>
      <c r="L1415" s="1">
        <f t="shared" ca="1" si="67"/>
        <v>46</v>
      </c>
      <c r="M1415" t="str">
        <f t="shared" si="68"/>
        <v>46+</v>
      </c>
    </row>
    <row r="1416" spans="1:13" x14ac:dyDescent="0.2">
      <c r="A1416" t="s">
        <v>2828</v>
      </c>
      <c r="B1416" t="s">
        <v>2829</v>
      </c>
      <c r="C1416">
        <v>34</v>
      </c>
      <c r="D1416" t="s">
        <v>16</v>
      </c>
      <c r="E1416" t="s">
        <v>13</v>
      </c>
      <c r="F1416" s="1">
        <v>45244</v>
      </c>
      <c r="G1416" s="1">
        <v>46085</v>
      </c>
      <c r="H1416">
        <v>0</v>
      </c>
      <c r="I1416">
        <v>6</v>
      </c>
      <c r="J1416">
        <v>0</v>
      </c>
      <c r="K1416" t="str">
        <f t="shared" si="66"/>
        <v>Nov-2023</v>
      </c>
      <c r="L1416" s="1">
        <f t="shared" ca="1" si="67"/>
        <v>73</v>
      </c>
      <c r="M1416" t="str">
        <f t="shared" si="68"/>
        <v>26-35</v>
      </c>
    </row>
    <row r="1417" spans="1:13" x14ac:dyDescent="0.2">
      <c r="A1417" t="s">
        <v>2830</v>
      </c>
      <c r="B1417" t="s">
        <v>2831</v>
      </c>
      <c r="C1417">
        <v>33</v>
      </c>
      <c r="D1417" t="s">
        <v>20</v>
      </c>
      <c r="E1417" t="s">
        <v>13</v>
      </c>
      <c r="F1417" s="1">
        <v>45397</v>
      </c>
      <c r="G1417" s="1">
        <v>46100</v>
      </c>
      <c r="H1417">
        <v>30</v>
      </c>
      <c r="I1417">
        <v>6</v>
      </c>
      <c r="J1417">
        <v>0</v>
      </c>
      <c r="K1417" t="str">
        <f t="shared" si="66"/>
        <v>Apr-2024</v>
      </c>
      <c r="L1417" s="1">
        <f t="shared" ca="1" si="67"/>
        <v>58</v>
      </c>
      <c r="M1417" t="str">
        <f t="shared" si="68"/>
        <v>26-35</v>
      </c>
    </row>
    <row r="1418" spans="1:13" x14ac:dyDescent="0.2">
      <c r="A1418" t="s">
        <v>2832</v>
      </c>
      <c r="B1418" t="s">
        <v>2833</v>
      </c>
      <c r="C1418">
        <v>47</v>
      </c>
      <c r="D1418" t="s">
        <v>20</v>
      </c>
      <c r="E1418" t="s">
        <v>21</v>
      </c>
      <c r="F1418" s="1">
        <v>46096</v>
      </c>
      <c r="G1418" s="1">
        <v>46071</v>
      </c>
      <c r="H1418">
        <v>11</v>
      </c>
      <c r="I1418">
        <v>7</v>
      </c>
      <c r="J1418">
        <v>1</v>
      </c>
      <c r="K1418" t="str">
        <f t="shared" si="66"/>
        <v>Mar-2026</v>
      </c>
      <c r="L1418" s="1">
        <f t="shared" ca="1" si="67"/>
        <v>87</v>
      </c>
      <c r="M1418" t="str">
        <f t="shared" si="68"/>
        <v>46+</v>
      </c>
    </row>
    <row r="1419" spans="1:13" x14ac:dyDescent="0.2">
      <c r="A1419" t="s">
        <v>2834</v>
      </c>
      <c r="B1419" t="s">
        <v>2835</v>
      </c>
      <c r="C1419">
        <v>22</v>
      </c>
      <c r="D1419" t="s">
        <v>20</v>
      </c>
      <c r="E1419" t="s">
        <v>21</v>
      </c>
      <c r="F1419" s="1">
        <v>45913</v>
      </c>
      <c r="G1419" s="1">
        <v>46116</v>
      </c>
      <c r="H1419">
        <v>38</v>
      </c>
      <c r="I1419">
        <v>9</v>
      </c>
      <c r="J1419">
        <v>0</v>
      </c>
      <c r="K1419" t="str">
        <f t="shared" si="66"/>
        <v>Sep-2025</v>
      </c>
      <c r="L1419" s="1">
        <f t="shared" ca="1" si="67"/>
        <v>42</v>
      </c>
      <c r="M1419" t="str">
        <f t="shared" si="68"/>
        <v>18-25</v>
      </c>
    </row>
    <row r="1420" spans="1:13" x14ac:dyDescent="0.2">
      <c r="A1420" t="s">
        <v>2836</v>
      </c>
      <c r="B1420" t="s">
        <v>2837</v>
      </c>
      <c r="C1420">
        <v>45</v>
      </c>
      <c r="D1420" t="s">
        <v>12</v>
      </c>
      <c r="E1420" t="s">
        <v>17</v>
      </c>
      <c r="F1420" s="1">
        <v>45740</v>
      </c>
      <c r="G1420" s="1">
        <v>46137</v>
      </c>
      <c r="H1420">
        <v>80</v>
      </c>
      <c r="I1420">
        <v>5</v>
      </c>
      <c r="J1420">
        <v>0</v>
      </c>
      <c r="K1420" t="str">
        <f t="shared" si="66"/>
        <v>Mar-2025</v>
      </c>
      <c r="L1420" s="1">
        <f t="shared" ca="1" si="67"/>
        <v>21</v>
      </c>
      <c r="M1420" t="str">
        <f t="shared" si="68"/>
        <v>36-45</v>
      </c>
    </row>
    <row r="1421" spans="1:13" x14ac:dyDescent="0.2">
      <c r="A1421" t="s">
        <v>2838</v>
      </c>
      <c r="B1421" t="s">
        <v>2839</v>
      </c>
      <c r="C1421">
        <v>59</v>
      </c>
      <c r="D1421" t="s">
        <v>20</v>
      </c>
      <c r="E1421" t="s">
        <v>21</v>
      </c>
      <c r="F1421" s="1">
        <v>45402</v>
      </c>
      <c r="G1421" s="1">
        <v>46076</v>
      </c>
      <c r="H1421">
        <v>77</v>
      </c>
      <c r="I1421">
        <v>9</v>
      </c>
      <c r="J1421">
        <v>1</v>
      </c>
      <c r="K1421" t="str">
        <f t="shared" si="66"/>
        <v>Apr-2024</v>
      </c>
      <c r="L1421" s="1">
        <f t="shared" ca="1" si="67"/>
        <v>82</v>
      </c>
      <c r="M1421" t="str">
        <f t="shared" si="68"/>
        <v>46+</v>
      </c>
    </row>
    <row r="1422" spans="1:13" x14ac:dyDescent="0.2">
      <c r="A1422" t="s">
        <v>2840</v>
      </c>
      <c r="B1422" t="s">
        <v>2841</v>
      </c>
      <c r="C1422">
        <v>21</v>
      </c>
      <c r="D1422" t="s">
        <v>12</v>
      </c>
      <c r="E1422" t="s">
        <v>17</v>
      </c>
      <c r="F1422" s="1">
        <v>45222</v>
      </c>
      <c r="G1422" s="1">
        <v>46074</v>
      </c>
      <c r="H1422">
        <v>15</v>
      </c>
      <c r="I1422">
        <v>8</v>
      </c>
      <c r="J1422">
        <v>0</v>
      </c>
      <c r="K1422" t="str">
        <f t="shared" si="66"/>
        <v>Oct-2023</v>
      </c>
      <c r="L1422" s="1">
        <f t="shared" ca="1" si="67"/>
        <v>84</v>
      </c>
      <c r="M1422" t="str">
        <f t="shared" si="68"/>
        <v>18-25</v>
      </c>
    </row>
    <row r="1423" spans="1:13" x14ac:dyDescent="0.2">
      <c r="A1423" t="s">
        <v>2842</v>
      </c>
      <c r="B1423" t="s">
        <v>2843</v>
      </c>
      <c r="C1423">
        <v>33</v>
      </c>
      <c r="D1423" t="s">
        <v>16</v>
      </c>
      <c r="E1423" t="s">
        <v>21</v>
      </c>
      <c r="F1423" s="1">
        <v>45959</v>
      </c>
      <c r="G1423" s="1">
        <v>46075</v>
      </c>
      <c r="H1423">
        <v>71</v>
      </c>
      <c r="I1423">
        <v>8</v>
      </c>
      <c r="J1423">
        <v>1</v>
      </c>
      <c r="K1423" t="str">
        <f t="shared" si="66"/>
        <v>Oct-2025</v>
      </c>
      <c r="L1423" s="1">
        <f t="shared" ca="1" si="67"/>
        <v>83</v>
      </c>
      <c r="M1423" t="str">
        <f t="shared" si="68"/>
        <v>26-35</v>
      </c>
    </row>
    <row r="1424" spans="1:13" x14ac:dyDescent="0.2">
      <c r="A1424" t="s">
        <v>2844</v>
      </c>
      <c r="B1424" t="s">
        <v>2845</v>
      </c>
      <c r="C1424">
        <v>45</v>
      </c>
      <c r="D1424" t="s">
        <v>16</v>
      </c>
      <c r="E1424" t="s">
        <v>21</v>
      </c>
      <c r="F1424" s="1">
        <v>45491</v>
      </c>
      <c r="G1424" s="1">
        <v>46048</v>
      </c>
      <c r="H1424">
        <v>9</v>
      </c>
      <c r="I1424">
        <v>10</v>
      </c>
      <c r="J1424">
        <v>0</v>
      </c>
      <c r="K1424" t="str">
        <f t="shared" si="66"/>
        <v>Jul-2024</v>
      </c>
      <c r="L1424" s="1">
        <f t="shared" ca="1" si="67"/>
        <v>110</v>
      </c>
      <c r="M1424" t="str">
        <f t="shared" si="68"/>
        <v>36-45</v>
      </c>
    </row>
    <row r="1425" spans="1:13" x14ac:dyDescent="0.2">
      <c r="A1425" t="s">
        <v>2846</v>
      </c>
      <c r="B1425" t="s">
        <v>2847</v>
      </c>
      <c r="C1425">
        <v>50</v>
      </c>
      <c r="D1425" t="s">
        <v>20</v>
      </c>
      <c r="E1425" t="s">
        <v>21</v>
      </c>
      <c r="F1425" s="1">
        <v>46044</v>
      </c>
      <c r="G1425" s="1">
        <v>46128</v>
      </c>
      <c r="H1425">
        <v>79</v>
      </c>
      <c r="I1425">
        <v>2</v>
      </c>
      <c r="J1425">
        <v>0</v>
      </c>
      <c r="K1425" t="str">
        <f t="shared" si="66"/>
        <v>Jan-2026</v>
      </c>
      <c r="L1425" s="1">
        <f t="shared" ca="1" si="67"/>
        <v>30</v>
      </c>
      <c r="M1425" t="str">
        <f t="shared" si="68"/>
        <v>46+</v>
      </c>
    </row>
    <row r="1426" spans="1:13" x14ac:dyDescent="0.2">
      <c r="A1426" t="s">
        <v>2848</v>
      </c>
      <c r="B1426" t="s">
        <v>2849</v>
      </c>
      <c r="C1426">
        <v>53</v>
      </c>
      <c r="D1426" t="s">
        <v>20</v>
      </c>
      <c r="E1426" t="s">
        <v>21</v>
      </c>
      <c r="F1426" s="1">
        <v>45999</v>
      </c>
      <c r="G1426" s="1">
        <v>46030</v>
      </c>
      <c r="H1426">
        <v>54</v>
      </c>
      <c r="I1426">
        <v>9</v>
      </c>
      <c r="J1426">
        <v>1</v>
      </c>
      <c r="K1426" t="str">
        <f t="shared" si="66"/>
        <v>Dec-2025</v>
      </c>
      <c r="L1426" s="1">
        <f t="shared" ca="1" si="67"/>
        <v>128</v>
      </c>
      <c r="M1426" t="str">
        <f t="shared" si="68"/>
        <v>46+</v>
      </c>
    </row>
    <row r="1427" spans="1:13" x14ac:dyDescent="0.2">
      <c r="A1427" t="s">
        <v>2850</v>
      </c>
      <c r="B1427" t="s">
        <v>2851</v>
      </c>
      <c r="C1427">
        <v>25</v>
      </c>
      <c r="D1427" t="s">
        <v>12</v>
      </c>
      <c r="E1427" t="s">
        <v>17</v>
      </c>
      <c r="F1427" s="1">
        <v>45602</v>
      </c>
      <c r="G1427" s="1">
        <v>46053</v>
      </c>
      <c r="H1427">
        <v>22</v>
      </c>
      <c r="I1427">
        <v>8</v>
      </c>
      <c r="J1427">
        <v>1</v>
      </c>
      <c r="K1427" t="str">
        <f t="shared" si="66"/>
        <v>Nov-2024</v>
      </c>
      <c r="L1427" s="1">
        <f t="shared" ca="1" si="67"/>
        <v>105</v>
      </c>
      <c r="M1427" t="str">
        <f t="shared" si="68"/>
        <v>18-25</v>
      </c>
    </row>
    <row r="1428" spans="1:13" x14ac:dyDescent="0.2">
      <c r="A1428" t="s">
        <v>2852</v>
      </c>
      <c r="B1428" t="s">
        <v>2853</v>
      </c>
      <c r="C1428">
        <v>59</v>
      </c>
      <c r="D1428" t="s">
        <v>20</v>
      </c>
      <c r="E1428" t="s">
        <v>21</v>
      </c>
      <c r="F1428" s="1">
        <v>45159</v>
      </c>
      <c r="G1428" s="1">
        <v>46068</v>
      </c>
      <c r="H1428">
        <v>70</v>
      </c>
      <c r="I1428">
        <v>9</v>
      </c>
      <c r="J1428">
        <v>1</v>
      </c>
      <c r="K1428" t="str">
        <f t="shared" si="66"/>
        <v>Aug-2023</v>
      </c>
      <c r="L1428" s="1">
        <f t="shared" ca="1" si="67"/>
        <v>90</v>
      </c>
      <c r="M1428" t="str">
        <f t="shared" si="68"/>
        <v>46+</v>
      </c>
    </row>
    <row r="1429" spans="1:13" x14ac:dyDescent="0.2">
      <c r="A1429" t="s">
        <v>2854</v>
      </c>
      <c r="B1429" t="s">
        <v>2855</v>
      </c>
      <c r="C1429">
        <v>22</v>
      </c>
      <c r="D1429" t="s">
        <v>12</v>
      </c>
      <c r="E1429" t="s">
        <v>17</v>
      </c>
      <c r="F1429" s="1">
        <v>45660</v>
      </c>
      <c r="G1429" s="1">
        <v>46091</v>
      </c>
      <c r="H1429">
        <v>61</v>
      </c>
      <c r="I1429">
        <v>5</v>
      </c>
      <c r="J1429">
        <v>0</v>
      </c>
      <c r="K1429" t="str">
        <f t="shared" si="66"/>
        <v>Jan-2025</v>
      </c>
      <c r="L1429" s="1">
        <f t="shared" ca="1" si="67"/>
        <v>67</v>
      </c>
      <c r="M1429" t="str">
        <f t="shared" si="68"/>
        <v>18-25</v>
      </c>
    </row>
    <row r="1430" spans="1:13" x14ac:dyDescent="0.2">
      <c r="A1430" t="s">
        <v>2856</v>
      </c>
      <c r="B1430" t="s">
        <v>2857</v>
      </c>
      <c r="C1430">
        <v>20</v>
      </c>
      <c r="D1430" t="s">
        <v>12</v>
      </c>
      <c r="E1430" t="s">
        <v>21</v>
      </c>
      <c r="F1430" s="1">
        <v>46085</v>
      </c>
      <c r="G1430" s="1">
        <v>46120</v>
      </c>
      <c r="H1430">
        <v>14</v>
      </c>
      <c r="I1430">
        <v>5</v>
      </c>
      <c r="J1430">
        <v>1</v>
      </c>
      <c r="K1430" t="str">
        <f t="shared" si="66"/>
        <v>Mar-2026</v>
      </c>
      <c r="L1430" s="1">
        <f t="shared" ca="1" si="67"/>
        <v>38</v>
      </c>
      <c r="M1430" t="str">
        <f t="shared" si="68"/>
        <v>18-25</v>
      </c>
    </row>
    <row r="1431" spans="1:13" x14ac:dyDescent="0.2">
      <c r="A1431" t="s">
        <v>2858</v>
      </c>
      <c r="B1431" t="s">
        <v>2859</v>
      </c>
      <c r="C1431">
        <v>54</v>
      </c>
      <c r="D1431" t="s">
        <v>20</v>
      </c>
      <c r="E1431" t="s">
        <v>17</v>
      </c>
      <c r="F1431" s="1">
        <v>45411</v>
      </c>
      <c r="G1431" s="1">
        <v>46067</v>
      </c>
      <c r="H1431">
        <v>45</v>
      </c>
      <c r="I1431">
        <v>6</v>
      </c>
      <c r="J1431">
        <v>0</v>
      </c>
      <c r="K1431" t="str">
        <f t="shared" si="66"/>
        <v>Apr-2024</v>
      </c>
      <c r="L1431" s="1">
        <f t="shared" ca="1" si="67"/>
        <v>91</v>
      </c>
      <c r="M1431" t="str">
        <f t="shared" si="68"/>
        <v>46+</v>
      </c>
    </row>
    <row r="1432" spans="1:13" x14ac:dyDescent="0.2">
      <c r="A1432" t="s">
        <v>2860</v>
      </c>
      <c r="B1432" t="s">
        <v>2861</v>
      </c>
      <c r="C1432">
        <v>29</v>
      </c>
      <c r="D1432" t="s">
        <v>16</v>
      </c>
      <c r="E1432" t="s">
        <v>21</v>
      </c>
      <c r="F1432" s="1">
        <v>45793</v>
      </c>
      <c r="G1432" s="1">
        <v>46097</v>
      </c>
      <c r="H1432">
        <v>49</v>
      </c>
      <c r="I1432">
        <v>1</v>
      </c>
      <c r="J1432">
        <v>1</v>
      </c>
      <c r="K1432" t="str">
        <f t="shared" si="66"/>
        <v>May-2025</v>
      </c>
      <c r="L1432" s="1">
        <f t="shared" ca="1" si="67"/>
        <v>61</v>
      </c>
      <c r="M1432" t="str">
        <f t="shared" si="68"/>
        <v>26-35</v>
      </c>
    </row>
    <row r="1433" spans="1:13" x14ac:dyDescent="0.2">
      <c r="A1433" t="s">
        <v>2862</v>
      </c>
      <c r="B1433" t="s">
        <v>2863</v>
      </c>
      <c r="C1433">
        <v>60</v>
      </c>
      <c r="D1433" t="s">
        <v>16</v>
      </c>
      <c r="E1433" t="s">
        <v>21</v>
      </c>
      <c r="F1433" s="1">
        <v>45918</v>
      </c>
      <c r="G1433" s="1">
        <v>46130</v>
      </c>
      <c r="H1433">
        <v>42</v>
      </c>
      <c r="I1433">
        <v>1</v>
      </c>
      <c r="J1433">
        <v>0</v>
      </c>
      <c r="K1433" t="str">
        <f t="shared" si="66"/>
        <v>Sep-2025</v>
      </c>
      <c r="L1433" s="1">
        <f t="shared" ca="1" si="67"/>
        <v>28</v>
      </c>
      <c r="M1433" t="str">
        <f t="shared" si="68"/>
        <v>46+</v>
      </c>
    </row>
    <row r="1434" spans="1:13" x14ac:dyDescent="0.2">
      <c r="A1434" t="s">
        <v>2864</v>
      </c>
      <c r="B1434" t="s">
        <v>2865</v>
      </c>
      <c r="C1434">
        <v>35</v>
      </c>
      <c r="D1434" t="s">
        <v>20</v>
      </c>
      <c r="E1434" t="s">
        <v>21</v>
      </c>
      <c r="F1434" s="1">
        <v>45735</v>
      </c>
      <c r="G1434" s="1">
        <v>46096</v>
      </c>
      <c r="H1434">
        <v>16</v>
      </c>
      <c r="I1434">
        <v>2</v>
      </c>
      <c r="J1434">
        <v>1</v>
      </c>
      <c r="K1434" t="str">
        <f t="shared" si="66"/>
        <v>Mar-2025</v>
      </c>
      <c r="L1434" s="1">
        <f t="shared" ca="1" si="67"/>
        <v>62</v>
      </c>
      <c r="M1434" t="str">
        <f t="shared" si="68"/>
        <v>26-35</v>
      </c>
    </row>
    <row r="1435" spans="1:13" x14ac:dyDescent="0.2">
      <c r="A1435" t="s">
        <v>2866</v>
      </c>
      <c r="B1435" t="s">
        <v>2867</v>
      </c>
      <c r="C1435">
        <v>45</v>
      </c>
      <c r="D1435" t="s">
        <v>20</v>
      </c>
      <c r="E1435" t="s">
        <v>13</v>
      </c>
      <c r="F1435" s="1">
        <v>45407</v>
      </c>
      <c r="G1435" s="1">
        <v>46142</v>
      </c>
      <c r="H1435">
        <v>8</v>
      </c>
      <c r="I1435">
        <v>9</v>
      </c>
      <c r="J1435">
        <v>0</v>
      </c>
      <c r="K1435" t="str">
        <f t="shared" si="66"/>
        <v>Apr-2024</v>
      </c>
      <c r="L1435" s="1">
        <f t="shared" ca="1" si="67"/>
        <v>16</v>
      </c>
      <c r="M1435" t="str">
        <f t="shared" si="68"/>
        <v>36-45</v>
      </c>
    </row>
    <row r="1436" spans="1:13" x14ac:dyDescent="0.2">
      <c r="A1436" t="s">
        <v>2868</v>
      </c>
      <c r="B1436" t="s">
        <v>2869</v>
      </c>
      <c r="C1436">
        <v>50</v>
      </c>
      <c r="D1436" t="s">
        <v>20</v>
      </c>
      <c r="E1436" t="s">
        <v>17</v>
      </c>
      <c r="F1436" s="1">
        <v>45624</v>
      </c>
      <c r="G1436" s="1">
        <v>46140</v>
      </c>
      <c r="H1436">
        <v>41</v>
      </c>
      <c r="I1436">
        <v>3</v>
      </c>
      <c r="J1436">
        <v>1</v>
      </c>
      <c r="K1436" t="str">
        <f t="shared" si="66"/>
        <v>Nov-2024</v>
      </c>
      <c r="L1436" s="1">
        <f t="shared" ca="1" si="67"/>
        <v>18</v>
      </c>
      <c r="M1436" t="str">
        <f t="shared" si="68"/>
        <v>46+</v>
      </c>
    </row>
    <row r="1437" spans="1:13" x14ac:dyDescent="0.2">
      <c r="A1437" t="s">
        <v>2870</v>
      </c>
      <c r="B1437" t="s">
        <v>2871</v>
      </c>
      <c r="C1437">
        <v>39</v>
      </c>
      <c r="D1437" t="s">
        <v>12</v>
      </c>
      <c r="E1437" t="s">
        <v>17</v>
      </c>
      <c r="F1437" s="1">
        <v>45713</v>
      </c>
      <c r="G1437" s="1">
        <v>46130</v>
      </c>
      <c r="H1437">
        <v>5</v>
      </c>
      <c r="I1437">
        <v>6</v>
      </c>
      <c r="J1437">
        <v>1</v>
      </c>
      <c r="K1437" t="str">
        <f t="shared" si="66"/>
        <v>Feb-2025</v>
      </c>
      <c r="L1437" s="1">
        <f t="shared" ca="1" si="67"/>
        <v>28</v>
      </c>
      <c r="M1437" t="str">
        <f t="shared" si="68"/>
        <v>36-45</v>
      </c>
    </row>
    <row r="1438" spans="1:13" x14ac:dyDescent="0.2">
      <c r="A1438" t="s">
        <v>2872</v>
      </c>
      <c r="B1438" t="s">
        <v>2873</v>
      </c>
      <c r="C1438">
        <v>37</v>
      </c>
      <c r="D1438" t="s">
        <v>16</v>
      </c>
      <c r="E1438" t="s">
        <v>13</v>
      </c>
      <c r="F1438" s="1">
        <v>45259</v>
      </c>
      <c r="G1438" s="1">
        <v>46100</v>
      </c>
      <c r="H1438">
        <v>80</v>
      </c>
      <c r="I1438">
        <v>10</v>
      </c>
      <c r="J1438">
        <v>0</v>
      </c>
      <c r="K1438" t="str">
        <f t="shared" si="66"/>
        <v>Nov-2023</v>
      </c>
      <c r="L1438" s="1">
        <f t="shared" ca="1" si="67"/>
        <v>58</v>
      </c>
      <c r="M1438" t="str">
        <f t="shared" si="68"/>
        <v>36-45</v>
      </c>
    </row>
    <row r="1439" spans="1:13" x14ac:dyDescent="0.2">
      <c r="A1439" t="s">
        <v>2874</v>
      </c>
      <c r="B1439" t="s">
        <v>2875</v>
      </c>
      <c r="C1439">
        <v>44</v>
      </c>
      <c r="D1439" t="s">
        <v>16</v>
      </c>
      <c r="E1439" t="s">
        <v>17</v>
      </c>
      <c r="F1439" s="1">
        <v>45770</v>
      </c>
      <c r="G1439" s="1">
        <v>46030</v>
      </c>
      <c r="H1439">
        <v>25</v>
      </c>
      <c r="I1439">
        <v>10</v>
      </c>
      <c r="J1439">
        <v>1</v>
      </c>
      <c r="K1439" t="str">
        <f t="shared" si="66"/>
        <v>Apr-2025</v>
      </c>
      <c r="L1439" s="1">
        <f t="shared" ca="1" si="67"/>
        <v>128</v>
      </c>
      <c r="M1439" t="str">
        <f t="shared" si="68"/>
        <v>36-45</v>
      </c>
    </row>
    <row r="1440" spans="1:13" x14ac:dyDescent="0.2">
      <c r="A1440" t="s">
        <v>2876</v>
      </c>
      <c r="B1440" t="s">
        <v>2877</v>
      </c>
      <c r="C1440">
        <v>58</v>
      </c>
      <c r="D1440" t="s">
        <v>12</v>
      </c>
      <c r="E1440" t="s">
        <v>17</v>
      </c>
      <c r="F1440" s="1">
        <v>45521</v>
      </c>
      <c r="G1440" s="1">
        <v>46045</v>
      </c>
      <c r="H1440">
        <v>0</v>
      </c>
      <c r="I1440">
        <v>9</v>
      </c>
      <c r="J1440">
        <v>1</v>
      </c>
      <c r="K1440" t="str">
        <f t="shared" si="66"/>
        <v>Aug-2024</v>
      </c>
      <c r="L1440" s="1">
        <f t="shared" ca="1" si="67"/>
        <v>113</v>
      </c>
      <c r="M1440" t="str">
        <f t="shared" si="68"/>
        <v>46+</v>
      </c>
    </row>
    <row r="1441" spans="1:13" x14ac:dyDescent="0.2">
      <c r="A1441" t="s">
        <v>2878</v>
      </c>
      <c r="B1441" t="s">
        <v>2879</v>
      </c>
      <c r="C1441">
        <v>58</v>
      </c>
      <c r="D1441" t="s">
        <v>16</v>
      </c>
      <c r="E1441" t="s">
        <v>21</v>
      </c>
      <c r="F1441" s="1">
        <v>45277</v>
      </c>
      <c r="G1441" s="1">
        <v>46087</v>
      </c>
      <c r="H1441">
        <v>2</v>
      </c>
      <c r="I1441">
        <v>7</v>
      </c>
      <c r="J1441">
        <v>1</v>
      </c>
      <c r="K1441" t="str">
        <f t="shared" si="66"/>
        <v>Dec-2023</v>
      </c>
      <c r="L1441" s="1">
        <f t="shared" ca="1" si="67"/>
        <v>71</v>
      </c>
      <c r="M1441" t="str">
        <f t="shared" si="68"/>
        <v>46+</v>
      </c>
    </row>
    <row r="1442" spans="1:13" x14ac:dyDescent="0.2">
      <c r="A1442" t="s">
        <v>2880</v>
      </c>
      <c r="B1442" t="s">
        <v>2881</v>
      </c>
      <c r="C1442">
        <v>46</v>
      </c>
      <c r="D1442" t="s">
        <v>16</v>
      </c>
      <c r="E1442" t="s">
        <v>21</v>
      </c>
      <c r="F1442" s="1">
        <v>45230</v>
      </c>
      <c r="G1442" s="1">
        <v>46114</v>
      </c>
      <c r="H1442">
        <v>5</v>
      </c>
      <c r="I1442">
        <v>1</v>
      </c>
      <c r="J1442">
        <v>1</v>
      </c>
      <c r="K1442" t="str">
        <f t="shared" si="66"/>
        <v>Oct-2023</v>
      </c>
      <c r="L1442" s="1">
        <f t="shared" ca="1" si="67"/>
        <v>44</v>
      </c>
      <c r="M1442" t="str">
        <f t="shared" si="68"/>
        <v>46+</v>
      </c>
    </row>
    <row r="1443" spans="1:13" x14ac:dyDescent="0.2">
      <c r="A1443" t="s">
        <v>2882</v>
      </c>
      <c r="B1443" t="s">
        <v>2883</v>
      </c>
      <c r="C1443">
        <v>35</v>
      </c>
      <c r="D1443" t="s">
        <v>12</v>
      </c>
      <c r="E1443" t="s">
        <v>13</v>
      </c>
      <c r="F1443" s="1">
        <v>45956</v>
      </c>
      <c r="G1443" s="1">
        <v>46142</v>
      </c>
      <c r="H1443">
        <v>7</v>
      </c>
      <c r="I1443">
        <v>5</v>
      </c>
      <c r="J1443">
        <v>0</v>
      </c>
      <c r="K1443" t="str">
        <f t="shared" si="66"/>
        <v>Oct-2025</v>
      </c>
      <c r="L1443" s="1">
        <f t="shared" ca="1" si="67"/>
        <v>16</v>
      </c>
      <c r="M1443" t="str">
        <f t="shared" si="68"/>
        <v>26-35</v>
      </c>
    </row>
    <row r="1444" spans="1:13" x14ac:dyDescent="0.2">
      <c r="A1444" t="s">
        <v>2884</v>
      </c>
      <c r="B1444" t="s">
        <v>2885</v>
      </c>
      <c r="C1444">
        <v>51</v>
      </c>
      <c r="D1444" t="s">
        <v>16</v>
      </c>
      <c r="E1444" t="s">
        <v>21</v>
      </c>
      <c r="F1444" s="1">
        <v>45415</v>
      </c>
      <c r="G1444" s="1">
        <v>46112</v>
      </c>
      <c r="H1444">
        <v>62</v>
      </c>
      <c r="I1444">
        <v>8</v>
      </c>
      <c r="J1444">
        <v>0</v>
      </c>
      <c r="K1444" t="str">
        <f t="shared" si="66"/>
        <v>May-2024</v>
      </c>
      <c r="L1444" s="1">
        <f t="shared" ca="1" si="67"/>
        <v>46</v>
      </c>
      <c r="M1444" t="str">
        <f t="shared" si="68"/>
        <v>46+</v>
      </c>
    </row>
    <row r="1445" spans="1:13" x14ac:dyDescent="0.2">
      <c r="A1445" t="s">
        <v>2886</v>
      </c>
      <c r="B1445" t="s">
        <v>2887</v>
      </c>
      <c r="C1445">
        <v>22</v>
      </c>
      <c r="D1445" t="s">
        <v>16</v>
      </c>
      <c r="E1445" t="s">
        <v>21</v>
      </c>
      <c r="F1445" s="1">
        <v>46117</v>
      </c>
      <c r="G1445" s="1">
        <v>46056</v>
      </c>
      <c r="H1445">
        <v>55</v>
      </c>
      <c r="I1445">
        <v>6</v>
      </c>
      <c r="J1445">
        <v>0</v>
      </c>
      <c r="K1445" t="str">
        <f t="shared" si="66"/>
        <v>Apr-2026</v>
      </c>
      <c r="L1445" s="1">
        <f t="shared" ca="1" si="67"/>
        <v>102</v>
      </c>
      <c r="M1445" t="str">
        <f t="shared" si="68"/>
        <v>18-25</v>
      </c>
    </row>
    <row r="1446" spans="1:13" x14ac:dyDescent="0.2">
      <c r="A1446" t="s">
        <v>2888</v>
      </c>
      <c r="B1446" t="s">
        <v>2889</v>
      </c>
      <c r="C1446">
        <v>19</v>
      </c>
      <c r="D1446" t="s">
        <v>20</v>
      </c>
      <c r="E1446" t="s">
        <v>21</v>
      </c>
      <c r="F1446" s="1">
        <v>45189</v>
      </c>
      <c r="G1446" s="1">
        <v>46127</v>
      </c>
      <c r="H1446">
        <v>31</v>
      </c>
      <c r="I1446">
        <v>1</v>
      </c>
      <c r="J1446">
        <v>1</v>
      </c>
      <c r="K1446" t="str">
        <f t="shared" si="66"/>
        <v>Sep-2023</v>
      </c>
      <c r="L1446" s="1">
        <f t="shared" ca="1" si="67"/>
        <v>31</v>
      </c>
      <c r="M1446" t="str">
        <f t="shared" si="68"/>
        <v>18-25</v>
      </c>
    </row>
    <row r="1447" spans="1:13" x14ac:dyDescent="0.2">
      <c r="A1447" t="s">
        <v>2890</v>
      </c>
      <c r="B1447" t="s">
        <v>2891</v>
      </c>
      <c r="C1447">
        <v>37</v>
      </c>
      <c r="D1447" t="s">
        <v>20</v>
      </c>
      <c r="E1447" t="s">
        <v>17</v>
      </c>
      <c r="F1447" s="1">
        <v>45356</v>
      </c>
      <c r="G1447" s="1">
        <v>46135</v>
      </c>
      <c r="H1447">
        <v>33</v>
      </c>
      <c r="I1447">
        <v>2</v>
      </c>
      <c r="J1447">
        <v>1</v>
      </c>
      <c r="K1447" t="str">
        <f t="shared" si="66"/>
        <v>Mar-2024</v>
      </c>
      <c r="L1447" s="1">
        <f t="shared" ca="1" si="67"/>
        <v>23</v>
      </c>
      <c r="M1447" t="str">
        <f t="shared" si="68"/>
        <v>36-45</v>
      </c>
    </row>
    <row r="1448" spans="1:13" x14ac:dyDescent="0.2">
      <c r="A1448" t="s">
        <v>2892</v>
      </c>
      <c r="B1448" t="s">
        <v>2893</v>
      </c>
      <c r="C1448">
        <v>54</v>
      </c>
      <c r="D1448" t="s">
        <v>16</v>
      </c>
      <c r="E1448" t="s">
        <v>13</v>
      </c>
      <c r="F1448" s="1">
        <v>45343</v>
      </c>
      <c r="G1448" s="1">
        <v>46110</v>
      </c>
      <c r="H1448">
        <v>77</v>
      </c>
      <c r="I1448">
        <v>8</v>
      </c>
      <c r="J1448">
        <v>0</v>
      </c>
      <c r="K1448" t="str">
        <f t="shared" si="66"/>
        <v>Feb-2024</v>
      </c>
      <c r="L1448" s="1">
        <f t="shared" ca="1" si="67"/>
        <v>48</v>
      </c>
      <c r="M1448" t="str">
        <f t="shared" si="68"/>
        <v>46+</v>
      </c>
    </row>
    <row r="1449" spans="1:13" x14ac:dyDescent="0.2">
      <c r="A1449" t="s">
        <v>2894</v>
      </c>
      <c r="B1449" t="s">
        <v>2895</v>
      </c>
      <c r="C1449">
        <v>40</v>
      </c>
      <c r="D1449" t="s">
        <v>20</v>
      </c>
      <c r="E1449" t="s">
        <v>21</v>
      </c>
      <c r="F1449" s="1">
        <v>45613</v>
      </c>
      <c r="G1449" s="1">
        <v>46043</v>
      </c>
      <c r="H1449">
        <v>20</v>
      </c>
      <c r="I1449">
        <v>6</v>
      </c>
      <c r="J1449">
        <v>0</v>
      </c>
      <c r="K1449" t="str">
        <f t="shared" si="66"/>
        <v>Nov-2024</v>
      </c>
      <c r="L1449" s="1">
        <f t="shared" ca="1" si="67"/>
        <v>115</v>
      </c>
      <c r="M1449" t="str">
        <f t="shared" si="68"/>
        <v>36-45</v>
      </c>
    </row>
    <row r="1450" spans="1:13" x14ac:dyDescent="0.2">
      <c r="A1450" t="s">
        <v>2896</v>
      </c>
      <c r="B1450" t="s">
        <v>2897</v>
      </c>
      <c r="C1450">
        <v>46</v>
      </c>
      <c r="D1450" t="s">
        <v>16</v>
      </c>
      <c r="E1450" t="s">
        <v>13</v>
      </c>
      <c r="F1450" s="1">
        <v>45846</v>
      </c>
      <c r="G1450" s="1">
        <v>46083</v>
      </c>
      <c r="H1450">
        <v>55</v>
      </c>
      <c r="I1450">
        <v>7</v>
      </c>
      <c r="J1450">
        <v>1</v>
      </c>
      <c r="K1450" t="str">
        <f t="shared" si="66"/>
        <v>Jul-2025</v>
      </c>
      <c r="L1450" s="1">
        <f t="shared" ca="1" si="67"/>
        <v>75</v>
      </c>
      <c r="M1450" t="str">
        <f t="shared" si="68"/>
        <v>46+</v>
      </c>
    </row>
    <row r="1451" spans="1:13" x14ac:dyDescent="0.2">
      <c r="A1451" t="s">
        <v>2898</v>
      </c>
      <c r="B1451" t="s">
        <v>2899</v>
      </c>
      <c r="C1451">
        <v>45</v>
      </c>
      <c r="D1451" t="s">
        <v>20</v>
      </c>
      <c r="E1451" t="s">
        <v>21</v>
      </c>
      <c r="F1451" s="1">
        <v>46096</v>
      </c>
      <c r="G1451" s="1">
        <v>46140</v>
      </c>
      <c r="H1451">
        <v>48</v>
      </c>
      <c r="I1451">
        <v>3</v>
      </c>
      <c r="J1451">
        <v>1</v>
      </c>
      <c r="K1451" t="str">
        <f t="shared" si="66"/>
        <v>Mar-2026</v>
      </c>
      <c r="L1451" s="1">
        <f t="shared" ca="1" si="67"/>
        <v>18</v>
      </c>
      <c r="M1451" t="str">
        <f t="shared" si="68"/>
        <v>36-45</v>
      </c>
    </row>
    <row r="1452" spans="1:13" x14ac:dyDescent="0.2">
      <c r="A1452" t="s">
        <v>2900</v>
      </c>
      <c r="B1452" t="s">
        <v>2901</v>
      </c>
      <c r="C1452">
        <v>54</v>
      </c>
      <c r="D1452" t="s">
        <v>20</v>
      </c>
      <c r="E1452" t="s">
        <v>21</v>
      </c>
      <c r="F1452" s="1">
        <v>45482</v>
      </c>
      <c r="G1452" s="1">
        <v>46149</v>
      </c>
      <c r="H1452">
        <v>42</v>
      </c>
      <c r="I1452">
        <v>5</v>
      </c>
      <c r="J1452">
        <v>0</v>
      </c>
      <c r="K1452" t="str">
        <f t="shared" si="66"/>
        <v>Jul-2024</v>
      </c>
      <c r="L1452" s="1">
        <f t="shared" ca="1" si="67"/>
        <v>9</v>
      </c>
      <c r="M1452" t="str">
        <f t="shared" si="68"/>
        <v>46+</v>
      </c>
    </row>
    <row r="1453" spans="1:13" x14ac:dyDescent="0.2">
      <c r="A1453" t="s">
        <v>2902</v>
      </c>
      <c r="B1453" t="s">
        <v>2903</v>
      </c>
      <c r="C1453">
        <v>49</v>
      </c>
      <c r="D1453" t="s">
        <v>20</v>
      </c>
      <c r="E1453" t="s">
        <v>17</v>
      </c>
      <c r="F1453" s="1">
        <v>45161</v>
      </c>
      <c r="G1453" s="1">
        <v>46059</v>
      </c>
      <c r="H1453">
        <v>43</v>
      </c>
      <c r="I1453">
        <v>1</v>
      </c>
      <c r="J1453">
        <v>0</v>
      </c>
      <c r="K1453" t="str">
        <f t="shared" si="66"/>
        <v>Aug-2023</v>
      </c>
      <c r="L1453" s="1">
        <f t="shared" ca="1" si="67"/>
        <v>99</v>
      </c>
      <c r="M1453" t="str">
        <f t="shared" si="68"/>
        <v>46+</v>
      </c>
    </row>
    <row r="1454" spans="1:13" x14ac:dyDescent="0.2">
      <c r="A1454" t="s">
        <v>2904</v>
      </c>
      <c r="B1454" t="s">
        <v>2905</v>
      </c>
      <c r="C1454">
        <v>29</v>
      </c>
      <c r="D1454" t="s">
        <v>20</v>
      </c>
      <c r="E1454" t="s">
        <v>17</v>
      </c>
      <c r="F1454" s="1">
        <v>45443</v>
      </c>
      <c r="G1454" s="1">
        <v>46135</v>
      </c>
      <c r="H1454">
        <v>55</v>
      </c>
      <c r="I1454">
        <v>7</v>
      </c>
      <c r="J1454">
        <v>0</v>
      </c>
      <c r="K1454" t="str">
        <f t="shared" si="66"/>
        <v>May-2024</v>
      </c>
      <c r="L1454" s="1">
        <f t="shared" ca="1" si="67"/>
        <v>23</v>
      </c>
      <c r="M1454" t="str">
        <f t="shared" si="68"/>
        <v>26-35</v>
      </c>
    </row>
    <row r="1455" spans="1:13" x14ac:dyDescent="0.2">
      <c r="A1455" t="s">
        <v>2906</v>
      </c>
      <c r="B1455" t="s">
        <v>2907</v>
      </c>
      <c r="C1455">
        <v>38</v>
      </c>
      <c r="D1455" t="s">
        <v>20</v>
      </c>
      <c r="E1455" t="s">
        <v>17</v>
      </c>
      <c r="F1455" s="1">
        <v>45664</v>
      </c>
      <c r="G1455" s="1">
        <v>46118</v>
      </c>
      <c r="H1455">
        <v>70</v>
      </c>
      <c r="I1455">
        <v>4</v>
      </c>
      <c r="J1455">
        <v>0</v>
      </c>
      <c r="K1455" t="str">
        <f t="shared" si="66"/>
        <v>Jan-2025</v>
      </c>
      <c r="L1455" s="1">
        <f t="shared" ca="1" si="67"/>
        <v>40</v>
      </c>
      <c r="M1455" t="str">
        <f t="shared" si="68"/>
        <v>36-45</v>
      </c>
    </row>
    <row r="1456" spans="1:13" x14ac:dyDescent="0.2">
      <c r="A1456" t="s">
        <v>2908</v>
      </c>
      <c r="B1456" t="s">
        <v>2909</v>
      </c>
      <c r="C1456">
        <v>24</v>
      </c>
      <c r="D1456" t="s">
        <v>20</v>
      </c>
      <c r="E1456" t="s">
        <v>17</v>
      </c>
      <c r="F1456" s="1">
        <v>45724</v>
      </c>
      <c r="G1456" s="1">
        <v>46138</v>
      </c>
      <c r="H1456">
        <v>34</v>
      </c>
      <c r="I1456">
        <v>8</v>
      </c>
      <c r="J1456">
        <v>0</v>
      </c>
      <c r="K1456" t="str">
        <f t="shared" si="66"/>
        <v>Mar-2025</v>
      </c>
      <c r="L1456" s="1">
        <f t="shared" ca="1" si="67"/>
        <v>20</v>
      </c>
      <c r="M1456" t="str">
        <f t="shared" si="68"/>
        <v>18-25</v>
      </c>
    </row>
    <row r="1457" spans="1:13" x14ac:dyDescent="0.2">
      <c r="A1457" t="s">
        <v>2910</v>
      </c>
      <c r="B1457" t="s">
        <v>2911</v>
      </c>
      <c r="C1457">
        <v>54</v>
      </c>
      <c r="D1457" t="s">
        <v>16</v>
      </c>
      <c r="E1457" t="s">
        <v>13</v>
      </c>
      <c r="F1457" s="1">
        <v>46104</v>
      </c>
      <c r="G1457" s="1">
        <v>46061</v>
      </c>
      <c r="H1457">
        <v>25</v>
      </c>
      <c r="I1457">
        <v>9</v>
      </c>
      <c r="J1457">
        <v>1</v>
      </c>
      <c r="K1457" t="str">
        <f t="shared" si="66"/>
        <v>Mar-2026</v>
      </c>
      <c r="L1457" s="1">
        <f t="shared" ca="1" si="67"/>
        <v>97</v>
      </c>
      <c r="M1457" t="str">
        <f t="shared" si="68"/>
        <v>46+</v>
      </c>
    </row>
    <row r="1458" spans="1:13" x14ac:dyDescent="0.2">
      <c r="A1458" t="s">
        <v>2912</v>
      </c>
      <c r="B1458" t="s">
        <v>2913</v>
      </c>
      <c r="C1458">
        <v>30</v>
      </c>
      <c r="D1458" t="s">
        <v>20</v>
      </c>
      <c r="E1458" t="s">
        <v>17</v>
      </c>
      <c r="F1458" s="1">
        <v>45749</v>
      </c>
      <c r="G1458" s="1">
        <v>46082</v>
      </c>
      <c r="H1458">
        <v>24</v>
      </c>
      <c r="I1458">
        <v>4</v>
      </c>
      <c r="J1458">
        <v>1</v>
      </c>
      <c r="K1458" t="str">
        <f t="shared" si="66"/>
        <v>Apr-2025</v>
      </c>
      <c r="L1458" s="1">
        <f t="shared" ca="1" si="67"/>
        <v>76</v>
      </c>
      <c r="M1458" t="str">
        <f t="shared" si="68"/>
        <v>26-35</v>
      </c>
    </row>
    <row r="1459" spans="1:13" x14ac:dyDescent="0.2">
      <c r="A1459" t="s">
        <v>2914</v>
      </c>
      <c r="B1459" t="s">
        <v>2915</v>
      </c>
      <c r="C1459">
        <v>52</v>
      </c>
      <c r="D1459" t="s">
        <v>12</v>
      </c>
      <c r="E1459" t="s">
        <v>21</v>
      </c>
      <c r="F1459" s="1">
        <v>45972</v>
      </c>
      <c r="G1459" s="1">
        <v>46146</v>
      </c>
      <c r="H1459">
        <v>65</v>
      </c>
      <c r="I1459">
        <v>3</v>
      </c>
      <c r="J1459">
        <v>0</v>
      </c>
      <c r="K1459" t="str">
        <f t="shared" si="66"/>
        <v>Nov-2025</v>
      </c>
      <c r="L1459" s="1">
        <f t="shared" ca="1" si="67"/>
        <v>12</v>
      </c>
      <c r="M1459" t="str">
        <f t="shared" si="68"/>
        <v>46+</v>
      </c>
    </row>
    <row r="1460" spans="1:13" x14ac:dyDescent="0.2">
      <c r="A1460" t="s">
        <v>2916</v>
      </c>
      <c r="B1460" t="s">
        <v>2917</v>
      </c>
      <c r="C1460">
        <v>39</v>
      </c>
      <c r="D1460" t="s">
        <v>20</v>
      </c>
      <c r="E1460" t="s">
        <v>17</v>
      </c>
      <c r="F1460" s="1">
        <v>45442</v>
      </c>
      <c r="G1460" s="1">
        <v>46148</v>
      </c>
      <c r="H1460">
        <v>77</v>
      </c>
      <c r="I1460">
        <v>2</v>
      </c>
      <c r="J1460">
        <v>0</v>
      </c>
      <c r="K1460" t="str">
        <f t="shared" si="66"/>
        <v>May-2024</v>
      </c>
      <c r="L1460" s="1">
        <f t="shared" ca="1" si="67"/>
        <v>10</v>
      </c>
      <c r="M1460" t="str">
        <f t="shared" si="68"/>
        <v>36-45</v>
      </c>
    </row>
    <row r="1461" spans="1:13" x14ac:dyDescent="0.2">
      <c r="A1461" t="s">
        <v>2918</v>
      </c>
      <c r="B1461" t="s">
        <v>2919</v>
      </c>
      <c r="C1461">
        <v>35</v>
      </c>
      <c r="D1461" t="s">
        <v>20</v>
      </c>
      <c r="E1461" t="s">
        <v>17</v>
      </c>
      <c r="F1461" s="1">
        <v>45773</v>
      </c>
      <c r="G1461" s="1">
        <v>46054</v>
      </c>
      <c r="H1461">
        <v>22</v>
      </c>
      <c r="I1461">
        <v>3</v>
      </c>
      <c r="J1461">
        <v>1</v>
      </c>
      <c r="K1461" t="str">
        <f t="shared" si="66"/>
        <v>Apr-2025</v>
      </c>
      <c r="L1461" s="1">
        <f t="shared" ca="1" si="67"/>
        <v>104</v>
      </c>
      <c r="M1461" t="str">
        <f t="shared" si="68"/>
        <v>26-35</v>
      </c>
    </row>
    <row r="1462" spans="1:13" x14ac:dyDescent="0.2">
      <c r="A1462" t="s">
        <v>2920</v>
      </c>
      <c r="B1462" t="s">
        <v>2921</v>
      </c>
      <c r="C1462">
        <v>53</v>
      </c>
      <c r="D1462" t="s">
        <v>16</v>
      </c>
      <c r="E1462" t="s">
        <v>13</v>
      </c>
      <c r="F1462" s="1">
        <v>45580</v>
      </c>
      <c r="G1462" s="1">
        <v>46131</v>
      </c>
      <c r="H1462">
        <v>43</v>
      </c>
      <c r="I1462">
        <v>5</v>
      </c>
      <c r="J1462">
        <v>0</v>
      </c>
      <c r="K1462" t="str">
        <f t="shared" si="66"/>
        <v>Oct-2024</v>
      </c>
      <c r="L1462" s="1">
        <f t="shared" ca="1" si="67"/>
        <v>27</v>
      </c>
      <c r="M1462" t="str">
        <f t="shared" si="68"/>
        <v>46+</v>
      </c>
    </row>
    <row r="1463" spans="1:13" x14ac:dyDescent="0.2">
      <c r="A1463" t="s">
        <v>2922</v>
      </c>
      <c r="B1463" t="s">
        <v>2923</v>
      </c>
      <c r="C1463">
        <v>44</v>
      </c>
      <c r="D1463" t="s">
        <v>12</v>
      </c>
      <c r="E1463" t="s">
        <v>13</v>
      </c>
      <c r="F1463" s="1">
        <v>45743</v>
      </c>
      <c r="G1463" s="1">
        <v>46068</v>
      </c>
      <c r="H1463">
        <v>78</v>
      </c>
      <c r="I1463">
        <v>7</v>
      </c>
      <c r="J1463">
        <v>0</v>
      </c>
      <c r="K1463" t="str">
        <f t="shared" si="66"/>
        <v>Mar-2025</v>
      </c>
      <c r="L1463" s="1">
        <f t="shared" ca="1" si="67"/>
        <v>90</v>
      </c>
      <c r="M1463" t="str">
        <f t="shared" si="68"/>
        <v>36-45</v>
      </c>
    </row>
    <row r="1464" spans="1:13" x14ac:dyDescent="0.2">
      <c r="A1464" t="s">
        <v>2924</v>
      </c>
      <c r="B1464" t="s">
        <v>1505</v>
      </c>
      <c r="C1464">
        <v>48</v>
      </c>
      <c r="D1464" t="s">
        <v>12</v>
      </c>
      <c r="E1464" t="s">
        <v>17</v>
      </c>
      <c r="F1464" s="1">
        <v>45714</v>
      </c>
      <c r="G1464" s="1">
        <v>46131</v>
      </c>
      <c r="H1464">
        <v>20</v>
      </c>
      <c r="I1464">
        <v>1</v>
      </c>
      <c r="J1464">
        <v>0</v>
      </c>
      <c r="K1464" t="str">
        <f t="shared" si="66"/>
        <v>Feb-2025</v>
      </c>
      <c r="L1464" s="1">
        <f t="shared" ca="1" si="67"/>
        <v>27</v>
      </c>
      <c r="M1464" t="str">
        <f t="shared" si="68"/>
        <v>46+</v>
      </c>
    </row>
    <row r="1465" spans="1:13" x14ac:dyDescent="0.2">
      <c r="A1465" t="s">
        <v>2925</v>
      </c>
      <c r="B1465" t="s">
        <v>2926</v>
      </c>
      <c r="C1465">
        <v>35</v>
      </c>
      <c r="D1465" t="s">
        <v>12</v>
      </c>
      <c r="E1465" t="s">
        <v>21</v>
      </c>
      <c r="F1465" s="1">
        <v>45649</v>
      </c>
      <c r="G1465" s="1">
        <v>46038</v>
      </c>
      <c r="H1465">
        <v>66</v>
      </c>
      <c r="I1465">
        <v>6</v>
      </c>
      <c r="J1465">
        <v>0</v>
      </c>
      <c r="K1465" t="str">
        <f t="shared" si="66"/>
        <v>Dec-2024</v>
      </c>
      <c r="L1465" s="1">
        <f t="shared" ca="1" si="67"/>
        <v>120</v>
      </c>
      <c r="M1465" t="str">
        <f t="shared" si="68"/>
        <v>26-35</v>
      </c>
    </row>
    <row r="1466" spans="1:13" x14ac:dyDescent="0.2">
      <c r="A1466" t="s">
        <v>2927</v>
      </c>
      <c r="B1466" t="s">
        <v>2928</v>
      </c>
      <c r="C1466">
        <v>26</v>
      </c>
      <c r="D1466" t="s">
        <v>20</v>
      </c>
      <c r="E1466" t="s">
        <v>21</v>
      </c>
      <c r="F1466" s="1">
        <v>45875</v>
      </c>
      <c r="G1466" s="1">
        <v>46082</v>
      </c>
      <c r="H1466">
        <v>60</v>
      </c>
      <c r="I1466">
        <v>6</v>
      </c>
      <c r="J1466">
        <v>1</v>
      </c>
      <c r="K1466" t="str">
        <f t="shared" si="66"/>
        <v>Aug-2025</v>
      </c>
      <c r="L1466" s="1">
        <f t="shared" ca="1" si="67"/>
        <v>76</v>
      </c>
      <c r="M1466" t="str">
        <f t="shared" si="68"/>
        <v>26-35</v>
      </c>
    </row>
    <row r="1467" spans="1:13" x14ac:dyDescent="0.2">
      <c r="A1467" t="s">
        <v>2929</v>
      </c>
      <c r="B1467" t="s">
        <v>2930</v>
      </c>
      <c r="C1467">
        <v>24</v>
      </c>
      <c r="D1467" t="s">
        <v>20</v>
      </c>
      <c r="E1467" t="s">
        <v>13</v>
      </c>
      <c r="F1467" s="1">
        <v>46051</v>
      </c>
      <c r="G1467" s="1">
        <v>46116</v>
      </c>
      <c r="H1467">
        <v>66</v>
      </c>
      <c r="I1467">
        <v>6</v>
      </c>
      <c r="J1467">
        <v>0</v>
      </c>
      <c r="K1467" t="str">
        <f t="shared" si="66"/>
        <v>Jan-2026</v>
      </c>
      <c r="L1467" s="1">
        <f t="shared" ca="1" si="67"/>
        <v>42</v>
      </c>
      <c r="M1467" t="str">
        <f t="shared" si="68"/>
        <v>18-25</v>
      </c>
    </row>
    <row r="1468" spans="1:13" x14ac:dyDescent="0.2">
      <c r="A1468" t="s">
        <v>2931</v>
      </c>
      <c r="B1468" t="s">
        <v>2932</v>
      </c>
      <c r="C1468">
        <v>32</v>
      </c>
      <c r="D1468" t="s">
        <v>20</v>
      </c>
      <c r="E1468" t="s">
        <v>21</v>
      </c>
      <c r="F1468" s="1">
        <v>45808</v>
      </c>
      <c r="G1468" s="1">
        <v>46053</v>
      </c>
      <c r="H1468">
        <v>27</v>
      </c>
      <c r="I1468">
        <v>3</v>
      </c>
      <c r="J1468">
        <v>0</v>
      </c>
      <c r="K1468" t="str">
        <f t="shared" si="66"/>
        <v>May-2025</v>
      </c>
      <c r="L1468" s="1">
        <f t="shared" ca="1" si="67"/>
        <v>105</v>
      </c>
      <c r="M1468" t="str">
        <f t="shared" si="68"/>
        <v>26-35</v>
      </c>
    </row>
    <row r="1469" spans="1:13" x14ac:dyDescent="0.2">
      <c r="A1469" t="s">
        <v>2933</v>
      </c>
      <c r="B1469" t="s">
        <v>2934</v>
      </c>
      <c r="C1469">
        <v>47</v>
      </c>
      <c r="D1469" t="s">
        <v>12</v>
      </c>
      <c r="E1469" t="s">
        <v>21</v>
      </c>
      <c r="F1469" s="1">
        <v>45388</v>
      </c>
      <c r="G1469" s="1">
        <v>46107</v>
      </c>
      <c r="H1469">
        <v>24</v>
      </c>
      <c r="I1469">
        <v>10</v>
      </c>
      <c r="J1469">
        <v>0</v>
      </c>
      <c r="K1469" t="str">
        <f t="shared" si="66"/>
        <v>Apr-2024</v>
      </c>
      <c r="L1469" s="1">
        <f t="shared" ca="1" si="67"/>
        <v>51</v>
      </c>
      <c r="M1469" t="str">
        <f t="shared" si="68"/>
        <v>46+</v>
      </c>
    </row>
    <row r="1470" spans="1:13" x14ac:dyDescent="0.2">
      <c r="A1470" t="s">
        <v>2935</v>
      </c>
      <c r="B1470" t="s">
        <v>2936</v>
      </c>
      <c r="C1470">
        <v>59</v>
      </c>
      <c r="D1470" t="s">
        <v>16</v>
      </c>
      <c r="E1470" t="s">
        <v>17</v>
      </c>
      <c r="F1470" s="1">
        <v>45604</v>
      </c>
      <c r="G1470" s="1">
        <v>46102</v>
      </c>
      <c r="H1470">
        <v>68</v>
      </c>
      <c r="I1470">
        <v>1</v>
      </c>
      <c r="J1470">
        <v>0</v>
      </c>
      <c r="K1470" t="str">
        <f t="shared" si="66"/>
        <v>Nov-2024</v>
      </c>
      <c r="L1470" s="1">
        <f t="shared" ca="1" si="67"/>
        <v>56</v>
      </c>
      <c r="M1470" t="str">
        <f t="shared" si="68"/>
        <v>46+</v>
      </c>
    </row>
    <row r="1471" spans="1:13" x14ac:dyDescent="0.2">
      <c r="A1471" t="s">
        <v>2937</v>
      </c>
      <c r="B1471" t="s">
        <v>2938</v>
      </c>
      <c r="C1471">
        <v>32</v>
      </c>
      <c r="D1471" t="s">
        <v>20</v>
      </c>
      <c r="E1471" t="s">
        <v>21</v>
      </c>
      <c r="F1471" s="1">
        <v>45598</v>
      </c>
      <c r="G1471" s="1">
        <v>46036</v>
      </c>
      <c r="H1471">
        <v>70</v>
      </c>
      <c r="I1471">
        <v>2</v>
      </c>
      <c r="J1471">
        <v>1</v>
      </c>
      <c r="K1471" t="str">
        <f t="shared" si="66"/>
        <v>Nov-2024</v>
      </c>
      <c r="L1471" s="1">
        <f t="shared" ca="1" si="67"/>
        <v>122</v>
      </c>
      <c r="M1471" t="str">
        <f t="shared" si="68"/>
        <v>26-35</v>
      </c>
    </row>
    <row r="1472" spans="1:13" x14ac:dyDescent="0.2">
      <c r="A1472" t="s">
        <v>2939</v>
      </c>
      <c r="B1472" t="s">
        <v>2940</v>
      </c>
      <c r="C1472">
        <v>46</v>
      </c>
      <c r="D1472" t="s">
        <v>20</v>
      </c>
      <c r="E1472" t="s">
        <v>21</v>
      </c>
      <c r="F1472" s="1">
        <v>45382</v>
      </c>
      <c r="G1472" s="1">
        <v>46115</v>
      </c>
      <c r="H1472">
        <v>65</v>
      </c>
      <c r="I1472">
        <v>8</v>
      </c>
      <c r="J1472">
        <v>0</v>
      </c>
      <c r="K1472" t="str">
        <f t="shared" si="66"/>
        <v>Mar-2024</v>
      </c>
      <c r="L1472" s="1">
        <f t="shared" ca="1" si="67"/>
        <v>43</v>
      </c>
      <c r="M1472" t="str">
        <f t="shared" si="68"/>
        <v>46+</v>
      </c>
    </row>
    <row r="1473" spans="1:13" x14ac:dyDescent="0.2">
      <c r="A1473" t="s">
        <v>2941</v>
      </c>
      <c r="B1473" t="s">
        <v>2942</v>
      </c>
      <c r="C1473">
        <v>50</v>
      </c>
      <c r="D1473" t="s">
        <v>16</v>
      </c>
      <c r="E1473" t="s">
        <v>17</v>
      </c>
      <c r="F1473" s="1">
        <v>45694</v>
      </c>
      <c r="G1473" s="1">
        <v>46083</v>
      </c>
      <c r="H1473">
        <v>76</v>
      </c>
      <c r="I1473">
        <v>8</v>
      </c>
      <c r="J1473">
        <v>0</v>
      </c>
      <c r="K1473" t="str">
        <f t="shared" si="66"/>
        <v>Feb-2025</v>
      </c>
      <c r="L1473" s="1">
        <f t="shared" ca="1" si="67"/>
        <v>75</v>
      </c>
      <c r="M1473" t="str">
        <f t="shared" si="68"/>
        <v>46+</v>
      </c>
    </row>
    <row r="1474" spans="1:13" x14ac:dyDescent="0.2">
      <c r="A1474" t="s">
        <v>2943</v>
      </c>
      <c r="B1474" t="s">
        <v>2944</v>
      </c>
      <c r="C1474">
        <v>40</v>
      </c>
      <c r="D1474" t="s">
        <v>20</v>
      </c>
      <c r="E1474" t="s">
        <v>13</v>
      </c>
      <c r="F1474" s="1">
        <v>45182</v>
      </c>
      <c r="G1474" s="1">
        <v>46070</v>
      </c>
      <c r="H1474">
        <v>36</v>
      </c>
      <c r="I1474">
        <v>6</v>
      </c>
      <c r="J1474">
        <v>1</v>
      </c>
      <c r="K1474" t="str">
        <f t="shared" si="66"/>
        <v>Sep-2023</v>
      </c>
      <c r="L1474" s="1">
        <f t="shared" ca="1" si="67"/>
        <v>88</v>
      </c>
      <c r="M1474" t="str">
        <f t="shared" si="68"/>
        <v>36-45</v>
      </c>
    </row>
    <row r="1475" spans="1:13" x14ac:dyDescent="0.2">
      <c r="A1475" t="s">
        <v>2945</v>
      </c>
      <c r="B1475" t="s">
        <v>2946</v>
      </c>
      <c r="C1475">
        <v>53</v>
      </c>
      <c r="D1475" t="s">
        <v>16</v>
      </c>
      <c r="E1475" t="s">
        <v>21</v>
      </c>
      <c r="F1475" s="1">
        <v>45253</v>
      </c>
      <c r="G1475" s="1">
        <v>46047</v>
      </c>
      <c r="H1475">
        <v>49</v>
      </c>
      <c r="I1475">
        <v>7</v>
      </c>
      <c r="J1475">
        <v>0</v>
      </c>
      <c r="K1475" t="str">
        <f t="shared" ref="K1475:K1538" si="69">TEXT(F1475,"MMM-YYYY")</f>
        <v>Nov-2023</v>
      </c>
      <c r="L1475" s="1">
        <f t="shared" ref="L1475:L1538" ca="1" si="70">TODAY()-G1475</f>
        <v>111</v>
      </c>
      <c r="M1475" t="str">
        <f t="shared" ref="M1475:M1538" si="71">IF(C1475&lt;=25,"18-25",IF(C1475&lt;=35,"26-35",IF(C1475&lt;=45,"36-45","46+")))</f>
        <v>46+</v>
      </c>
    </row>
    <row r="1476" spans="1:13" x14ac:dyDescent="0.2">
      <c r="A1476" t="s">
        <v>2947</v>
      </c>
      <c r="B1476" t="s">
        <v>2948</v>
      </c>
      <c r="C1476">
        <v>51</v>
      </c>
      <c r="D1476" t="s">
        <v>16</v>
      </c>
      <c r="E1476" t="s">
        <v>17</v>
      </c>
      <c r="F1476" s="1">
        <v>45251</v>
      </c>
      <c r="G1476" s="1">
        <v>46090</v>
      </c>
      <c r="H1476">
        <v>62</v>
      </c>
      <c r="I1476">
        <v>1</v>
      </c>
      <c r="J1476">
        <v>1</v>
      </c>
      <c r="K1476" t="str">
        <f t="shared" si="69"/>
        <v>Nov-2023</v>
      </c>
      <c r="L1476" s="1">
        <f t="shared" ca="1" si="70"/>
        <v>68</v>
      </c>
      <c r="M1476" t="str">
        <f t="shared" si="71"/>
        <v>46+</v>
      </c>
    </row>
    <row r="1477" spans="1:13" x14ac:dyDescent="0.2">
      <c r="A1477" t="s">
        <v>2949</v>
      </c>
      <c r="B1477" t="s">
        <v>2950</v>
      </c>
      <c r="C1477">
        <v>39</v>
      </c>
      <c r="D1477" t="s">
        <v>16</v>
      </c>
      <c r="E1477" t="s">
        <v>17</v>
      </c>
      <c r="F1477" s="1">
        <v>45882</v>
      </c>
      <c r="G1477" s="1">
        <v>46125</v>
      </c>
      <c r="H1477">
        <v>19</v>
      </c>
      <c r="I1477">
        <v>5</v>
      </c>
      <c r="J1477">
        <v>0</v>
      </c>
      <c r="K1477" t="str">
        <f t="shared" si="69"/>
        <v>Aug-2025</v>
      </c>
      <c r="L1477" s="1">
        <f t="shared" ca="1" si="70"/>
        <v>33</v>
      </c>
      <c r="M1477" t="str">
        <f t="shared" si="71"/>
        <v>36-45</v>
      </c>
    </row>
    <row r="1478" spans="1:13" x14ac:dyDescent="0.2">
      <c r="A1478" t="s">
        <v>2951</v>
      </c>
      <c r="B1478" t="s">
        <v>2952</v>
      </c>
      <c r="C1478">
        <v>58</v>
      </c>
      <c r="D1478" t="s">
        <v>16</v>
      </c>
      <c r="E1478" t="s">
        <v>17</v>
      </c>
      <c r="F1478" s="1">
        <v>45191</v>
      </c>
      <c r="G1478" s="1">
        <v>46099</v>
      </c>
      <c r="H1478">
        <v>19</v>
      </c>
      <c r="I1478">
        <v>6</v>
      </c>
      <c r="J1478">
        <v>0</v>
      </c>
      <c r="K1478" t="str">
        <f t="shared" si="69"/>
        <v>Sep-2023</v>
      </c>
      <c r="L1478" s="1">
        <f t="shared" ca="1" si="70"/>
        <v>59</v>
      </c>
      <c r="M1478" t="str">
        <f t="shared" si="71"/>
        <v>46+</v>
      </c>
    </row>
    <row r="1479" spans="1:13" x14ac:dyDescent="0.2">
      <c r="A1479" t="s">
        <v>2953</v>
      </c>
      <c r="B1479" t="s">
        <v>2954</v>
      </c>
      <c r="C1479">
        <v>47</v>
      </c>
      <c r="D1479" t="s">
        <v>20</v>
      </c>
      <c r="E1479" t="s">
        <v>21</v>
      </c>
      <c r="F1479" s="1">
        <v>45301</v>
      </c>
      <c r="G1479" s="1">
        <v>46032</v>
      </c>
      <c r="H1479">
        <v>63</v>
      </c>
      <c r="I1479">
        <v>3</v>
      </c>
      <c r="J1479">
        <v>0</v>
      </c>
      <c r="K1479" t="str">
        <f t="shared" si="69"/>
        <v>Jan-2024</v>
      </c>
      <c r="L1479" s="1">
        <f t="shared" ca="1" si="70"/>
        <v>126</v>
      </c>
      <c r="M1479" t="str">
        <f t="shared" si="71"/>
        <v>46+</v>
      </c>
    </row>
    <row r="1480" spans="1:13" x14ac:dyDescent="0.2">
      <c r="A1480" t="s">
        <v>2955</v>
      </c>
      <c r="B1480" t="s">
        <v>2956</v>
      </c>
      <c r="C1480">
        <v>28</v>
      </c>
      <c r="D1480" t="s">
        <v>12</v>
      </c>
      <c r="E1480" t="s">
        <v>21</v>
      </c>
      <c r="F1480" s="1">
        <v>45509</v>
      </c>
      <c r="G1480" s="1">
        <v>46096</v>
      </c>
      <c r="H1480">
        <v>59</v>
      </c>
      <c r="I1480">
        <v>3</v>
      </c>
      <c r="J1480">
        <v>0</v>
      </c>
      <c r="K1480" t="str">
        <f t="shared" si="69"/>
        <v>Aug-2024</v>
      </c>
      <c r="L1480" s="1">
        <f t="shared" ca="1" si="70"/>
        <v>62</v>
      </c>
      <c r="M1480" t="str">
        <f t="shared" si="71"/>
        <v>26-35</v>
      </c>
    </row>
    <row r="1481" spans="1:13" x14ac:dyDescent="0.2">
      <c r="A1481" t="s">
        <v>2957</v>
      </c>
      <c r="B1481" t="s">
        <v>2958</v>
      </c>
      <c r="C1481">
        <v>40</v>
      </c>
      <c r="D1481" t="s">
        <v>12</v>
      </c>
      <c r="E1481" t="s">
        <v>21</v>
      </c>
      <c r="F1481" s="1">
        <v>45981</v>
      </c>
      <c r="G1481" s="1">
        <v>46061</v>
      </c>
      <c r="H1481">
        <v>72</v>
      </c>
      <c r="I1481">
        <v>4</v>
      </c>
      <c r="J1481">
        <v>0</v>
      </c>
      <c r="K1481" t="str">
        <f t="shared" si="69"/>
        <v>Nov-2025</v>
      </c>
      <c r="L1481" s="1">
        <f t="shared" ca="1" si="70"/>
        <v>97</v>
      </c>
      <c r="M1481" t="str">
        <f t="shared" si="71"/>
        <v>36-45</v>
      </c>
    </row>
    <row r="1482" spans="1:13" x14ac:dyDescent="0.2">
      <c r="A1482" t="s">
        <v>2959</v>
      </c>
      <c r="B1482" t="s">
        <v>2960</v>
      </c>
      <c r="C1482">
        <v>50</v>
      </c>
      <c r="D1482" t="s">
        <v>20</v>
      </c>
      <c r="E1482" t="s">
        <v>21</v>
      </c>
      <c r="F1482" s="1">
        <v>45792</v>
      </c>
      <c r="G1482" s="1">
        <v>46100</v>
      </c>
      <c r="H1482">
        <v>35</v>
      </c>
      <c r="I1482">
        <v>7</v>
      </c>
      <c r="J1482">
        <v>0</v>
      </c>
      <c r="K1482" t="str">
        <f t="shared" si="69"/>
        <v>May-2025</v>
      </c>
      <c r="L1482" s="1">
        <f t="shared" ca="1" si="70"/>
        <v>58</v>
      </c>
      <c r="M1482" t="str">
        <f t="shared" si="71"/>
        <v>46+</v>
      </c>
    </row>
    <row r="1483" spans="1:13" x14ac:dyDescent="0.2">
      <c r="A1483" t="s">
        <v>2961</v>
      </c>
      <c r="B1483" t="s">
        <v>2962</v>
      </c>
      <c r="C1483">
        <v>41</v>
      </c>
      <c r="D1483" t="s">
        <v>16</v>
      </c>
      <c r="E1483" t="s">
        <v>21</v>
      </c>
      <c r="F1483" s="1">
        <v>45433</v>
      </c>
      <c r="G1483" s="1">
        <v>46045</v>
      </c>
      <c r="H1483">
        <v>66</v>
      </c>
      <c r="I1483">
        <v>8</v>
      </c>
      <c r="J1483">
        <v>0</v>
      </c>
      <c r="K1483" t="str">
        <f t="shared" si="69"/>
        <v>May-2024</v>
      </c>
      <c r="L1483" s="1">
        <f t="shared" ca="1" si="70"/>
        <v>113</v>
      </c>
      <c r="M1483" t="str">
        <f t="shared" si="71"/>
        <v>36-45</v>
      </c>
    </row>
    <row r="1484" spans="1:13" x14ac:dyDescent="0.2">
      <c r="A1484" t="s">
        <v>2963</v>
      </c>
      <c r="B1484" t="s">
        <v>2964</v>
      </c>
      <c r="C1484">
        <v>54</v>
      </c>
      <c r="D1484" t="s">
        <v>20</v>
      </c>
      <c r="E1484" t="s">
        <v>21</v>
      </c>
      <c r="F1484" s="1">
        <v>45220</v>
      </c>
      <c r="G1484" s="1">
        <v>46064</v>
      </c>
      <c r="H1484">
        <v>63</v>
      </c>
      <c r="I1484">
        <v>9</v>
      </c>
      <c r="J1484">
        <v>0</v>
      </c>
      <c r="K1484" t="str">
        <f t="shared" si="69"/>
        <v>Oct-2023</v>
      </c>
      <c r="L1484" s="1">
        <f t="shared" ca="1" si="70"/>
        <v>94</v>
      </c>
      <c r="M1484" t="str">
        <f t="shared" si="71"/>
        <v>46+</v>
      </c>
    </row>
    <row r="1485" spans="1:13" x14ac:dyDescent="0.2">
      <c r="A1485" t="s">
        <v>2965</v>
      </c>
      <c r="B1485" t="s">
        <v>2966</v>
      </c>
      <c r="C1485">
        <v>30</v>
      </c>
      <c r="D1485" t="s">
        <v>12</v>
      </c>
      <c r="E1485" t="s">
        <v>17</v>
      </c>
      <c r="F1485" s="1">
        <v>45359</v>
      </c>
      <c r="G1485" s="1">
        <v>46054</v>
      </c>
      <c r="H1485">
        <v>40</v>
      </c>
      <c r="I1485">
        <v>7</v>
      </c>
      <c r="J1485">
        <v>1</v>
      </c>
      <c r="K1485" t="str">
        <f t="shared" si="69"/>
        <v>Mar-2024</v>
      </c>
      <c r="L1485" s="1">
        <f t="shared" ca="1" si="70"/>
        <v>104</v>
      </c>
      <c r="M1485" t="str">
        <f t="shared" si="71"/>
        <v>26-35</v>
      </c>
    </row>
    <row r="1486" spans="1:13" x14ac:dyDescent="0.2">
      <c r="A1486" t="s">
        <v>2967</v>
      </c>
      <c r="B1486" t="s">
        <v>2968</v>
      </c>
      <c r="C1486">
        <v>40</v>
      </c>
      <c r="D1486" t="s">
        <v>12</v>
      </c>
      <c r="E1486" t="s">
        <v>17</v>
      </c>
      <c r="F1486" s="1">
        <v>45503</v>
      </c>
      <c r="G1486" s="1">
        <v>46078</v>
      </c>
      <c r="H1486">
        <v>12</v>
      </c>
      <c r="I1486">
        <v>1</v>
      </c>
      <c r="J1486">
        <v>0</v>
      </c>
      <c r="K1486" t="str">
        <f t="shared" si="69"/>
        <v>Jul-2024</v>
      </c>
      <c r="L1486" s="1">
        <f t="shared" ca="1" si="70"/>
        <v>80</v>
      </c>
      <c r="M1486" t="str">
        <f t="shared" si="71"/>
        <v>36-45</v>
      </c>
    </row>
    <row r="1487" spans="1:13" x14ac:dyDescent="0.2">
      <c r="A1487" t="s">
        <v>2969</v>
      </c>
      <c r="B1487" t="s">
        <v>2970</v>
      </c>
      <c r="C1487">
        <v>41</v>
      </c>
      <c r="D1487" t="s">
        <v>16</v>
      </c>
      <c r="E1487" t="s">
        <v>13</v>
      </c>
      <c r="F1487" s="1">
        <v>45393</v>
      </c>
      <c r="G1487" s="1">
        <v>46032</v>
      </c>
      <c r="H1487">
        <v>8</v>
      </c>
      <c r="I1487">
        <v>7</v>
      </c>
      <c r="J1487">
        <v>0</v>
      </c>
      <c r="K1487" t="str">
        <f t="shared" si="69"/>
        <v>Apr-2024</v>
      </c>
      <c r="L1487" s="1">
        <f t="shared" ca="1" si="70"/>
        <v>126</v>
      </c>
      <c r="M1487" t="str">
        <f t="shared" si="71"/>
        <v>36-45</v>
      </c>
    </row>
    <row r="1488" spans="1:13" x14ac:dyDescent="0.2">
      <c r="A1488" t="s">
        <v>2971</v>
      </c>
      <c r="B1488" t="s">
        <v>2972</v>
      </c>
      <c r="C1488">
        <v>33</v>
      </c>
      <c r="D1488" t="s">
        <v>16</v>
      </c>
      <c r="E1488" t="s">
        <v>13</v>
      </c>
      <c r="F1488" s="1">
        <v>45632</v>
      </c>
      <c r="G1488" s="1">
        <v>46046</v>
      </c>
      <c r="H1488">
        <v>74</v>
      </c>
      <c r="I1488">
        <v>5</v>
      </c>
      <c r="J1488">
        <v>0</v>
      </c>
      <c r="K1488" t="str">
        <f t="shared" si="69"/>
        <v>Dec-2024</v>
      </c>
      <c r="L1488" s="1">
        <f t="shared" ca="1" si="70"/>
        <v>112</v>
      </c>
      <c r="M1488" t="str">
        <f t="shared" si="71"/>
        <v>26-35</v>
      </c>
    </row>
    <row r="1489" spans="1:13" x14ac:dyDescent="0.2">
      <c r="A1489" t="s">
        <v>2973</v>
      </c>
      <c r="B1489" t="s">
        <v>2974</v>
      </c>
      <c r="C1489">
        <v>43</v>
      </c>
      <c r="D1489" t="s">
        <v>12</v>
      </c>
      <c r="E1489" t="s">
        <v>21</v>
      </c>
      <c r="F1489" s="1">
        <v>45493</v>
      </c>
      <c r="G1489" s="1">
        <v>46090</v>
      </c>
      <c r="H1489">
        <v>0</v>
      </c>
      <c r="I1489">
        <v>9</v>
      </c>
      <c r="J1489">
        <v>0</v>
      </c>
      <c r="K1489" t="str">
        <f t="shared" si="69"/>
        <v>Jul-2024</v>
      </c>
      <c r="L1489" s="1">
        <f t="shared" ca="1" si="70"/>
        <v>68</v>
      </c>
      <c r="M1489" t="str">
        <f t="shared" si="71"/>
        <v>36-45</v>
      </c>
    </row>
    <row r="1490" spans="1:13" x14ac:dyDescent="0.2">
      <c r="A1490" t="s">
        <v>2975</v>
      </c>
      <c r="B1490" t="s">
        <v>2976</v>
      </c>
      <c r="C1490">
        <v>23</v>
      </c>
      <c r="D1490" t="s">
        <v>20</v>
      </c>
      <c r="E1490" t="s">
        <v>17</v>
      </c>
      <c r="F1490" s="1">
        <v>45973</v>
      </c>
      <c r="G1490" s="1">
        <v>46063</v>
      </c>
      <c r="H1490">
        <v>60</v>
      </c>
      <c r="I1490">
        <v>3</v>
      </c>
      <c r="J1490">
        <v>1</v>
      </c>
      <c r="K1490" t="str">
        <f t="shared" si="69"/>
        <v>Nov-2025</v>
      </c>
      <c r="L1490" s="1">
        <f t="shared" ca="1" si="70"/>
        <v>95</v>
      </c>
      <c r="M1490" t="str">
        <f t="shared" si="71"/>
        <v>18-25</v>
      </c>
    </row>
    <row r="1491" spans="1:13" x14ac:dyDescent="0.2">
      <c r="A1491" t="s">
        <v>2977</v>
      </c>
      <c r="B1491" t="s">
        <v>2978</v>
      </c>
      <c r="C1491">
        <v>21</v>
      </c>
      <c r="D1491" t="s">
        <v>12</v>
      </c>
      <c r="E1491" t="s">
        <v>21</v>
      </c>
      <c r="F1491" s="1">
        <v>45729</v>
      </c>
      <c r="G1491" s="1">
        <v>46124</v>
      </c>
      <c r="H1491">
        <v>69</v>
      </c>
      <c r="I1491">
        <v>6</v>
      </c>
      <c r="J1491">
        <v>0</v>
      </c>
      <c r="K1491" t="str">
        <f t="shared" si="69"/>
        <v>Mar-2025</v>
      </c>
      <c r="L1491" s="1">
        <f t="shared" ca="1" si="70"/>
        <v>34</v>
      </c>
      <c r="M1491" t="str">
        <f t="shared" si="71"/>
        <v>18-25</v>
      </c>
    </row>
    <row r="1492" spans="1:13" x14ac:dyDescent="0.2">
      <c r="A1492" t="s">
        <v>2979</v>
      </c>
      <c r="B1492" t="s">
        <v>2980</v>
      </c>
      <c r="C1492">
        <v>34</v>
      </c>
      <c r="D1492" t="s">
        <v>16</v>
      </c>
      <c r="E1492" t="s">
        <v>17</v>
      </c>
      <c r="F1492" s="1">
        <v>45271</v>
      </c>
      <c r="G1492" s="1">
        <v>46125</v>
      </c>
      <c r="H1492">
        <v>18</v>
      </c>
      <c r="I1492">
        <v>2</v>
      </c>
      <c r="J1492">
        <v>0</v>
      </c>
      <c r="K1492" t="str">
        <f t="shared" si="69"/>
        <v>Dec-2023</v>
      </c>
      <c r="L1492" s="1">
        <f t="shared" ca="1" si="70"/>
        <v>33</v>
      </c>
      <c r="M1492" t="str">
        <f t="shared" si="71"/>
        <v>26-35</v>
      </c>
    </row>
    <row r="1493" spans="1:13" x14ac:dyDescent="0.2">
      <c r="A1493" t="s">
        <v>2981</v>
      </c>
      <c r="B1493" t="s">
        <v>2982</v>
      </c>
      <c r="C1493">
        <v>42</v>
      </c>
      <c r="D1493" t="s">
        <v>20</v>
      </c>
      <c r="E1493" t="s">
        <v>21</v>
      </c>
      <c r="F1493" s="1">
        <v>46028</v>
      </c>
      <c r="G1493" s="1">
        <v>46048</v>
      </c>
      <c r="H1493">
        <v>51</v>
      </c>
      <c r="I1493">
        <v>1</v>
      </c>
      <c r="J1493">
        <v>1</v>
      </c>
      <c r="K1493" t="str">
        <f t="shared" si="69"/>
        <v>Jan-2026</v>
      </c>
      <c r="L1493" s="1">
        <f t="shared" ca="1" si="70"/>
        <v>110</v>
      </c>
      <c r="M1493" t="str">
        <f t="shared" si="71"/>
        <v>36-45</v>
      </c>
    </row>
    <row r="1494" spans="1:13" x14ac:dyDescent="0.2">
      <c r="A1494" t="s">
        <v>2983</v>
      </c>
      <c r="B1494" t="s">
        <v>2984</v>
      </c>
      <c r="C1494">
        <v>52</v>
      </c>
      <c r="D1494" t="s">
        <v>20</v>
      </c>
      <c r="E1494" t="s">
        <v>13</v>
      </c>
      <c r="F1494" s="1">
        <v>45273</v>
      </c>
      <c r="G1494" s="1">
        <v>46120</v>
      </c>
      <c r="H1494">
        <v>38</v>
      </c>
      <c r="I1494">
        <v>5</v>
      </c>
      <c r="J1494">
        <v>0</v>
      </c>
      <c r="K1494" t="str">
        <f t="shared" si="69"/>
        <v>Dec-2023</v>
      </c>
      <c r="L1494" s="1">
        <f t="shared" ca="1" si="70"/>
        <v>38</v>
      </c>
      <c r="M1494" t="str">
        <f t="shared" si="71"/>
        <v>46+</v>
      </c>
    </row>
    <row r="1495" spans="1:13" x14ac:dyDescent="0.2">
      <c r="A1495" t="s">
        <v>2985</v>
      </c>
      <c r="B1495" t="s">
        <v>2986</v>
      </c>
      <c r="C1495">
        <v>35</v>
      </c>
      <c r="D1495" t="s">
        <v>20</v>
      </c>
      <c r="E1495" t="s">
        <v>21</v>
      </c>
      <c r="F1495" s="1">
        <v>45497</v>
      </c>
      <c r="G1495" s="1">
        <v>46148</v>
      </c>
      <c r="H1495">
        <v>18</v>
      </c>
      <c r="I1495">
        <v>9</v>
      </c>
      <c r="J1495">
        <v>1</v>
      </c>
      <c r="K1495" t="str">
        <f t="shared" si="69"/>
        <v>Jul-2024</v>
      </c>
      <c r="L1495" s="1">
        <f t="shared" ca="1" si="70"/>
        <v>10</v>
      </c>
      <c r="M1495" t="str">
        <f t="shared" si="71"/>
        <v>26-35</v>
      </c>
    </row>
    <row r="1496" spans="1:13" x14ac:dyDescent="0.2">
      <c r="A1496" t="s">
        <v>2987</v>
      </c>
      <c r="B1496" t="s">
        <v>2988</v>
      </c>
      <c r="C1496">
        <v>34</v>
      </c>
      <c r="D1496" t="s">
        <v>20</v>
      </c>
      <c r="E1496" t="s">
        <v>21</v>
      </c>
      <c r="F1496" s="1">
        <v>45798</v>
      </c>
      <c r="G1496" s="1">
        <v>46150</v>
      </c>
      <c r="H1496">
        <v>19</v>
      </c>
      <c r="I1496">
        <v>1</v>
      </c>
      <c r="J1496">
        <v>1</v>
      </c>
      <c r="K1496" t="str">
        <f t="shared" si="69"/>
        <v>May-2025</v>
      </c>
      <c r="L1496" s="1">
        <f t="shared" ca="1" si="70"/>
        <v>8</v>
      </c>
      <c r="M1496" t="str">
        <f t="shared" si="71"/>
        <v>26-35</v>
      </c>
    </row>
    <row r="1497" spans="1:13" x14ac:dyDescent="0.2">
      <c r="A1497" t="s">
        <v>2989</v>
      </c>
      <c r="B1497" t="s">
        <v>2990</v>
      </c>
      <c r="C1497">
        <v>35</v>
      </c>
      <c r="D1497" t="s">
        <v>20</v>
      </c>
      <c r="E1497" t="s">
        <v>21</v>
      </c>
      <c r="F1497" s="1">
        <v>45531</v>
      </c>
      <c r="G1497" s="1">
        <v>46144</v>
      </c>
      <c r="H1497">
        <v>20</v>
      </c>
      <c r="I1497">
        <v>8</v>
      </c>
      <c r="J1497">
        <v>1</v>
      </c>
      <c r="K1497" t="str">
        <f t="shared" si="69"/>
        <v>Aug-2024</v>
      </c>
      <c r="L1497" s="1">
        <f t="shared" ca="1" si="70"/>
        <v>14</v>
      </c>
      <c r="M1497" t="str">
        <f t="shared" si="71"/>
        <v>26-35</v>
      </c>
    </row>
    <row r="1498" spans="1:13" x14ac:dyDescent="0.2">
      <c r="A1498" t="s">
        <v>2991</v>
      </c>
      <c r="B1498" t="s">
        <v>2992</v>
      </c>
      <c r="C1498">
        <v>38</v>
      </c>
      <c r="D1498" t="s">
        <v>12</v>
      </c>
      <c r="E1498" t="s">
        <v>21</v>
      </c>
      <c r="F1498" s="1">
        <v>46022</v>
      </c>
      <c r="G1498" s="1">
        <v>46131</v>
      </c>
      <c r="H1498">
        <v>48</v>
      </c>
      <c r="I1498">
        <v>9</v>
      </c>
      <c r="J1498">
        <v>0</v>
      </c>
      <c r="K1498" t="str">
        <f t="shared" si="69"/>
        <v>Dec-2025</v>
      </c>
      <c r="L1498" s="1">
        <f t="shared" ca="1" si="70"/>
        <v>27</v>
      </c>
      <c r="M1498" t="str">
        <f t="shared" si="71"/>
        <v>36-45</v>
      </c>
    </row>
    <row r="1499" spans="1:13" x14ac:dyDescent="0.2">
      <c r="A1499" t="s">
        <v>2993</v>
      </c>
      <c r="B1499" t="s">
        <v>2994</v>
      </c>
      <c r="C1499">
        <v>58</v>
      </c>
      <c r="D1499" t="s">
        <v>16</v>
      </c>
      <c r="E1499" t="s">
        <v>17</v>
      </c>
      <c r="F1499" s="1">
        <v>45746</v>
      </c>
      <c r="G1499" s="1">
        <v>46053</v>
      </c>
      <c r="H1499">
        <v>18</v>
      </c>
      <c r="I1499">
        <v>2</v>
      </c>
      <c r="J1499">
        <v>1</v>
      </c>
      <c r="K1499" t="str">
        <f t="shared" si="69"/>
        <v>Mar-2025</v>
      </c>
      <c r="L1499" s="1">
        <f t="shared" ca="1" si="70"/>
        <v>105</v>
      </c>
      <c r="M1499" t="str">
        <f t="shared" si="71"/>
        <v>46+</v>
      </c>
    </row>
    <row r="1500" spans="1:13" x14ac:dyDescent="0.2">
      <c r="A1500" t="s">
        <v>2995</v>
      </c>
      <c r="B1500" t="s">
        <v>2996</v>
      </c>
      <c r="C1500">
        <v>60</v>
      </c>
      <c r="D1500" t="s">
        <v>12</v>
      </c>
      <c r="E1500" t="s">
        <v>17</v>
      </c>
      <c r="F1500" s="1">
        <v>45496</v>
      </c>
      <c r="G1500" s="1">
        <v>46115</v>
      </c>
      <c r="H1500">
        <v>46</v>
      </c>
      <c r="I1500">
        <v>5</v>
      </c>
      <c r="J1500">
        <v>0</v>
      </c>
      <c r="K1500" t="str">
        <f t="shared" si="69"/>
        <v>Jul-2024</v>
      </c>
      <c r="L1500" s="1">
        <f t="shared" ca="1" si="70"/>
        <v>43</v>
      </c>
      <c r="M1500" t="str">
        <f t="shared" si="71"/>
        <v>46+</v>
      </c>
    </row>
    <row r="1501" spans="1:13" x14ac:dyDescent="0.2">
      <c r="A1501" t="s">
        <v>2997</v>
      </c>
      <c r="B1501" t="s">
        <v>2998</v>
      </c>
      <c r="C1501">
        <v>29</v>
      </c>
      <c r="D1501" t="s">
        <v>16</v>
      </c>
      <c r="E1501" t="s">
        <v>21</v>
      </c>
      <c r="F1501" s="1">
        <v>45642</v>
      </c>
      <c r="G1501" s="1">
        <v>46031</v>
      </c>
      <c r="H1501">
        <v>73</v>
      </c>
      <c r="I1501">
        <v>5</v>
      </c>
      <c r="J1501">
        <v>0</v>
      </c>
      <c r="K1501" t="str">
        <f t="shared" si="69"/>
        <v>Dec-2024</v>
      </c>
      <c r="L1501" s="1">
        <f t="shared" ca="1" si="70"/>
        <v>127</v>
      </c>
      <c r="M1501" t="str">
        <f t="shared" si="71"/>
        <v>26-35</v>
      </c>
    </row>
    <row r="1502" spans="1:13" x14ac:dyDescent="0.2">
      <c r="A1502" t="s">
        <v>2999</v>
      </c>
      <c r="B1502" t="s">
        <v>3000</v>
      </c>
      <c r="C1502">
        <v>39</v>
      </c>
      <c r="D1502" t="s">
        <v>16</v>
      </c>
      <c r="E1502" t="s">
        <v>21</v>
      </c>
      <c r="F1502" s="1">
        <v>45895</v>
      </c>
      <c r="G1502" s="1">
        <v>46053</v>
      </c>
      <c r="H1502">
        <v>26</v>
      </c>
      <c r="I1502">
        <v>7</v>
      </c>
      <c r="J1502">
        <v>0</v>
      </c>
      <c r="K1502" t="str">
        <f t="shared" si="69"/>
        <v>Aug-2025</v>
      </c>
      <c r="L1502" s="1">
        <f t="shared" ca="1" si="70"/>
        <v>105</v>
      </c>
      <c r="M1502" t="str">
        <f t="shared" si="71"/>
        <v>36-45</v>
      </c>
    </row>
    <row r="1503" spans="1:13" x14ac:dyDescent="0.2">
      <c r="A1503" t="s">
        <v>3001</v>
      </c>
      <c r="B1503" t="s">
        <v>3002</v>
      </c>
      <c r="C1503">
        <v>46</v>
      </c>
      <c r="D1503" t="s">
        <v>16</v>
      </c>
      <c r="E1503" t="s">
        <v>21</v>
      </c>
      <c r="F1503" s="1">
        <v>45852</v>
      </c>
      <c r="G1503" s="1">
        <v>46087</v>
      </c>
      <c r="H1503">
        <v>65</v>
      </c>
      <c r="I1503">
        <v>2</v>
      </c>
      <c r="J1503">
        <v>1</v>
      </c>
      <c r="K1503" t="str">
        <f t="shared" si="69"/>
        <v>Jul-2025</v>
      </c>
      <c r="L1503" s="1">
        <f t="shared" ca="1" si="70"/>
        <v>71</v>
      </c>
      <c r="M1503" t="str">
        <f t="shared" si="71"/>
        <v>46+</v>
      </c>
    </row>
    <row r="1504" spans="1:13" x14ac:dyDescent="0.2">
      <c r="A1504" t="s">
        <v>3003</v>
      </c>
      <c r="B1504" t="s">
        <v>3004</v>
      </c>
      <c r="C1504">
        <v>21</v>
      </c>
      <c r="D1504" t="s">
        <v>20</v>
      </c>
      <c r="E1504" t="s">
        <v>21</v>
      </c>
      <c r="F1504" s="1">
        <v>45931</v>
      </c>
      <c r="G1504" s="1">
        <v>46063</v>
      </c>
      <c r="H1504">
        <v>38</v>
      </c>
      <c r="I1504">
        <v>3</v>
      </c>
      <c r="J1504">
        <v>1</v>
      </c>
      <c r="K1504" t="str">
        <f t="shared" si="69"/>
        <v>Oct-2025</v>
      </c>
      <c r="L1504" s="1">
        <f t="shared" ca="1" si="70"/>
        <v>95</v>
      </c>
      <c r="M1504" t="str">
        <f t="shared" si="71"/>
        <v>18-25</v>
      </c>
    </row>
    <row r="1505" spans="1:13" x14ac:dyDescent="0.2">
      <c r="A1505" t="s">
        <v>3005</v>
      </c>
      <c r="B1505" t="s">
        <v>3006</v>
      </c>
      <c r="C1505">
        <v>24</v>
      </c>
      <c r="D1505" t="s">
        <v>12</v>
      </c>
      <c r="E1505" t="s">
        <v>13</v>
      </c>
      <c r="F1505" s="1">
        <v>46092</v>
      </c>
      <c r="G1505" s="1">
        <v>46136</v>
      </c>
      <c r="H1505">
        <v>34</v>
      </c>
      <c r="I1505">
        <v>1</v>
      </c>
      <c r="J1505">
        <v>1</v>
      </c>
      <c r="K1505" t="str">
        <f t="shared" si="69"/>
        <v>Mar-2026</v>
      </c>
      <c r="L1505" s="1">
        <f t="shared" ca="1" si="70"/>
        <v>22</v>
      </c>
      <c r="M1505" t="str">
        <f t="shared" si="71"/>
        <v>18-25</v>
      </c>
    </row>
    <row r="1506" spans="1:13" x14ac:dyDescent="0.2">
      <c r="A1506" t="s">
        <v>3007</v>
      </c>
      <c r="B1506" t="s">
        <v>3008</v>
      </c>
      <c r="C1506">
        <v>45</v>
      </c>
      <c r="D1506" t="s">
        <v>16</v>
      </c>
      <c r="E1506" t="s">
        <v>21</v>
      </c>
      <c r="F1506" s="1">
        <v>45889</v>
      </c>
      <c r="G1506" s="1">
        <v>46030</v>
      </c>
      <c r="H1506">
        <v>64</v>
      </c>
      <c r="I1506">
        <v>6</v>
      </c>
      <c r="J1506">
        <v>0</v>
      </c>
      <c r="K1506" t="str">
        <f t="shared" si="69"/>
        <v>Aug-2025</v>
      </c>
      <c r="L1506" s="1">
        <f t="shared" ca="1" si="70"/>
        <v>128</v>
      </c>
      <c r="M1506" t="str">
        <f t="shared" si="71"/>
        <v>36-45</v>
      </c>
    </row>
    <row r="1507" spans="1:13" x14ac:dyDescent="0.2">
      <c r="A1507" t="s">
        <v>3009</v>
      </c>
      <c r="B1507" t="s">
        <v>3010</v>
      </c>
      <c r="C1507">
        <v>36</v>
      </c>
      <c r="D1507" t="s">
        <v>20</v>
      </c>
      <c r="E1507" t="s">
        <v>21</v>
      </c>
      <c r="F1507" s="1">
        <v>45992</v>
      </c>
      <c r="G1507" s="1">
        <v>46093</v>
      </c>
      <c r="H1507">
        <v>71</v>
      </c>
      <c r="I1507">
        <v>2</v>
      </c>
      <c r="J1507">
        <v>0</v>
      </c>
      <c r="K1507" t="str">
        <f t="shared" si="69"/>
        <v>Dec-2025</v>
      </c>
      <c r="L1507" s="1">
        <f t="shared" ca="1" si="70"/>
        <v>65</v>
      </c>
      <c r="M1507" t="str">
        <f t="shared" si="71"/>
        <v>36-45</v>
      </c>
    </row>
    <row r="1508" spans="1:13" x14ac:dyDescent="0.2">
      <c r="A1508" t="s">
        <v>3011</v>
      </c>
      <c r="B1508" t="s">
        <v>3012</v>
      </c>
      <c r="C1508">
        <v>31</v>
      </c>
      <c r="D1508" t="s">
        <v>20</v>
      </c>
      <c r="E1508" t="s">
        <v>21</v>
      </c>
      <c r="F1508" s="1">
        <v>45605</v>
      </c>
      <c r="G1508" s="1">
        <v>46125</v>
      </c>
      <c r="H1508">
        <v>43</v>
      </c>
      <c r="I1508">
        <v>9</v>
      </c>
      <c r="J1508">
        <v>0</v>
      </c>
      <c r="K1508" t="str">
        <f t="shared" si="69"/>
        <v>Nov-2024</v>
      </c>
      <c r="L1508" s="1">
        <f t="shared" ca="1" si="70"/>
        <v>33</v>
      </c>
      <c r="M1508" t="str">
        <f t="shared" si="71"/>
        <v>26-35</v>
      </c>
    </row>
    <row r="1509" spans="1:13" x14ac:dyDescent="0.2">
      <c r="A1509" t="s">
        <v>3013</v>
      </c>
      <c r="B1509" t="s">
        <v>3014</v>
      </c>
      <c r="C1509">
        <v>44</v>
      </c>
      <c r="D1509" t="s">
        <v>12</v>
      </c>
      <c r="E1509" t="s">
        <v>13</v>
      </c>
      <c r="F1509" s="1">
        <v>45713</v>
      </c>
      <c r="G1509" s="1">
        <v>46125</v>
      </c>
      <c r="H1509">
        <v>31</v>
      </c>
      <c r="I1509">
        <v>7</v>
      </c>
      <c r="J1509">
        <v>0</v>
      </c>
      <c r="K1509" t="str">
        <f t="shared" si="69"/>
        <v>Feb-2025</v>
      </c>
      <c r="L1509" s="1">
        <f t="shared" ca="1" si="70"/>
        <v>33</v>
      </c>
      <c r="M1509" t="str">
        <f t="shared" si="71"/>
        <v>36-45</v>
      </c>
    </row>
    <row r="1510" spans="1:13" x14ac:dyDescent="0.2">
      <c r="A1510" t="s">
        <v>3015</v>
      </c>
      <c r="B1510" t="s">
        <v>3016</v>
      </c>
      <c r="C1510">
        <v>31</v>
      </c>
      <c r="D1510" t="s">
        <v>16</v>
      </c>
      <c r="E1510" t="s">
        <v>13</v>
      </c>
      <c r="F1510" s="1">
        <v>45789</v>
      </c>
      <c r="G1510" s="1">
        <v>46073</v>
      </c>
      <c r="H1510">
        <v>29</v>
      </c>
      <c r="I1510">
        <v>9</v>
      </c>
      <c r="J1510">
        <v>1</v>
      </c>
      <c r="K1510" t="str">
        <f t="shared" si="69"/>
        <v>May-2025</v>
      </c>
      <c r="L1510" s="1">
        <f t="shared" ca="1" si="70"/>
        <v>85</v>
      </c>
      <c r="M1510" t="str">
        <f t="shared" si="71"/>
        <v>26-35</v>
      </c>
    </row>
    <row r="1511" spans="1:13" x14ac:dyDescent="0.2">
      <c r="A1511" t="s">
        <v>3017</v>
      </c>
      <c r="B1511" t="s">
        <v>3018</v>
      </c>
      <c r="C1511">
        <v>56</v>
      </c>
      <c r="D1511" t="s">
        <v>12</v>
      </c>
      <c r="E1511" t="s">
        <v>21</v>
      </c>
      <c r="F1511" s="1">
        <v>45231</v>
      </c>
      <c r="G1511" s="1">
        <v>46089</v>
      </c>
      <c r="H1511">
        <v>34</v>
      </c>
      <c r="I1511">
        <v>1</v>
      </c>
      <c r="J1511">
        <v>1</v>
      </c>
      <c r="K1511" t="str">
        <f t="shared" si="69"/>
        <v>Nov-2023</v>
      </c>
      <c r="L1511" s="1">
        <f t="shared" ca="1" si="70"/>
        <v>69</v>
      </c>
      <c r="M1511" t="str">
        <f t="shared" si="71"/>
        <v>46+</v>
      </c>
    </row>
    <row r="1512" spans="1:13" x14ac:dyDescent="0.2">
      <c r="A1512" t="s">
        <v>3019</v>
      </c>
      <c r="B1512" t="s">
        <v>3020</v>
      </c>
      <c r="C1512">
        <v>26</v>
      </c>
      <c r="D1512" t="s">
        <v>20</v>
      </c>
      <c r="E1512" t="s">
        <v>17</v>
      </c>
      <c r="F1512" s="1">
        <v>45897</v>
      </c>
      <c r="G1512" s="1">
        <v>46127</v>
      </c>
      <c r="H1512">
        <v>9</v>
      </c>
      <c r="I1512">
        <v>7</v>
      </c>
      <c r="J1512">
        <v>0</v>
      </c>
      <c r="K1512" t="str">
        <f t="shared" si="69"/>
        <v>Aug-2025</v>
      </c>
      <c r="L1512" s="1">
        <f t="shared" ca="1" si="70"/>
        <v>31</v>
      </c>
      <c r="M1512" t="str">
        <f t="shared" si="71"/>
        <v>26-35</v>
      </c>
    </row>
    <row r="1513" spans="1:13" x14ac:dyDescent="0.2">
      <c r="A1513" t="s">
        <v>3021</v>
      </c>
      <c r="B1513" t="s">
        <v>3022</v>
      </c>
      <c r="C1513">
        <v>49</v>
      </c>
      <c r="D1513" t="s">
        <v>16</v>
      </c>
      <c r="E1513" t="s">
        <v>21</v>
      </c>
      <c r="F1513" s="1">
        <v>45852</v>
      </c>
      <c r="G1513" s="1">
        <v>46047</v>
      </c>
      <c r="H1513">
        <v>10</v>
      </c>
      <c r="I1513">
        <v>8</v>
      </c>
      <c r="J1513">
        <v>1</v>
      </c>
      <c r="K1513" t="str">
        <f t="shared" si="69"/>
        <v>Jul-2025</v>
      </c>
      <c r="L1513" s="1">
        <f t="shared" ca="1" si="70"/>
        <v>111</v>
      </c>
      <c r="M1513" t="str">
        <f t="shared" si="71"/>
        <v>46+</v>
      </c>
    </row>
    <row r="1514" spans="1:13" x14ac:dyDescent="0.2">
      <c r="A1514" t="s">
        <v>3023</v>
      </c>
      <c r="B1514" t="s">
        <v>3024</v>
      </c>
      <c r="C1514">
        <v>37</v>
      </c>
      <c r="D1514" t="s">
        <v>16</v>
      </c>
      <c r="E1514" t="s">
        <v>21</v>
      </c>
      <c r="F1514" s="1">
        <v>45625</v>
      </c>
      <c r="G1514" s="1">
        <v>46085</v>
      </c>
      <c r="H1514">
        <v>34</v>
      </c>
      <c r="I1514">
        <v>5</v>
      </c>
      <c r="J1514">
        <v>1</v>
      </c>
      <c r="K1514" t="str">
        <f t="shared" si="69"/>
        <v>Nov-2024</v>
      </c>
      <c r="L1514" s="1">
        <f t="shared" ca="1" si="70"/>
        <v>73</v>
      </c>
      <c r="M1514" t="str">
        <f t="shared" si="71"/>
        <v>36-45</v>
      </c>
    </row>
    <row r="1515" spans="1:13" x14ac:dyDescent="0.2">
      <c r="A1515" t="s">
        <v>3025</v>
      </c>
      <c r="B1515" t="s">
        <v>3026</v>
      </c>
      <c r="C1515">
        <v>43</v>
      </c>
      <c r="D1515" t="s">
        <v>16</v>
      </c>
      <c r="E1515" t="s">
        <v>17</v>
      </c>
      <c r="F1515" s="1">
        <v>45910</v>
      </c>
      <c r="G1515" s="1">
        <v>46143</v>
      </c>
      <c r="H1515">
        <v>11</v>
      </c>
      <c r="I1515">
        <v>6</v>
      </c>
      <c r="J1515">
        <v>0</v>
      </c>
      <c r="K1515" t="str">
        <f t="shared" si="69"/>
        <v>Sep-2025</v>
      </c>
      <c r="L1515" s="1">
        <f t="shared" ca="1" si="70"/>
        <v>15</v>
      </c>
      <c r="M1515" t="str">
        <f t="shared" si="71"/>
        <v>36-45</v>
      </c>
    </row>
    <row r="1516" spans="1:13" x14ac:dyDescent="0.2">
      <c r="A1516" t="s">
        <v>3027</v>
      </c>
      <c r="B1516" t="s">
        <v>3028</v>
      </c>
      <c r="C1516">
        <v>25</v>
      </c>
      <c r="D1516" t="s">
        <v>12</v>
      </c>
      <c r="E1516" t="s">
        <v>21</v>
      </c>
      <c r="F1516" s="1">
        <v>45677</v>
      </c>
      <c r="G1516" s="1">
        <v>46113</v>
      </c>
      <c r="H1516">
        <v>31</v>
      </c>
      <c r="I1516">
        <v>8</v>
      </c>
      <c r="J1516">
        <v>0</v>
      </c>
      <c r="K1516" t="str">
        <f t="shared" si="69"/>
        <v>Jan-2025</v>
      </c>
      <c r="L1516" s="1">
        <f t="shared" ca="1" si="70"/>
        <v>45</v>
      </c>
      <c r="M1516" t="str">
        <f t="shared" si="71"/>
        <v>18-25</v>
      </c>
    </row>
    <row r="1517" spans="1:13" x14ac:dyDescent="0.2">
      <c r="A1517" t="s">
        <v>3029</v>
      </c>
      <c r="B1517" t="s">
        <v>3030</v>
      </c>
      <c r="C1517">
        <v>59</v>
      </c>
      <c r="D1517" t="s">
        <v>20</v>
      </c>
      <c r="E1517" t="s">
        <v>13</v>
      </c>
      <c r="F1517" s="1">
        <v>45680</v>
      </c>
      <c r="G1517" s="1">
        <v>46083</v>
      </c>
      <c r="H1517">
        <v>32</v>
      </c>
      <c r="I1517">
        <v>2</v>
      </c>
      <c r="J1517">
        <v>0</v>
      </c>
      <c r="K1517" t="str">
        <f t="shared" si="69"/>
        <v>Jan-2025</v>
      </c>
      <c r="L1517" s="1">
        <f t="shared" ca="1" si="70"/>
        <v>75</v>
      </c>
      <c r="M1517" t="str">
        <f t="shared" si="71"/>
        <v>46+</v>
      </c>
    </row>
    <row r="1518" spans="1:13" x14ac:dyDescent="0.2">
      <c r="A1518" t="s">
        <v>3031</v>
      </c>
      <c r="B1518" t="s">
        <v>3032</v>
      </c>
      <c r="C1518">
        <v>37</v>
      </c>
      <c r="D1518" t="s">
        <v>16</v>
      </c>
      <c r="E1518" t="s">
        <v>13</v>
      </c>
      <c r="F1518" s="1">
        <v>45922</v>
      </c>
      <c r="G1518" s="1">
        <v>46118</v>
      </c>
      <c r="H1518">
        <v>61</v>
      </c>
      <c r="I1518">
        <v>6</v>
      </c>
      <c r="J1518">
        <v>0</v>
      </c>
      <c r="K1518" t="str">
        <f t="shared" si="69"/>
        <v>Sep-2025</v>
      </c>
      <c r="L1518" s="1">
        <f t="shared" ca="1" si="70"/>
        <v>40</v>
      </c>
      <c r="M1518" t="str">
        <f t="shared" si="71"/>
        <v>36-45</v>
      </c>
    </row>
    <row r="1519" spans="1:13" x14ac:dyDescent="0.2">
      <c r="A1519" t="s">
        <v>3033</v>
      </c>
      <c r="B1519" t="s">
        <v>3034</v>
      </c>
      <c r="C1519">
        <v>60</v>
      </c>
      <c r="D1519" t="s">
        <v>16</v>
      </c>
      <c r="E1519" t="s">
        <v>21</v>
      </c>
      <c r="F1519" s="1">
        <v>46077</v>
      </c>
      <c r="G1519" s="1">
        <v>46073</v>
      </c>
      <c r="H1519">
        <v>43</v>
      </c>
      <c r="I1519">
        <v>7</v>
      </c>
      <c r="J1519">
        <v>0</v>
      </c>
      <c r="K1519" t="str">
        <f t="shared" si="69"/>
        <v>Feb-2026</v>
      </c>
      <c r="L1519" s="1">
        <f t="shared" ca="1" si="70"/>
        <v>85</v>
      </c>
      <c r="M1519" t="str">
        <f t="shared" si="71"/>
        <v>46+</v>
      </c>
    </row>
    <row r="1520" spans="1:13" x14ac:dyDescent="0.2">
      <c r="A1520" t="s">
        <v>3035</v>
      </c>
      <c r="B1520" t="s">
        <v>3036</v>
      </c>
      <c r="C1520">
        <v>59</v>
      </c>
      <c r="D1520" t="s">
        <v>16</v>
      </c>
      <c r="E1520" t="s">
        <v>21</v>
      </c>
      <c r="F1520" s="1">
        <v>45612</v>
      </c>
      <c r="G1520" s="1">
        <v>46123</v>
      </c>
      <c r="H1520">
        <v>24</v>
      </c>
      <c r="I1520">
        <v>6</v>
      </c>
      <c r="J1520">
        <v>0</v>
      </c>
      <c r="K1520" t="str">
        <f t="shared" si="69"/>
        <v>Nov-2024</v>
      </c>
      <c r="L1520" s="1">
        <f t="shared" ca="1" si="70"/>
        <v>35</v>
      </c>
      <c r="M1520" t="str">
        <f t="shared" si="71"/>
        <v>46+</v>
      </c>
    </row>
    <row r="1521" spans="1:13" x14ac:dyDescent="0.2">
      <c r="A1521" t="s">
        <v>3037</v>
      </c>
      <c r="B1521" t="s">
        <v>3038</v>
      </c>
      <c r="C1521">
        <v>42</v>
      </c>
      <c r="D1521" t="s">
        <v>16</v>
      </c>
      <c r="E1521" t="s">
        <v>17</v>
      </c>
      <c r="F1521" s="1">
        <v>45876</v>
      </c>
      <c r="G1521" s="1">
        <v>46097</v>
      </c>
      <c r="H1521">
        <v>47</v>
      </c>
      <c r="I1521">
        <v>1</v>
      </c>
      <c r="J1521">
        <v>0</v>
      </c>
      <c r="K1521" t="str">
        <f t="shared" si="69"/>
        <v>Aug-2025</v>
      </c>
      <c r="L1521" s="1">
        <f t="shared" ca="1" si="70"/>
        <v>61</v>
      </c>
      <c r="M1521" t="str">
        <f t="shared" si="71"/>
        <v>36-45</v>
      </c>
    </row>
    <row r="1522" spans="1:13" x14ac:dyDescent="0.2">
      <c r="A1522" t="s">
        <v>3039</v>
      </c>
      <c r="B1522" t="s">
        <v>3040</v>
      </c>
      <c r="C1522">
        <v>57</v>
      </c>
      <c r="D1522" t="s">
        <v>12</v>
      </c>
      <c r="E1522" t="s">
        <v>13</v>
      </c>
      <c r="F1522" s="1">
        <v>45200</v>
      </c>
      <c r="G1522" s="1">
        <v>46081</v>
      </c>
      <c r="H1522">
        <v>24</v>
      </c>
      <c r="I1522">
        <v>3</v>
      </c>
      <c r="J1522">
        <v>0</v>
      </c>
      <c r="K1522" t="str">
        <f t="shared" si="69"/>
        <v>Oct-2023</v>
      </c>
      <c r="L1522" s="1">
        <f t="shared" ca="1" si="70"/>
        <v>77</v>
      </c>
      <c r="M1522" t="str">
        <f t="shared" si="71"/>
        <v>46+</v>
      </c>
    </row>
    <row r="1523" spans="1:13" x14ac:dyDescent="0.2">
      <c r="A1523" t="s">
        <v>3041</v>
      </c>
      <c r="B1523" t="s">
        <v>3042</v>
      </c>
      <c r="C1523">
        <v>52</v>
      </c>
      <c r="D1523" t="s">
        <v>20</v>
      </c>
      <c r="E1523" t="s">
        <v>21</v>
      </c>
      <c r="F1523" s="1">
        <v>45375</v>
      </c>
      <c r="G1523" s="1">
        <v>46075</v>
      </c>
      <c r="H1523">
        <v>11</v>
      </c>
      <c r="I1523">
        <v>5</v>
      </c>
      <c r="J1523">
        <v>0</v>
      </c>
      <c r="K1523" t="str">
        <f t="shared" si="69"/>
        <v>Mar-2024</v>
      </c>
      <c r="L1523" s="1">
        <f t="shared" ca="1" si="70"/>
        <v>83</v>
      </c>
      <c r="M1523" t="str">
        <f t="shared" si="71"/>
        <v>46+</v>
      </c>
    </row>
    <row r="1524" spans="1:13" x14ac:dyDescent="0.2">
      <c r="A1524" t="s">
        <v>3043</v>
      </c>
      <c r="B1524" t="s">
        <v>3044</v>
      </c>
      <c r="C1524">
        <v>56</v>
      </c>
      <c r="D1524" t="s">
        <v>20</v>
      </c>
      <c r="E1524" t="s">
        <v>17</v>
      </c>
      <c r="F1524" s="1">
        <v>45970</v>
      </c>
      <c r="G1524" s="1">
        <v>46033</v>
      </c>
      <c r="H1524">
        <v>44</v>
      </c>
      <c r="I1524">
        <v>2</v>
      </c>
      <c r="J1524">
        <v>1</v>
      </c>
      <c r="K1524" t="str">
        <f t="shared" si="69"/>
        <v>Nov-2025</v>
      </c>
      <c r="L1524" s="1">
        <f t="shared" ca="1" si="70"/>
        <v>125</v>
      </c>
      <c r="M1524" t="str">
        <f t="shared" si="71"/>
        <v>46+</v>
      </c>
    </row>
    <row r="1525" spans="1:13" x14ac:dyDescent="0.2">
      <c r="A1525" t="s">
        <v>3045</v>
      </c>
      <c r="B1525" t="s">
        <v>3046</v>
      </c>
      <c r="C1525">
        <v>29</v>
      </c>
      <c r="D1525" t="s">
        <v>20</v>
      </c>
      <c r="E1525" t="s">
        <v>21</v>
      </c>
      <c r="F1525" s="1">
        <v>45603</v>
      </c>
      <c r="G1525" s="1">
        <v>46088</v>
      </c>
      <c r="H1525">
        <v>18</v>
      </c>
      <c r="I1525">
        <v>4</v>
      </c>
      <c r="J1525">
        <v>1</v>
      </c>
      <c r="K1525" t="str">
        <f t="shared" si="69"/>
        <v>Nov-2024</v>
      </c>
      <c r="L1525" s="1">
        <f t="shared" ca="1" si="70"/>
        <v>70</v>
      </c>
      <c r="M1525" t="str">
        <f t="shared" si="71"/>
        <v>26-35</v>
      </c>
    </row>
    <row r="1526" spans="1:13" x14ac:dyDescent="0.2">
      <c r="A1526" t="s">
        <v>3047</v>
      </c>
      <c r="B1526" t="s">
        <v>3048</v>
      </c>
      <c r="C1526">
        <v>22</v>
      </c>
      <c r="D1526" t="s">
        <v>16</v>
      </c>
      <c r="E1526" t="s">
        <v>21</v>
      </c>
      <c r="F1526" s="1">
        <v>45521</v>
      </c>
      <c r="G1526" s="1">
        <v>46045</v>
      </c>
      <c r="H1526">
        <v>52</v>
      </c>
      <c r="I1526">
        <v>4</v>
      </c>
      <c r="J1526">
        <v>1</v>
      </c>
      <c r="K1526" t="str">
        <f t="shared" si="69"/>
        <v>Aug-2024</v>
      </c>
      <c r="L1526" s="1">
        <f t="shared" ca="1" si="70"/>
        <v>113</v>
      </c>
      <c r="M1526" t="str">
        <f t="shared" si="71"/>
        <v>18-25</v>
      </c>
    </row>
    <row r="1527" spans="1:13" x14ac:dyDescent="0.2">
      <c r="A1527" t="s">
        <v>3049</v>
      </c>
      <c r="B1527" t="s">
        <v>3050</v>
      </c>
      <c r="C1527">
        <v>21</v>
      </c>
      <c r="D1527" t="s">
        <v>12</v>
      </c>
      <c r="E1527" t="s">
        <v>21</v>
      </c>
      <c r="F1527" s="1">
        <v>45609</v>
      </c>
      <c r="G1527" s="1">
        <v>46144</v>
      </c>
      <c r="H1527">
        <v>47</v>
      </c>
      <c r="I1527">
        <v>6</v>
      </c>
      <c r="J1527">
        <v>0</v>
      </c>
      <c r="K1527" t="str">
        <f t="shared" si="69"/>
        <v>Nov-2024</v>
      </c>
      <c r="L1527" s="1">
        <f t="shared" ca="1" si="70"/>
        <v>14</v>
      </c>
      <c r="M1527" t="str">
        <f t="shared" si="71"/>
        <v>18-25</v>
      </c>
    </row>
    <row r="1528" spans="1:13" x14ac:dyDescent="0.2">
      <c r="A1528" t="s">
        <v>3051</v>
      </c>
      <c r="B1528" t="s">
        <v>3052</v>
      </c>
      <c r="C1528">
        <v>30</v>
      </c>
      <c r="D1528" t="s">
        <v>16</v>
      </c>
      <c r="E1528" t="s">
        <v>21</v>
      </c>
      <c r="F1528" s="1">
        <v>45261</v>
      </c>
      <c r="G1528" s="1">
        <v>46120</v>
      </c>
      <c r="H1528">
        <v>26</v>
      </c>
      <c r="I1528">
        <v>4</v>
      </c>
      <c r="J1528">
        <v>0</v>
      </c>
      <c r="K1528" t="str">
        <f t="shared" si="69"/>
        <v>Dec-2023</v>
      </c>
      <c r="L1528" s="1">
        <f t="shared" ca="1" si="70"/>
        <v>38</v>
      </c>
      <c r="M1528" t="str">
        <f t="shared" si="71"/>
        <v>26-35</v>
      </c>
    </row>
    <row r="1529" spans="1:13" x14ac:dyDescent="0.2">
      <c r="A1529" t="s">
        <v>3053</v>
      </c>
      <c r="B1529" t="s">
        <v>3054</v>
      </c>
      <c r="C1529">
        <v>19</v>
      </c>
      <c r="D1529" t="s">
        <v>12</v>
      </c>
      <c r="E1529" t="s">
        <v>13</v>
      </c>
      <c r="F1529" s="1">
        <v>45849</v>
      </c>
      <c r="G1529" s="1">
        <v>46069</v>
      </c>
      <c r="H1529">
        <v>7</v>
      </c>
      <c r="I1529">
        <v>7</v>
      </c>
      <c r="J1529">
        <v>0</v>
      </c>
      <c r="K1529" t="str">
        <f t="shared" si="69"/>
        <v>Jul-2025</v>
      </c>
      <c r="L1529" s="1">
        <f t="shared" ca="1" si="70"/>
        <v>89</v>
      </c>
      <c r="M1529" t="str">
        <f t="shared" si="71"/>
        <v>18-25</v>
      </c>
    </row>
    <row r="1530" spans="1:13" x14ac:dyDescent="0.2">
      <c r="A1530" t="s">
        <v>3055</v>
      </c>
      <c r="B1530" t="s">
        <v>3056</v>
      </c>
      <c r="C1530">
        <v>42</v>
      </c>
      <c r="D1530" t="s">
        <v>20</v>
      </c>
      <c r="E1530" t="s">
        <v>21</v>
      </c>
      <c r="F1530" s="1">
        <v>45577</v>
      </c>
      <c r="G1530" s="1">
        <v>46060</v>
      </c>
      <c r="H1530">
        <v>32</v>
      </c>
      <c r="I1530">
        <v>3</v>
      </c>
      <c r="J1530">
        <v>1</v>
      </c>
      <c r="K1530" t="str">
        <f t="shared" si="69"/>
        <v>Oct-2024</v>
      </c>
      <c r="L1530" s="1">
        <f t="shared" ca="1" si="70"/>
        <v>98</v>
      </c>
      <c r="M1530" t="str">
        <f t="shared" si="71"/>
        <v>36-45</v>
      </c>
    </row>
    <row r="1531" spans="1:13" x14ac:dyDescent="0.2">
      <c r="A1531" t="s">
        <v>3057</v>
      </c>
      <c r="B1531" t="s">
        <v>3058</v>
      </c>
      <c r="C1531">
        <v>42</v>
      </c>
      <c r="D1531" t="s">
        <v>20</v>
      </c>
      <c r="E1531" t="s">
        <v>21</v>
      </c>
      <c r="F1531" s="1">
        <v>45630</v>
      </c>
      <c r="G1531" s="1">
        <v>46078</v>
      </c>
      <c r="H1531">
        <v>44</v>
      </c>
      <c r="I1531">
        <v>5</v>
      </c>
      <c r="J1531">
        <v>0</v>
      </c>
      <c r="K1531" t="str">
        <f t="shared" si="69"/>
        <v>Dec-2024</v>
      </c>
      <c r="L1531" s="1">
        <f t="shared" ca="1" si="70"/>
        <v>80</v>
      </c>
      <c r="M1531" t="str">
        <f t="shared" si="71"/>
        <v>36-45</v>
      </c>
    </row>
    <row r="1532" spans="1:13" x14ac:dyDescent="0.2">
      <c r="A1532" t="s">
        <v>3059</v>
      </c>
      <c r="B1532" t="s">
        <v>3060</v>
      </c>
      <c r="C1532">
        <v>56</v>
      </c>
      <c r="D1532" t="s">
        <v>20</v>
      </c>
      <c r="E1532" t="s">
        <v>17</v>
      </c>
      <c r="F1532" s="1">
        <v>45899</v>
      </c>
      <c r="G1532" s="1">
        <v>46140</v>
      </c>
      <c r="H1532">
        <v>39</v>
      </c>
      <c r="I1532">
        <v>10</v>
      </c>
      <c r="J1532">
        <v>0</v>
      </c>
      <c r="K1532" t="str">
        <f t="shared" si="69"/>
        <v>Aug-2025</v>
      </c>
      <c r="L1532" s="1">
        <f t="shared" ca="1" si="70"/>
        <v>18</v>
      </c>
      <c r="M1532" t="str">
        <f t="shared" si="71"/>
        <v>46+</v>
      </c>
    </row>
    <row r="1533" spans="1:13" x14ac:dyDescent="0.2">
      <c r="A1533" t="s">
        <v>3061</v>
      </c>
      <c r="B1533" t="s">
        <v>3062</v>
      </c>
      <c r="C1533">
        <v>36</v>
      </c>
      <c r="D1533" t="s">
        <v>12</v>
      </c>
      <c r="E1533" t="s">
        <v>21</v>
      </c>
      <c r="F1533" s="1">
        <v>45535</v>
      </c>
      <c r="G1533" s="1">
        <v>46140</v>
      </c>
      <c r="H1533">
        <v>20</v>
      </c>
      <c r="I1533">
        <v>10</v>
      </c>
      <c r="J1533">
        <v>0</v>
      </c>
      <c r="K1533" t="str">
        <f t="shared" si="69"/>
        <v>Aug-2024</v>
      </c>
      <c r="L1533" s="1">
        <f t="shared" ca="1" si="70"/>
        <v>18</v>
      </c>
      <c r="M1533" t="str">
        <f t="shared" si="71"/>
        <v>36-45</v>
      </c>
    </row>
    <row r="1534" spans="1:13" x14ac:dyDescent="0.2">
      <c r="A1534" t="s">
        <v>3063</v>
      </c>
      <c r="B1534" t="s">
        <v>3064</v>
      </c>
      <c r="C1534">
        <v>24</v>
      </c>
      <c r="D1534" t="s">
        <v>20</v>
      </c>
      <c r="E1534" t="s">
        <v>21</v>
      </c>
      <c r="F1534" s="1">
        <v>45314</v>
      </c>
      <c r="G1534" s="1">
        <v>46143</v>
      </c>
      <c r="H1534">
        <v>20</v>
      </c>
      <c r="I1534">
        <v>8</v>
      </c>
      <c r="J1534">
        <v>1</v>
      </c>
      <c r="K1534" t="str">
        <f t="shared" si="69"/>
        <v>Jan-2024</v>
      </c>
      <c r="L1534" s="1">
        <f t="shared" ca="1" si="70"/>
        <v>15</v>
      </c>
      <c r="M1534" t="str">
        <f t="shared" si="71"/>
        <v>18-25</v>
      </c>
    </row>
    <row r="1535" spans="1:13" x14ac:dyDescent="0.2">
      <c r="A1535" t="s">
        <v>3065</v>
      </c>
      <c r="B1535" t="s">
        <v>3066</v>
      </c>
      <c r="C1535">
        <v>49</v>
      </c>
      <c r="D1535" t="s">
        <v>12</v>
      </c>
      <c r="E1535" t="s">
        <v>17</v>
      </c>
      <c r="F1535" s="1">
        <v>45236</v>
      </c>
      <c r="G1535" s="1">
        <v>46146</v>
      </c>
      <c r="H1535">
        <v>36</v>
      </c>
      <c r="I1535">
        <v>3</v>
      </c>
      <c r="J1535">
        <v>1</v>
      </c>
      <c r="K1535" t="str">
        <f t="shared" si="69"/>
        <v>Nov-2023</v>
      </c>
      <c r="L1535" s="1">
        <f t="shared" ca="1" si="70"/>
        <v>12</v>
      </c>
      <c r="M1535" t="str">
        <f t="shared" si="71"/>
        <v>46+</v>
      </c>
    </row>
    <row r="1536" spans="1:13" x14ac:dyDescent="0.2">
      <c r="A1536" t="s">
        <v>3067</v>
      </c>
      <c r="B1536" t="s">
        <v>3068</v>
      </c>
      <c r="C1536">
        <v>23</v>
      </c>
      <c r="D1536" t="s">
        <v>12</v>
      </c>
      <c r="E1536" t="s">
        <v>21</v>
      </c>
      <c r="F1536" s="1">
        <v>46085</v>
      </c>
      <c r="G1536" s="1">
        <v>46112</v>
      </c>
      <c r="H1536">
        <v>79</v>
      </c>
      <c r="I1536">
        <v>10</v>
      </c>
      <c r="J1536">
        <v>1</v>
      </c>
      <c r="K1536" t="str">
        <f t="shared" si="69"/>
        <v>Mar-2026</v>
      </c>
      <c r="L1536" s="1">
        <f t="shared" ca="1" si="70"/>
        <v>46</v>
      </c>
      <c r="M1536" t="str">
        <f t="shared" si="71"/>
        <v>18-25</v>
      </c>
    </row>
    <row r="1537" spans="1:13" x14ac:dyDescent="0.2">
      <c r="A1537" t="s">
        <v>3069</v>
      </c>
      <c r="B1537" t="s">
        <v>3070</v>
      </c>
      <c r="C1537">
        <v>59</v>
      </c>
      <c r="D1537" t="s">
        <v>16</v>
      </c>
      <c r="E1537" t="s">
        <v>17</v>
      </c>
      <c r="F1537" s="1">
        <v>45955</v>
      </c>
      <c r="G1537" s="1">
        <v>46080</v>
      </c>
      <c r="H1537">
        <v>79</v>
      </c>
      <c r="I1537">
        <v>6</v>
      </c>
      <c r="J1537">
        <v>1</v>
      </c>
      <c r="K1537" t="str">
        <f t="shared" si="69"/>
        <v>Oct-2025</v>
      </c>
      <c r="L1537" s="1">
        <f t="shared" ca="1" si="70"/>
        <v>78</v>
      </c>
      <c r="M1537" t="str">
        <f t="shared" si="71"/>
        <v>46+</v>
      </c>
    </row>
    <row r="1538" spans="1:13" x14ac:dyDescent="0.2">
      <c r="A1538" t="s">
        <v>3071</v>
      </c>
      <c r="B1538" t="s">
        <v>3072</v>
      </c>
      <c r="C1538">
        <v>29</v>
      </c>
      <c r="D1538" t="s">
        <v>12</v>
      </c>
      <c r="E1538" t="s">
        <v>17</v>
      </c>
      <c r="F1538" s="1">
        <v>45651</v>
      </c>
      <c r="G1538" s="1">
        <v>46139</v>
      </c>
      <c r="H1538">
        <v>17</v>
      </c>
      <c r="I1538">
        <v>6</v>
      </c>
      <c r="J1538">
        <v>0</v>
      </c>
      <c r="K1538" t="str">
        <f t="shared" si="69"/>
        <v>Dec-2024</v>
      </c>
      <c r="L1538" s="1">
        <f t="shared" ca="1" si="70"/>
        <v>19</v>
      </c>
      <c r="M1538" t="str">
        <f t="shared" si="71"/>
        <v>26-35</v>
      </c>
    </row>
    <row r="1539" spans="1:13" x14ac:dyDescent="0.2">
      <c r="A1539" t="s">
        <v>3073</v>
      </c>
      <c r="B1539" t="s">
        <v>3074</v>
      </c>
      <c r="C1539">
        <v>53</v>
      </c>
      <c r="D1539" t="s">
        <v>16</v>
      </c>
      <c r="E1539" t="s">
        <v>21</v>
      </c>
      <c r="F1539" s="1">
        <v>45307</v>
      </c>
      <c r="G1539" s="1">
        <v>46083</v>
      </c>
      <c r="H1539">
        <v>10</v>
      </c>
      <c r="I1539">
        <v>6</v>
      </c>
      <c r="J1539">
        <v>0</v>
      </c>
      <c r="K1539" t="str">
        <f t="shared" ref="K1539:K1602" si="72">TEXT(F1539,"MMM-YYYY")</f>
        <v>Jan-2024</v>
      </c>
      <c r="L1539" s="1">
        <f t="shared" ref="L1539:L1602" ca="1" si="73">TODAY()-G1539</f>
        <v>75</v>
      </c>
      <c r="M1539" t="str">
        <f t="shared" ref="M1539:M1602" si="74">IF(C1539&lt;=25,"18-25",IF(C1539&lt;=35,"26-35",IF(C1539&lt;=45,"36-45","46+")))</f>
        <v>46+</v>
      </c>
    </row>
    <row r="1540" spans="1:13" x14ac:dyDescent="0.2">
      <c r="A1540" t="s">
        <v>3075</v>
      </c>
      <c r="B1540" t="s">
        <v>3076</v>
      </c>
      <c r="C1540">
        <v>45</v>
      </c>
      <c r="D1540" t="s">
        <v>20</v>
      </c>
      <c r="E1540" t="s">
        <v>21</v>
      </c>
      <c r="F1540" s="1">
        <v>45858</v>
      </c>
      <c r="G1540" s="1">
        <v>46045</v>
      </c>
      <c r="H1540">
        <v>4</v>
      </c>
      <c r="I1540">
        <v>9</v>
      </c>
      <c r="J1540">
        <v>1</v>
      </c>
      <c r="K1540" t="str">
        <f t="shared" si="72"/>
        <v>Jul-2025</v>
      </c>
      <c r="L1540" s="1">
        <f t="shared" ca="1" si="73"/>
        <v>113</v>
      </c>
      <c r="M1540" t="str">
        <f t="shared" si="74"/>
        <v>36-45</v>
      </c>
    </row>
    <row r="1541" spans="1:13" x14ac:dyDescent="0.2">
      <c r="A1541" t="s">
        <v>3077</v>
      </c>
      <c r="B1541" t="s">
        <v>3078</v>
      </c>
      <c r="C1541">
        <v>36</v>
      </c>
      <c r="D1541" t="s">
        <v>20</v>
      </c>
      <c r="E1541" t="s">
        <v>21</v>
      </c>
      <c r="F1541" s="1">
        <v>45639</v>
      </c>
      <c r="G1541" s="1">
        <v>46140</v>
      </c>
      <c r="H1541">
        <v>42</v>
      </c>
      <c r="I1541">
        <v>2</v>
      </c>
      <c r="J1541">
        <v>0</v>
      </c>
      <c r="K1541" t="str">
        <f t="shared" si="72"/>
        <v>Dec-2024</v>
      </c>
      <c r="L1541" s="1">
        <f t="shared" ca="1" si="73"/>
        <v>18</v>
      </c>
      <c r="M1541" t="str">
        <f t="shared" si="74"/>
        <v>36-45</v>
      </c>
    </row>
    <row r="1542" spans="1:13" x14ac:dyDescent="0.2">
      <c r="A1542" t="s">
        <v>3079</v>
      </c>
      <c r="B1542" t="s">
        <v>3080</v>
      </c>
      <c r="C1542">
        <v>22</v>
      </c>
      <c r="D1542" t="s">
        <v>16</v>
      </c>
      <c r="E1542" t="s">
        <v>13</v>
      </c>
      <c r="F1542" s="1">
        <v>45385</v>
      </c>
      <c r="G1542" s="1">
        <v>46089</v>
      </c>
      <c r="H1542">
        <v>47</v>
      </c>
      <c r="I1542">
        <v>2</v>
      </c>
      <c r="J1542">
        <v>0</v>
      </c>
      <c r="K1542" t="str">
        <f t="shared" si="72"/>
        <v>Apr-2024</v>
      </c>
      <c r="L1542" s="1">
        <f t="shared" ca="1" si="73"/>
        <v>69</v>
      </c>
      <c r="M1542" t="str">
        <f t="shared" si="74"/>
        <v>18-25</v>
      </c>
    </row>
    <row r="1543" spans="1:13" x14ac:dyDescent="0.2">
      <c r="A1543" t="s">
        <v>3081</v>
      </c>
      <c r="B1543" t="s">
        <v>3082</v>
      </c>
      <c r="C1543">
        <v>23</v>
      </c>
      <c r="D1543" t="s">
        <v>16</v>
      </c>
      <c r="E1543" t="s">
        <v>21</v>
      </c>
      <c r="F1543" s="1">
        <v>45200</v>
      </c>
      <c r="G1543" s="1">
        <v>46061</v>
      </c>
      <c r="H1543">
        <v>7</v>
      </c>
      <c r="I1543">
        <v>10</v>
      </c>
      <c r="J1543">
        <v>1</v>
      </c>
      <c r="K1543" t="str">
        <f t="shared" si="72"/>
        <v>Oct-2023</v>
      </c>
      <c r="L1543" s="1">
        <f t="shared" ca="1" si="73"/>
        <v>97</v>
      </c>
      <c r="M1543" t="str">
        <f t="shared" si="74"/>
        <v>18-25</v>
      </c>
    </row>
    <row r="1544" spans="1:13" x14ac:dyDescent="0.2">
      <c r="A1544" t="s">
        <v>3083</v>
      </c>
      <c r="B1544" t="s">
        <v>3084</v>
      </c>
      <c r="C1544">
        <v>37</v>
      </c>
      <c r="D1544" t="s">
        <v>12</v>
      </c>
      <c r="E1544" t="s">
        <v>21</v>
      </c>
      <c r="F1544" s="1">
        <v>45929</v>
      </c>
      <c r="G1544" s="1">
        <v>46092</v>
      </c>
      <c r="H1544">
        <v>13</v>
      </c>
      <c r="I1544">
        <v>9</v>
      </c>
      <c r="J1544">
        <v>0</v>
      </c>
      <c r="K1544" t="str">
        <f t="shared" si="72"/>
        <v>Sep-2025</v>
      </c>
      <c r="L1544" s="1">
        <f t="shared" ca="1" si="73"/>
        <v>66</v>
      </c>
      <c r="M1544" t="str">
        <f t="shared" si="74"/>
        <v>36-45</v>
      </c>
    </row>
    <row r="1545" spans="1:13" x14ac:dyDescent="0.2">
      <c r="A1545" t="s">
        <v>3085</v>
      </c>
      <c r="B1545" t="s">
        <v>3086</v>
      </c>
      <c r="C1545">
        <v>34</v>
      </c>
      <c r="D1545" t="s">
        <v>20</v>
      </c>
      <c r="E1545" t="s">
        <v>21</v>
      </c>
      <c r="F1545" s="1">
        <v>45427</v>
      </c>
      <c r="G1545" s="1">
        <v>46076</v>
      </c>
      <c r="H1545">
        <v>43</v>
      </c>
      <c r="I1545">
        <v>2</v>
      </c>
      <c r="J1545">
        <v>1</v>
      </c>
      <c r="K1545" t="str">
        <f t="shared" si="72"/>
        <v>May-2024</v>
      </c>
      <c r="L1545" s="1">
        <f t="shared" ca="1" si="73"/>
        <v>82</v>
      </c>
      <c r="M1545" t="str">
        <f t="shared" si="74"/>
        <v>26-35</v>
      </c>
    </row>
    <row r="1546" spans="1:13" x14ac:dyDescent="0.2">
      <c r="A1546" t="s">
        <v>3087</v>
      </c>
      <c r="B1546" t="s">
        <v>3088</v>
      </c>
      <c r="C1546">
        <v>48</v>
      </c>
      <c r="D1546" t="s">
        <v>12</v>
      </c>
      <c r="E1546" t="s">
        <v>13</v>
      </c>
      <c r="F1546" s="1">
        <v>45159</v>
      </c>
      <c r="G1546" s="1">
        <v>46059</v>
      </c>
      <c r="H1546">
        <v>62</v>
      </c>
      <c r="I1546">
        <v>5</v>
      </c>
      <c r="J1546">
        <v>1</v>
      </c>
      <c r="K1546" t="str">
        <f t="shared" si="72"/>
        <v>Aug-2023</v>
      </c>
      <c r="L1546" s="1">
        <f t="shared" ca="1" si="73"/>
        <v>99</v>
      </c>
      <c r="M1546" t="str">
        <f t="shared" si="74"/>
        <v>46+</v>
      </c>
    </row>
    <row r="1547" spans="1:13" x14ac:dyDescent="0.2">
      <c r="A1547" t="s">
        <v>3089</v>
      </c>
      <c r="B1547" t="s">
        <v>3090</v>
      </c>
      <c r="C1547">
        <v>32</v>
      </c>
      <c r="D1547" t="s">
        <v>16</v>
      </c>
      <c r="E1547" t="s">
        <v>21</v>
      </c>
      <c r="F1547" s="1">
        <v>46077</v>
      </c>
      <c r="G1547" s="1">
        <v>46067</v>
      </c>
      <c r="H1547">
        <v>25</v>
      </c>
      <c r="I1547">
        <v>3</v>
      </c>
      <c r="J1547">
        <v>1</v>
      </c>
      <c r="K1547" t="str">
        <f t="shared" si="72"/>
        <v>Feb-2026</v>
      </c>
      <c r="L1547" s="1">
        <f t="shared" ca="1" si="73"/>
        <v>91</v>
      </c>
      <c r="M1547" t="str">
        <f t="shared" si="74"/>
        <v>26-35</v>
      </c>
    </row>
    <row r="1548" spans="1:13" x14ac:dyDescent="0.2">
      <c r="A1548" t="s">
        <v>3091</v>
      </c>
      <c r="B1548" t="s">
        <v>3092</v>
      </c>
      <c r="C1548">
        <v>39</v>
      </c>
      <c r="D1548" t="s">
        <v>20</v>
      </c>
      <c r="E1548" t="s">
        <v>17</v>
      </c>
      <c r="F1548" s="1">
        <v>45331</v>
      </c>
      <c r="G1548" s="1">
        <v>46148</v>
      </c>
      <c r="H1548">
        <v>79</v>
      </c>
      <c r="I1548">
        <v>7</v>
      </c>
      <c r="J1548">
        <v>1</v>
      </c>
      <c r="K1548" t="str">
        <f t="shared" si="72"/>
        <v>Feb-2024</v>
      </c>
      <c r="L1548" s="1">
        <f t="shared" ca="1" si="73"/>
        <v>10</v>
      </c>
      <c r="M1548" t="str">
        <f t="shared" si="74"/>
        <v>36-45</v>
      </c>
    </row>
    <row r="1549" spans="1:13" x14ac:dyDescent="0.2">
      <c r="A1549" t="s">
        <v>3093</v>
      </c>
      <c r="B1549" t="s">
        <v>3094</v>
      </c>
      <c r="C1549">
        <v>21</v>
      </c>
      <c r="D1549" t="s">
        <v>16</v>
      </c>
      <c r="E1549" t="s">
        <v>21</v>
      </c>
      <c r="F1549" s="1">
        <v>45569</v>
      </c>
      <c r="G1549" s="1">
        <v>46110</v>
      </c>
      <c r="H1549">
        <v>74</v>
      </c>
      <c r="I1549">
        <v>6</v>
      </c>
      <c r="J1549">
        <v>0</v>
      </c>
      <c r="K1549" t="str">
        <f t="shared" si="72"/>
        <v>Oct-2024</v>
      </c>
      <c r="L1549" s="1">
        <f t="shared" ca="1" si="73"/>
        <v>48</v>
      </c>
      <c r="M1549" t="str">
        <f t="shared" si="74"/>
        <v>18-25</v>
      </c>
    </row>
    <row r="1550" spans="1:13" x14ac:dyDescent="0.2">
      <c r="A1550" t="s">
        <v>3095</v>
      </c>
      <c r="B1550" t="s">
        <v>3096</v>
      </c>
      <c r="C1550">
        <v>42</v>
      </c>
      <c r="D1550" t="s">
        <v>16</v>
      </c>
      <c r="E1550" t="s">
        <v>17</v>
      </c>
      <c r="F1550" s="1">
        <v>46104</v>
      </c>
      <c r="G1550" s="1">
        <v>46080</v>
      </c>
      <c r="H1550">
        <v>79</v>
      </c>
      <c r="I1550">
        <v>2</v>
      </c>
      <c r="J1550">
        <v>0</v>
      </c>
      <c r="K1550" t="str">
        <f t="shared" si="72"/>
        <v>Mar-2026</v>
      </c>
      <c r="L1550" s="1">
        <f t="shared" ca="1" si="73"/>
        <v>78</v>
      </c>
      <c r="M1550" t="str">
        <f t="shared" si="74"/>
        <v>36-45</v>
      </c>
    </row>
    <row r="1551" spans="1:13" x14ac:dyDescent="0.2">
      <c r="A1551" t="s">
        <v>3097</v>
      </c>
      <c r="B1551" t="s">
        <v>3098</v>
      </c>
      <c r="C1551">
        <v>44</v>
      </c>
      <c r="D1551" t="s">
        <v>16</v>
      </c>
      <c r="E1551" t="s">
        <v>21</v>
      </c>
      <c r="F1551" s="1">
        <v>45377</v>
      </c>
      <c r="G1551" s="1">
        <v>46030</v>
      </c>
      <c r="H1551">
        <v>76</v>
      </c>
      <c r="I1551">
        <v>8</v>
      </c>
      <c r="J1551">
        <v>0</v>
      </c>
      <c r="K1551" t="str">
        <f t="shared" si="72"/>
        <v>Mar-2024</v>
      </c>
      <c r="L1551" s="1">
        <f t="shared" ca="1" si="73"/>
        <v>128</v>
      </c>
      <c r="M1551" t="str">
        <f t="shared" si="74"/>
        <v>36-45</v>
      </c>
    </row>
    <row r="1552" spans="1:13" x14ac:dyDescent="0.2">
      <c r="A1552" t="s">
        <v>3099</v>
      </c>
      <c r="B1552" t="s">
        <v>3100</v>
      </c>
      <c r="C1552">
        <v>57</v>
      </c>
      <c r="D1552" t="s">
        <v>20</v>
      </c>
      <c r="E1552" t="s">
        <v>21</v>
      </c>
      <c r="F1552" s="1">
        <v>45663</v>
      </c>
      <c r="G1552" s="1">
        <v>46095</v>
      </c>
      <c r="H1552">
        <v>9</v>
      </c>
      <c r="I1552">
        <v>6</v>
      </c>
      <c r="J1552">
        <v>0</v>
      </c>
      <c r="K1552" t="str">
        <f t="shared" si="72"/>
        <v>Jan-2025</v>
      </c>
      <c r="L1552" s="1">
        <f t="shared" ca="1" si="73"/>
        <v>63</v>
      </c>
      <c r="M1552" t="str">
        <f t="shared" si="74"/>
        <v>46+</v>
      </c>
    </row>
    <row r="1553" spans="1:13" x14ac:dyDescent="0.2">
      <c r="A1553" t="s">
        <v>3101</v>
      </c>
      <c r="B1553" t="s">
        <v>3102</v>
      </c>
      <c r="C1553">
        <v>34</v>
      </c>
      <c r="D1553" t="s">
        <v>20</v>
      </c>
      <c r="E1553" t="s">
        <v>17</v>
      </c>
      <c r="F1553" s="1">
        <v>46118</v>
      </c>
      <c r="G1553" s="1">
        <v>46074</v>
      </c>
      <c r="H1553">
        <v>33</v>
      </c>
      <c r="I1553">
        <v>2</v>
      </c>
      <c r="J1553">
        <v>1</v>
      </c>
      <c r="K1553" t="str">
        <f t="shared" si="72"/>
        <v>Apr-2026</v>
      </c>
      <c r="L1553" s="1">
        <f t="shared" ca="1" si="73"/>
        <v>84</v>
      </c>
      <c r="M1553" t="str">
        <f t="shared" si="74"/>
        <v>26-35</v>
      </c>
    </row>
    <row r="1554" spans="1:13" x14ac:dyDescent="0.2">
      <c r="A1554" t="s">
        <v>3103</v>
      </c>
      <c r="B1554" t="s">
        <v>3104</v>
      </c>
      <c r="C1554">
        <v>38</v>
      </c>
      <c r="D1554" t="s">
        <v>20</v>
      </c>
      <c r="E1554" t="s">
        <v>21</v>
      </c>
      <c r="F1554" s="1">
        <v>45330</v>
      </c>
      <c r="G1554" s="1">
        <v>46119</v>
      </c>
      <c r="H1554">
        <v>2</v>
      </c>
      <c r="I1554">
        <v>6</v>
      </c>
      <c r="J1554">
        <v>0</v>
      </c>
      <c r="K1554" t="str">
        <f t="shared" si="72"/>
        <v>Feb-2024</v>
      </c>
      <c r="L1554" s="1">
        <f t="shared" ca="1" si="73"/>
        <v>39</v>
      </c>
      <c r="M1554" t="str">
        <f t="shared" si="74"/>
        <v>36-45</v>
      </c>
    </row>
    <row r="1555" spans="1:13" x14ac:dyDescent="0.2">
      <c r="A1555" t="s">
        <v>3105</v>
      </c>
      <c r="B1555" t="s">
        <v>3106</v>
      </c>
      <c r="C1555">
        <v>56</v>
      </c>
      <c r="D1555" t="s">
        <v>12</v>
      </c>
      <c r="E1555" t="s">
        <v>21</v>
      </c>
      <c r="F1555" s="1">
        <v>45392</v>
      </c>
      <c r="G1555" s="1">
        <v>46084</v>
      </c>
      <c r="H1555">
        <v>23</v>
      </c>
      <c r="I1555">
        <v>7</v>
      </c>
      <c r="J1555">
        <v>0</v>
      </c>
      <c r="K1555" t="str">
        <f t="shared" si="72"/>
        <v>Apr-2024</v>
      </c>
      <c r="L1555" s="1">
        <f t="shared" ca="1" si="73"/>
        <v>74</v>
      </c>
      <c r="M1555" t="str">
        <f t="shared" si="74"/>
        <v>46+</v>
      </c>
    </row>
    <row r="1556" spans="1:13" x14ac:dyDescent="0.2">
      <c r="A1556" t="s">
        <v>3107</v>
      </c>
      <c r="B1556" t="s">
        <v>3108</v>
      </c>
      <c r="C1556">
        <v>25</v>
      </c>
      <c r="D1556" t="s">
        <v>12</v>
      </c>
      <c r="E1556" t="s">
        <v>17</v>
      </c>
      <c r="F1556" s="1">
        <v>45234</v>
      </c>
      <c r="G1556" s="1">
        <v>46150</v>
      </c>
      <c r="H1556">
        <v>54</v>
      </c>
      <c r="I1556">
        <v>2</v>
      </c>
      <c r="J1556">
        <v>1</v>
      </c>
      <c r="K1556" t="str">
        <f t="shared" si="72"/>
        <v>Nov-2023</v>
      </c>
      <c r="L1556" s="1">
        <f t="shared" ca="1" si="73"/>
        <v>8</v>
      </c>
      <c r="M1556" t="str">
        <f t="shared" si="74"/>
        <v>18-25</v>
      </c>
    </row>
    <row r="1557" spans="1:13" x14ac:dyDescent="0.2">
      <c r="A1557" t="s">
        <v>3109</v>
      </c>
      <c r="B1557" t="s">
        <v>3110</v>
      </c>
      <c r="C1557">
        <v>50</v>
      </c>
      <c r="D1557" t="s">
        <v>16</v>
      </c>
      <c r="E1557" t="s">
        <v>21</v>
      </c>
      <c r="F1557" s="1">
        <v>46058</v>
      </c>
      <c r="G1557" s="1">
        <v>46085</v>
      </c>
      <c r="H1557">
        <v>37</v>
      </c>
      <c r="I1557">
        <v>1</v>
      </c>
      <c r="J1557">
        <v>1</v>
      </c>
      <c r="K1557" t="str">
        <f t="shared" si="72"/>
        <v>Feb-2026</v>
      </c>
      <c r="L1557" s="1">
        <f t="shared" ca="1" si="73"/>
        <v>73</v>
      </c>
      <c r="M1557" t="str">
        <f t="shared" si="74"/>
        <v>46+</v>
      </c>
    </row>
    <row r="1558" spans="1:13" x14ac:dyDescent="0.2">
      <c r="A1558" t="s">
        <v>3111</v>
      </c>
      <c r="B1558" t="s">
        <v>3112</v>
      </c>
      <c r="C1558">
        <v>27</v>
      </c>
      <c r="D1558" t="s">
        <v>12</v>
      </c>
      <c r="E1558" t="s">
        <v>21</v>
      </c>
      <c r="F1558" s="1">
        <v>45673</v>
      </c>
      <c r="G1558" s="1">
        <v>46032</v>
      </c>
      <c r="H1558">
        <v>67</v>
      </c>
      <c r="I1558">
        <v>7</v>
      </c>
      <c r="J1558">
        <v>1</v>
      </c>
      <c r="K1558" t="str">
        <f t="shared" si="72"/>
        <v>Jan-2025</v>
      </c>
      <c r="L1558" s="1">
        <f t="shared" ca="1" si="73"/>
        <v>126</v>
      </c>
      <c r="M1558" t="str">
        <f t="shared" si="74"/>
        <v>26-35</v>
      </c>
    </row>
    <row r="1559" spans="1:13" x14ac:dyDescent="0.2">
      <c r="A1559" t="s">
        <v>3113</v>
      </c>
      <c r="B1559" t="s">
        <v>3114</v>
      </c>
      <c r="C1559">
        <v>19</v>
      </c>
      <c r="D1559" t="s">
        <v>20</v>
      </c>
      <c r="E1559" t="s">
        <v>21</v>
      </c>
      <c r="F1559" s="1">
        <v>45367</v>
      </c>
      <c r="G1559" s="1">
        <v>46063</v>
      </c>
      <c r="H1559">
        <v>15</v>
      </c>
      <c r="I1559">
        <v>1</v>
      </c>
      <c r="J1559">
        <v>0</v>
      </c>
      <c r="K1559" t="str">
        <f t="shared" si="72"/>
        <v>Mar-2024</v>
      </c>
      <c r="L1559" s="1">
        <f t="shared" ca="1" si="73"/>
        <v>95</v>
      </c>
      <c r="M1559" t="str">
        <f t="shared" si="74"/>
        <v>18-25</v>
      </c>
    </row>
    <row r="1560" spans="1:13" x14ac:dyDescent="0.2">
      <c r="A1560" t="s">
        <v>3115</v>
      </c>
      <c r="B1560" t="s">
        <v>3116</v>
      </c>
      <c r="C1560">
        <v>48</v>
      </c>
      <c r="D1560" t="s">
        <v>12</v>
      </c>
      <c r="E1560" t="s">
        <v>21</v>
      </c>
      <c r="F1560" s="1">
        <v>45236</v>
      </c>
      <c r="G1560" s="1">
        <v>46094</v>
      </c>
      <c r="H1560">
        <v>38</v>
      </c>
      <c r="I1560">
        <v>2</v>
      </c>
      <c r="J1560">
        <v>0</v>
      </c>
      <c r="K1560" t="str">
        <f t="shared" si="72"/>
        <v>Nov-2023</v>
      </c>
      <c r="L1560" s="1">
        <f t="shared" ca="1" si="73"/>
        <v>64</v>
      </c>
      <c r="M1560" t="str">
        <f t="shared" si="74"/>
        <v>46+</v>
      </c>
    </row>
    <row r="1561" spans="1:13" x14ac:dyDescent="0.2">
      <c r="A1561" t="s">
        <v>3117</v>
      </c>
      <c r="B1561" t="s">
        <v>3118</v>
      </c>
      <c r="C1561">
        <v>48</v>
      </c>
      <c r="D1561" t="s">
        <v>20</v>
      </c>
      <c r="E1561" t="s">
        <v>13</v>
      </c>
      <c r="F1561" s="1">
        <v>45963</v>
      </c>
      <c r="G1561" s="1">
        <v>46140</v>
      </c>
      <c r="H1561">
        <v>27</v>
      </c>
      <c r="I1561">
        <v>4</v>
      </c>
      <c r="J1561">
        <v>1</v>
      </c>
      <c r="K1561" t="str">
        <f t="shared" si="72"/>
        <v>Nov-2025</v>
      </c>
      <c r="L1561" s="1">
        <f t="shared" ca="1" si="73"/>
        <v>18</v>
      </c>
      <c r="M1561" t="str">
        <f t="shared" si="74"/>
        <v>46+</v>
      </c>
    </row>
    <row r="1562" spans="1:13" x14ac:dyDescent="0.2">
      <c r="A1562" t="s">
        <v>3119</v>
      </c>
      <c r="B1562" t="s">
        <v>3120</v>
      </c>
      <c r="C1562">
        <v>18</v>
      </c>
      <c r="D1562" t="s">
        <v>12</v>
      </c>
      <c r="E1562" t="s">
        <v>21</v>
      </c>
      <c r="F1562" s="1">
        <v>45922</v>
      </c>
      <c r="G1562" s="1">
        <v>46110</v>
      </c>
      <c r="H1562">
        <v>27</v>
      </c>
      <c r="I1562">
        <v>5</v>
      </c>
      <c r="J1562">
        <v>0</v>
      </c>
      <c r="K1562" t="str">
        <f t="shared" si="72"/>
        <v>Sep-2025</v>
      </c>
      <c r="L1562" s="1">
        <f t="shared" ca="1" si="73"/>
        <v>48</v>
      </c>
      <c r="M1562" t="str">
        <f t="shared" si="74"/>
        <v>18-25</v>
      </c>
    </row>
    <row r="1563" spans="1:13" x14ac:dyDescent="0.2">
      <c r="A1563" t="s">
        <v>3121</v>
      </c>
      <c r="B1563" t="s">
        <v>3122</v>
      </c>
      <c r="C1563">
        <v>26</v>
      </c>
      <c r="D1563" t="s">
        <v>16</v>
      </c>
      <c r="E1563" t="s">
        <v>21</v>
      </c>
      <c r="F1563" s="1">
        <v>45427</v>
      </c>
      <c r="G1563" s="1">
        <v>46108</v>
      </c>
      <c r="H1563">
        <v>6</v>
      </c>
      <c r="I1563">
        <v>3</v>
      </c>
      <c r="J1563">
        <v>0</v>
      </c>
      <c r="K1563" t="str">
        <f t="shared" si="72"/>
        <v>May-2024</v>
      </c>
      <c r="L1563" s="1">
        <f t="shared" ca="1" si="73"/>
        <v>50</v>
      </c>
      <c r="M1563" t="str">
        <f t="shared" si="74"/>
        <v>26-35</v>
      </c>
    </row>
    <row r="1564" spans="1:13" x14ac:dyDescent="0.2">
      <c r="A1564" t="s">
        <v>3123</v>
      </c>
      <c r="B1564" t="s">
        <v>3124</v>
      </c>
      <c r="C1564">
        <v>22</v>
      </c>
      <c r="D1564" t="s">
        <v>12</v>
      </c>
      <c r="E1564" t="s">
        <v>13</v>
      </c>
      <c r="F1564" s="1">
        <v>46033</v>
      </c>
      <c r="G1564" s="1">
        <v>46068</v>
      </c>
      <c r="H1564">
        <v>17</v>
      </c>
      <c r="I1564">
        <v>3</v>
      </c>
      <c r="J1564">
        <v>0</v>
      </c>
      <c r="K1564" t="str">
        <f t="shared" si="72"/>
        <v>Jan-2026</v>
      </c>
      <c r="L1564" s="1">
        <f t="shared" ca="1" si="73"/>
        <v>90</v>
      </c>
      <c r="M1564" t="str">
        <f t="shared" si="74"/>
        <v>18-25</v>
      </c>
    </row>
    <row r="1565" spans="1:13" x14ac:dyDescent="0.2">
      <c r="A1565" t="s">
        <v>3125</v>
      </c>
      <c r="B1565" t="s">
        <v>3126</v>
      </c>
      <c r="C1565">
        <v>53</v>
      </c>
      <c r="D1565" t="s">
        <v>12</v>
      </c>
      <c r="E1565" t="s">
        <v>21</v>
      </c>
      <c r="F1565" s="1">
        <v>45314</v>
      </c>
      <c r="G1565" s="1">
        <v>46142</v>
      </c>
      <c r="H1565">
        <v>77</v>
      </c>
      <c r="I1565">
        <v>10</v>
      </c>
      <c r="J1565">
        <v>0</v>
      </c>
      <c r="K1565" t="str">
        <f t="shared" si="72"/>
        <v>Jan-2024</v>
      </c>
      <c r="L1565" s="1">
        <f t="shared" ca="1" si="73"/>
        <v>16</v>
      </c>
      <c r="M1565" t="str">
        <f t="shared" si="74"/>
        <v>46+</v>
      </c>
    </row>
    <row r="1566" spans="1:13" x14ac:dyDescent="0.2">
      <c r="A1566" t="s">
        <v>3127</v>
      </c>
      <c r="B1566" t="s">
        <v>3128</v>
      </c>
      <c r="C1566">
        <v>50</v>
      </c>
      <c r="D1566" t="s">
        <v>20</v>
      </c>
      <c r="E1566" t="s">
        <v>21</v>
      </c>
      <c r="F1566" s="1">
        <v>45402</v>
      </c>
      <c r="G1566" s="1">
        <v>46084</v>
      </c>
      <c r="H1566">
        <v>43</v>
      </c>
      <c r="I1566">
        <v>2</v>
      </c>
      <c r="J1566">
        <v>0</v>
      </c>
      <c r="K1566" t="str">
        <f t="shared" si="72"/>
        <v>Apr-2024</v>
      </c>
      <c r="L1566" s="1">
        <f t="shared" ca="1" si="73"/>
        <v>74</v>
      </c>
      <c r="M1566" t="str">
        <f t="shared" si="74"/>
        <v>46+</v>
      </c>
    </row>
    <row r="1567" spans="1:13" x14ac:dyDescent="0.2">
      <c r="A1567" t="s">
        <v>3129</v>
      </c>
      <c r="B1567" t="s">
        <v>3130</v>
      </c>
      <c r="C1567">
        <v>48</v>
      </c>
      <c r="D1567" t="s">
        <v>20</v>
      </c>
      <c r="E1567" t="s">
        <v>17</v>
      </c>
      <c r="F1567" s="1">
        <v>45242</v>
      </c>
      <c r="G1567" s="1">
        <v>46122</v>
      </c>
      <c r="H1567">
        <v>33</v>
      </c>
      <c r="I1567">
        <v>5</v>
      </c>
      <c r="J1567">
        <v>0</v>
      </c>
      <c r="K1567" t="str">
        <f t="shared" si="72"/>
        <v>Nov-2023</v>
      </c>
      <c r="L1567" s="1">
        <f t="shared" ca="1" si="73"/>
        <v>36</v>
      </c>
      <c r="M1567" t="str">
        <f t="shared" si="74"/>
        <v>46+</v>
      </c>
    </row>
    <row r="1568" spans="1:13" x14ac:dyDescent="0.2">
      <c r="A1568" t="s">
        <v>3131</v>
      </c>
      <c r="B1568" t="s">
        <v>3132</v>
      </c>
      <c r="C1568">
        <v>41</v>
      </c>
      <c r="D1568" t="s">
        <v>16</v>
      </c>
      <c r="E1568" t="s">
        <v>13</v>
      </c>
      <c r="F1568" s="1">
        <v>46091</v>
      </c>
      <c r="G1568" s="1">
        <v>46063</v>
      </c>
      <c r="H1568">
        <v>52</v>
      </c>
      <c r="I1568">
        <v>2</v>
      </c>
      <c r="J1568">
        <v>1</v>
      </c>
      <c r="K1568" t="str">
        <f t="shared" si="72"/>
        <v>Mar-2026</v>
      </c>
      <c r="L1568" s="1">
        <f t="shared" ca="1" si="73"/>
        <v>95</v>
      </c>
      <c r="M1568" t="str">
        <f t="shared" si="74"/>
        <v>36-45</v>
      </c>
    </row>
    <row r="1569" spans="1:13" x14ac:dyDescent="0.2">
      <c r="A1569" t="s">
        <v>3133</v>
      </c>
      <c r="B1569" t="s">
        <v>3134</v>
      </c>
      <c r="C1569">
        <v>41</v>
      </c>
      <c r="D1569" t="s">
        <v>16</v>
      </c>
      <c r="E1569" t="s">
        <v>21</v>
      </c>
      <c r="F1569" s="1">
        <v>46067</v>
      </c>
      <c r="G1569" s="1">
        <v>46031</v>
      </c>
      <c r="H1569">
        <v>50</v>
      </c>
      <c r="I1569">
        <v>2</v>
      </c>
      <c r="J1569">
        <v>1</v>
      </c>
      <c r="K1569" t="str">
        <f t="shared" si="72"/>
        <v>Feb-2026</v>
      </c>
      <c r="L1569" s="1">
        <f t="shared" ca="1" si="73"/>
        <v>127</v>
      </c>
      <c r="M1569" t="str">
        <f t="shared" si="74"/>
        <v>36-45</v>
      </c>
    </row>
    <row r="1570" spans="1:13" x14ac:dyDescent="0.2">
      <c r="A1570" t="s">
        <v>3135</v>
      </c>
      <c r="B1570" t="s">
        <v>3136</v>
      </c>
      <c r="C1570">
        <v>49</v>
      </c>
      <c r="D1570" t="s">
        <v>16</v>
      </c>
      <c r="E1570" t="s">
        <v>21</v>
      </c>
      <c r="F1570" s="1">
        <v>46099</v>
      </c>
      <c r="G1570" s="1">
        <v>46130</v>
      </c>
      <c r="H1570">
        <v>42</v>
      </c>
      <c r="I1570">
        <v>10</v>
      </c>
      <c r="J1570">
        <v>0</v>
      </c>
      <c r="K1570" t="str">
        <f t="shared" si="72"/>
        <v>Mar-2026</v>
      </c>
      <c r="L1570" s="1">
        <f t="shared" ca="1" si="73"/>
        <v>28</v>
      </c>
      <c r="M1570" t="str">
        <f t="shared" si="74"/>
        <v>46+</v>
      </c>
    </row>
    <row r="1571" spans="1:13" x14ac:dyDescent="0.2">
      <c r="A1571" t="s">
        <v>3137</v>
      </c>
      <c r="B1571" t="s">
        <v>3138</v>
      </c>
      <c r="C1571">
        <v>59</v>
      </c>
      <c r="D1571" t="s">
        <v>20</v>
      </c>
      <c r="E1571" t="s">
        <v>21</v>
      </c>
      <c r="F1571" s="1">
        <v>45378</v>
      </c>
      <c r="G1571" s="1">
        <v>46074</v>
      </c>
      <c r="H1571">
        <v>66</v>
      </c>
      <c r="I1571">
        <v>6</v>
      </c>
      <c r="J1571">
        <v>1</v>
      </c>
      <c r="K1571" t="str">
        <f t="shared" si="72"/>
        <v>Mar-2024</v>
      </c>
      <c r="L1571" s="1">
        <f t="shared" ca="1" si="73"/>
        <v>84</v>
      </c>
      <c r="M1571" t="str">
        <f t="shared" si="74"/>
        <v>46+</v>
      </c>
    </row>
    <row r="1572" spans="1:13" x14ac:dyDescent="0.2">
      <c r="A1572" t="s">
        <v>3139</v>
      </c>
      <c r="B1572" t="s">
        <v>3140</v>
      </c>
      <c r="C1572">
        <v>39</v>
      </c>
      <c r="D1572" t="s">
        <v>20</v>
      </c>
      <c r="E1572" t="s">
        <v>21</v>
      </c>
      <c r="F1572" s="1">
        <v>45814</v>
      </c>
      <c r="G1572" s="1">
        <v>46077</v>
      </c>
      <c r="H1572">
        <v>11</v>
      </c>
      <c r="I1572">
        <v>7</v>
      </c>
      <c r="J1572">
        <v>0</v>
      </c>
      <c r="K1572" t="str">
        <f t="shared" si="72"/>
        <v>Jun-2025</v>
      </c>
      <c r="L1572" s="1">
        <f t="shared" ca="1" si="73"/>
        <v>81</v>
      </c>
      <c r="M1572" t="str">
        <f t="shared" si="74"/>
        <v>36-45</v>
      </c>
    </row>
    <row r="1573" spans="1:13" x14ac:dyDescent="0.2">
      <c r="A1573" t="s">
        <v>3141</v>
      </c>
      <c r="B1573" t="s">
        <v>3142</v>
      </c>
      <c r="C1573">
        <v>41</v>
      </c>
      <c r="D1573" t="s">
        <v>20</v>
      </c>
      <c r="E1573" t="s">
        <v>21</v>
      </c>
      <c r="F1573" s="1">
        <v>45902</v>
      </c>
      <c r="G1573" s="1">
        <v>46147</v>
      </c>
      <c r="H1573">
        <v>18</v>
      </c>
      <c r="I1573">
        <v>8</v>
      </c>
      <c r="J1573">
        <v>0</v>
      </c>
      <c r="K1573" t="str">
        <f t="shared" si="72"/>
        <v>Sep-2025</v>
      </c>
      <c r="L1573" s="1">
        <f t="shared" ca="1" si="73"/>
        <v>11</v>
      </c>
      <c r="M1573" t="str">
        <f t="shared" si="74"/>
        <v>36-45</v>
      </c>
    </row>
    <row r="1574" spans="1:13" x14ac:dyDescent="0.2">
      <c r="A1574" t="s">
        <v>3143</v>
      </c>
      <c r="B1574" t="s">
        <v>3144</v>
      </c>
      <c r="C1574">
        <v>19</v>
      </c>
      <c r="D1574" t="s">
        <v>20</v>
      </c>
      <c r="E1574" t="s">
        <v>21</v>
      </c>
      <c r="F1574" s="1">
        <v>46063</v>
      </c>
      <c r="G1574" s="1">
        <v>46121</v>
      </c>
      <c r="H1574">
        <v>28</v>
      </c>
      <c r="I1574">
        <v>6</v>
      </c>
      <c r="J1574">
        <v>1</v>
      </c>
      <c r="K1574" t="str">
        <f t="shared" si="72"/>
        <v>Feb-2026</v>
      </c>
      <c r="L1574" s="1">
        <f t="shared" ca="1" si="73"/>
        <v>37</v>
      </c>
      <c r="M1574" t="str">
        <f t="shared" si="74"/>
        <v>18-25</v>
      </c>
    </row>
    <row r="1575" spans="1:13" x14ac:dyDescent="0.2">
      <c r="A1575" t="s">
        <v>3145</v>
      </c>
      <c r="B1575" t="s">
        <v>3146</v>
      </c>
      <c r="C1575">
        <v>24</v>
      </c>
      <c r="D1575" t="s">
        <v>12</v>
      </c>
      <c r="E1575" t="s">
        <v>21</v>
      </c>
      <c r="F1575" s="1">
        <v>45933</v>
      </c>
      <c r="G1575" s="1">
        <v>46092</v>
      </c>
      <c r="H1575">
        <v>24</v>
      </c>
      <c r="I1575">
        <v>6</v>
      </c>
      <c r="J1575">
        <v>0</v>
      </c>
      <c r="K1575" t="str">
        <f t="shared" si="72"/>
        <v>Oct-2025</v>
      </c>
      <c r="L1575" s="1">
        <f t="shared" ca="1" si="73"/>
        <v>66</v>
      </c>
      <c r="M1575" t="str">
        <f t="shared" si="74"/>
        <v>18-25</v>
      </c>
    </row>
    <row r="1576" spans="1:13" x14ac:dyDescent="0.2">
      <c r="A1576" t="s">
        <v>3147</v>
      </c>
      <c r="B1576" t="s">
        <v>3148</v>
      </c>
      <c r="C1576">
        <v>51</v>
      </c>
      <c r="D1576" t="s">
        <v>20</v>
      </c>
      <c r="E1576" t="s">
        <v>21</v>
      </c>
      <c r="F1576" s="1">
        <v>45325</v>
      </c>
      <c r="G1576" s="1">
        <v>46092</v>
      </c>
      <c r="H1576">
        <v>60</v>
      </c>
      <c r="I1576">
        <v>5</v>
      </c>
      <c r="J1576">
        <v>0</v>
      </c>
      <c r="K1576" t="str">
        <f t="shared" si="72"/>
        <v>Feb-2024</v>
      </c>
      <c r="L1576" s="1">
        <f t="shared" ca="1" si="73"/>
        <v>66</v>
      </c>
      <c r="M1576" t="str">
        <f t="shared" si="74"/>
        <v>46+</v>
      </c>
    </row>
    <row r="1577" spans="1:13" x14ac:dyDescent="0.2">
      <c r="A1577" t="s">
        <v>3149</v>
      </c>
      <c r="B1577" t="s">
        <v>3150</v>
      </c>
      <c r="C1577">
        <v>50</v>
      </c>
      <c r="D1577" t="s">
        <v>16</v>
      </c>
      <c r="E1577" t="s">
        <v>21</v>
      </c>
      <c r="F1577" s="1">
        <v>45366</v>
      </c>
      <c r="G1577" s="1">
        <v>46058</v>
      </c>
      <c r="H1577">
        <v>23</v>
      </c>
      <c r="I1577">
        <v>8</v>
      </c>
      <c r="J1577">
        <v>0</v>
      </c>
      <c r="K1577" t="str">
        <f t="shared" si="72"/>
        <v>Mar-2024</v>
      </c>
      <c r="L1577" s="1">
        <f t="shared" ca="1" si="73"/>
        <v>100</v>
      </c>
      <c r="M1577" t="str">
        <f t="shared" si="74"/>
        <v>46+</v>
      </c>
    </row>
    <row r="1578" spans="1:13" x14ac:dyDescent="0.2">
      <c r="A1578" t="s">
        <v>3151</v>
      </c>
      <c r="B1578" t="s">
        <v>3152</v>
      </c>
      <c r="C1578">
        <v>38</v>
      </c>
      <c r="D1578" t="s">
        <v>16</v>
      </c>
      <c r="E1578" t="s">
        <v>21</v>
      </c>
      <c r="F1578" s="1">
        <v>45442</v>
      </c>
      <c r="G1578" s="1">
        <v>46046</v>
      </c>
      <c r="H1578">
        <v>65</v>
      </c>
      <c r="I1578">
        <v>10</v>
      </c>
      <c r="J1578">
        <v>1</v>
      </c>
      <c r="K1578" t="str">
        <f t="shared" si="72"/>
        <v>May-2024</v>
      </c>
      <c r="L1578" s="1">
        <f t="shared" ca="1" si="73"/>
        <v>112</v>
      </c>
      <c r="M1578" t="str">
        <f t="shared" si="74"/>
        <v>36-45</v>
      </c>
    </row>
    <row r="1579" spans="1:13" x14ac:dyDescent="0.2">
      <c r="A1579" t="s">
        <v>3153</v>
      </c>
      <c r="B1579" t="s">
        <v>3154</v>
      </c>
      <c r="C1579">
        <v>54</v>
      </c>
      <c r="D1579" t="s">
        <v>12</v>
      </c>
      <c r="E1579" t="s">
        <v>21</v>
      </c>
      <c r="F1579" s="1">
        <v>45423</v>
      </c>
      <c r="G1579" s="1">
        <v>46047</v>
      </c>
      <c r="H1579">
        <v>80</v>
      </c>
      <c r="I1579">
        <v>9</v>
      </c>
      <c r="J1579">
        <v>1</v>
      </c>
      <c r="K1579" t="str">
        <f t="shared" si="72"/>
        <v>May-2024</v>
      </c>
      <c r="L1579" s="1">
        <f t="shared" ca="1" si="73"/>
        <v>111</v>
      </c>
      <c r="M1579" t="str">
        <f t="shared" si="74"/>
        <v>46+</v>
      </c>
    </row>
    <row r="1580" spans="1:13" x14ac:dyDescent="0.2">
      <c r="A1580" t="s">
        <v>3155</v>
      </c>
      <c r="B1580" t="s">
        <v>3156</v>
      </c>
      <c r="C1580">
        <v>57</v>
      </c>
      <c r="D1580" t="s">
        <v>20</v>
      </c>
      <c r="E1580" t="s">
        <v>17</v>
      </c>
      <c r="F1580" s="1">
        <v>45195</v>
      </c>
      <c r="G1580" s="1">
        <v>46103</v>
      </c>
      <c r="H1580">
        <v>18</v>
      </c>
      <c r="I1580">
        <v>7</v>
      </c>
      <c r="J1580">
        <v>0</v>
      </c>
      <c r="K1580" t="str">
        <f t="shared" si="72"/>
        <v>Sep-2023</v>
      </c>
      <c r="L1580" s="1">
        <f t="shared" ca="1" si="73"/>
        <v>55</v>
      </c>
      <c r="M1580" t="str">
        <f t="shared" si="74"/>
        <v>46+</v>
      </c>
    </row>
    <row r="1581" spans="1:13" x14ac:dyDescent="0.2">
      <c r="A1581" t="s">
        <v>3157</v>
      </c>
      <c r="B1581" t="s">
        <v>3158</v>
      </c>
      <c r="C1581">
        <v>28</v>
      </c>
      <c r="D1581" t="s">
        <v>12</v>
      </c>
      <c r="E1581" t="s">
        <v>13</v>
      </c>
      <c r="F1581" s="1">
        <v>45685</v>
      </c>
      <c r="G1581" s="1">
        <v>46132</v>
      </c>
      <c r="H1581">
        <v>36</v>
      </c>
      <c r="I1581">
        <v>6</v>
      </c>
      <c r="J1581">
        <v>0</v>
      </c>
      <c r="K1581" t="str">
        <f t="shared" si="72"/>
        <v>Jan-2025</v>
      </c>
      <c r="L1581" s="1">
        <f t="shared" ca="1" si="73"/>
        <v>26</v>
      </c>
      <c r="M1581" t="str">
        <f t="shared" si="74"/>
        <v>26-35</v>
      </c>
    </row>
    <row r="1582" spans="1:13" x14ac:dyDescent="0.2">
      <c r="A1582" t="s">
        <v>3159</v>
      </c>
      <c r="B1582" t="s">
        <v>3160</v>
      </c>
      <c r="C1582">
        <v>56</v>
      </c>
      <c r="D1582" t="s">
        <v>20</v>
      </c>
      <c r="E1582" t="s">
        <v>21</v>
      </c>
      <c r="F1582" s="1">
        <v>45445</v>
      </c>
      <c r="G1582" s="1">
        <v>46127</v>
      </c>
      <c r="H1582">
        <v>49</v>
      </c>
      <c r="I1582">
        <v>9</v>
      </c>
      <c r="J1582">
        <v>0</v>
      </c>
      <c r="K1582" t="str">
        <f t="shared" si="72"/>
        <v>Jun-2024</v>
      </c>
      <c r="L1582" s="1">
        <f t="shared" ca="1" si="73"/>
        <v>31</v>
      </c>
      <c r="M1582" t="str">
        <f t="shared" si="74"/>
        <v>46+</v>
      </c>
    </row>
    <row r="1583" spans="1:13" x14ac:dyDescent="0.2">
      <c r="A1583" t="s">
        <v>3161</v>
      </c>
      <c r="B1583" t="s">
        <v>3162</v>
      </c>
      <c r="C1583">
        <v>51</v>
      </c>
      <c r="D1583" t="s">
        <v>20</v>
      </c>
      <c r="E1583" t="s">
        <v>13</v>
      </c>
      <c r="F1583" s="1">
        <v>45152</v>
      </c>
      <c r="G1583" s="1">
        <v>46032</v>
      </c>
      <c r="H1583">
        <v>52</v>
      </c>
      <c r="I1583">
        <v>8</v>
      </c>
      <c r="J1583">
        <v>0</v>
      </c>
      <c r="K1583" t="str">
        <f t="shared" si="72"/>
        <v>Aug-2023</v>
      </c>
      <c r="L1583" s="1">
        <f t="shared" ca="1" si="73"/>
        <v>126</v>
      </c>
      <c r="M1583" t="str">
        <f t="shared" si="74"/>
        <v>46+</v>
      </c>
    </row>
    <row r="1584" spans="1:13" x14ac:dyDescent="0.2">
      <c r="A1584" t="s">
        <v>3163</v>
      </c>
      <c r="B1584" t="s">
        <v>3164</v>
      </c>
      <c r="C1584">
        <v>57</v>
      </c>
      <c r="D1584" t="s">
        <v>12</v>
      </c>
      <c r="E1584" t="s">
        <v>21</v>
      </c>
      <c r="F1584" s="1">
        <v>45595</v>
      </c>
      <c r="G1584" s="1">
        <v>46098</v>
      </c>
      <c r="H1584">
        <v>49</v>
      </c>
      <c r="I1584">
        <v>9</v>
      </c>
      <c r="J1584">
        <v>0</v>
      </c>
      <c r="K1584" t="str">
        <f t="shared" si="72"/>
        <v>Oct-2024</v>
      </c>
      <c r="L1584" s="1">
        <f t="shared" ca="1" si="73"/>
        <v>60</v>
      </c>
      <c r="M1584" t="str">
        <f t="shared" si="74"/>
        <v>46+</v>
      </c>
    </row>
    <row r="1585" spans="1:13" x14ac:dyDescent="0.2">
      <c r="A1585" t="s">
        <v>3165</v>
      </c>
      <c r="B1585" t="s">
        <v>2984</v>
      </c>
      <c r="C1585">
        <v>18</v>
      </c>
      <c r="D1585" t="s">
        <v>12</v>
      </c>
      <c r="E1585" t="s">
        <v>21</v>
      </c>
      <c r="F1585" s="1">
        <v>45567</v>
      </c>
      <c r="G1585" s="1">
        <v>46063</v>
      </c>
      <c r="H1585">
        <v>68</v>
      </c>
      <c r="I1585">
        <v>8</v>
      </c>
      <c r="J1585">
        <v>0</v>
      </c>
      <c r="K1585" t="str">
        <f t="shared" si="72"/>
        <v>Oct-2024</v>
      </c>
      <c r="L1585" s="1">
        <f t="shared" ca="1" si="73"/>
        <v>95</v>
      </c>
      <c r="M1585" t="str">
        <f t="shared" si="74"/>
        <v>18-25</v>
      </c>
    </row>
    <row r="1586" spans="1:13" x14ac:dyDescent="0.2">
      <c r="A1586" t="s">
        <v>3166</v>
      </c>
      <c r="B1586" t="s">
        <v>3167</v>
      </c>
      <c r="C1586">
        <v>20</v>
      </c>
      <c r="D1586" t="s">
        <v>20</v>
      </c>
      <c r="E1586" t="s">
        <v>21</v>
      </c>
      <c r="F1586" s="1">
        <v>45213</v>
      </c>
      <c r="G1586" s="1">
        <v>46098</v>
      </c>
      <c r="H1586">
        <v>39</v>
      </c>
      <c r="I1586">
        <v>6</v>
      </c>
      <c r="J1586">
        <v>0</v>
      </c>
      <c r="K1586" t="str">
        <f t="shared" si="72"/>
        <v>Oct-2023</v>
      </c>
      <c r="L1586" s="1">
        <f t="shared" ca="1" si="73"/>
        <v>60</v>
      </c>
      <c r="M1586" t="str">
        <f t="shared" si="74"/>
        <v>18-25</v>
      </c>
    </row>
    <row r="1587" spans="1:13" x14ac:dyDescent="0.2">
      <c r="A1587" t="s">
        <v>3168</v>
      </c>
      <c r="B1587" t="s">
        <v>3169</v>
      </c>
      <c r="C1587">
        <v>40</v>
      </c>
      <c r="D1587" t="s">
        <v>12</v>
      </c>
      <c r="E1587" t="s">
        <v>21</v>
      </c>
      <c r="F1587" s="1">
        <v>45921</v>
      </c>
      <c r="G1587" s="1">
        <v>46030</v>
      </c>
      <c r="H1587">
        <v>11</v>
      </c>
      <c r="I1587">
        <v>3</v>
      </c>
      <c r="J1587">
        <v>1</v>
      </c>
      <c r="K1587" t="str">
        <f t="shared" si="72"/>
        <v>Sep-2025</v>
      </c>
      <c r="L1587" s="1">
        <f t="shared" ca="1" si="73"/>
        <v>128</v>
      </c>
      <c r="M1587" t="str">
        <f t="shared" si="74"/>
        <v>36-45</v>
      </c>
    </row>
    <row r="1588" spans="1:13" x14ac:dyDescent="0.2">
      <c r="A1588" t="s">
        <v>3170</v>
      </c>
      <c r="B1588" t="s">
        <v>1918</v>
      </c>
      <c r="C1588">
        <v>28</v>
      </c>
      <c r="D1588" t="s">
        <v>20</v>
      </c>
      <c r="E1588" t="s">
        <v>13</v>
      </c>
      <c r="F1588" s="1">
        <v>45669</v>
      </c>
      <c r="G1588" s="1">
        <v>46130</v>
      </c>
      <c r="H1588">
        <v>75</v>
      </c>
      <c r="I1588">
        <v>2</v>
      </c>
      <c r="J1588">
        <v>1</v>
      </c>
      <c r="K1588" t="str">
        <f t="shared" si="72"/>
        <v>Jan-2025</v>
      </c>
      <c r="L1588" s="1">
        <f t="shared" ca="1" si="73"/>
        <v>28</v>
      </c>
      <c r="M1588" t="str">
        <f t="shared" si="74"/>
        <v>26-35</v>
      </c>
    </row>
    <row r="1589" spans="1:13" x14ac:dyDescent="0.2">
      <c r="A1589" t="s">
        <v>3171</v>
      </c>
      <c r="B1589" t="s">
        <v>3172</v>
      </c>
      <c r="C1589">
        <v>27</v>
      </c>
      <c r="D1589" t="s">
        <v>20</v>
      </c>
      <c r="E1589" t="s">
        <v>21</v>
      </c>
      <c r="F1589" s="1">
        <v>45475</v>
      </c>
      <c r="G1589" s="1">
        <v>46145</v>
      </c>
      <c r="H1589">
        <v>40</v>
      </c>
      <c r="I1589">
        <v>7</v>
      </c>
      <c r="J1589">
        <v>0</v>
      </c>
      <c r="K1589" t="str">
        <f t="shared" si="72"/>
        <v>Jul-2024</v>
      </c>
      <c r="L1589" s="1">
        <f t="shared" ca="1" si="73"/>
        <v>13</v>
      </c>
      <c r="M1589" t="str">
        <f t="shared" si="74"/>
        <v>26-35</v>
      </c>
    </row>
    <row r="1590" spans="1:13" x14ac:dyDescent="0.2">
      <c r="A1590" t="s">
        <v>3173</v>
      </c>
      <c r="B1590" t="s">
        <v>3174</v>
      </c>
      <c r="C1590">
        <v>19</v>
      </c>
      <c r="D1590" t="s">
        <v>12</v>
      </c>
      <c r="E1590" t="s">
        <v>21</v>
      </c>
      <c r="F1590" s="1">
        <v>45402</v>
      </c>
      <c r="G1590" s="1">
        <v>46099</v>
      </c>
      <c r="H1590">
        <v>53</v>
      </c>
      <c r="I1590">
        <v>10</v>
      </c>
      <c r="J1590">
        <v>0</v>
      </c>
      <c r="K1590" t="str">
        <f t="shared" si="72"/>
        <v>Apr-2024</v>
      </c>
      <c r="L1590" s="1">
        <f t="shared" ca="1" si="73"/>
        <v>59</v>
      </c>
      <c r="M1590" t="str">
        <f t="shared" si="74"/>
        <v>18-25</v>
      </c>
    </row>
    <row r="1591" spans="1:13" x14ac:dyDescent="0.2">
      <c r="A1591" t="s">
        <v>3175</v>
      </c>
      <c r="B1591" t="s">
        <v>3176</v>
      </c>
      <c r="C1591">
        <v>47</v>
      </c>
      <c r="D1591" t="s">
        <v>16</v>
      </c>
      <c r="E1591" t="s">
        <v>17</v>
      </c>
      <c r="F1591" s="1">
        <v>45534</v>
      </c>
      <c r="G1591" s="1">
        <v>46097</v>
      </c>
      <c r="H1591">
        <v>32</v>
      </c>
      <c r="I1591">
        <v>4</v>
      </c>
      <c r="J1591">
        <v>0</v>
      </c>
      <c r="K1591" t="str">
        <f t="shared" si="72"/>
        <v>Aug-2024</v>
      </c>
      <c r="L1591" s="1">
        <f t="shared" ca="1" si="73"/>
        <v>61</v>
      </c>
      <c r="M1591" t="str">
        <f t="shared" si="74"/>
        <v>46+</v>
      </c>
    </row>
    <row r="1592" spans="1:13" x14ac:dyDescent="0.2">
      <c r="A1592" t="s">
        <v>3177</v>
      </c>
      <c r="B1592" t="s">
        <v>3178</v>
      </c>
      <c r="C1592">
        <v>19</v>
      </c>
      <c r="D1592" t="s">
        <v>16</v>
      </c>
      <c r="E1592" t="s">
        <v>13</v>
      </c>
      <c r="F1592" s="1">
        <v>45954</v>
      </c>
      <c r="G1592" s="1">
        <v>46064</v>
      </c>
      <c r="H1592">
        <v>18</v>
      </c>
      <c r="I1592">
        <v>7</v>
      </c>
      <c r="J1592">
        <v>0</v>
      </c>
      <c r="K1592" t="str">
        <f t="shared" si="72"/>
        <v>Oct-2025</v>
      </c>
      <c r="L1592" s="1">
        <f t="shared" ca="1" si="73"/>
        <v>94</v>
      </c>
      <c r="M1592" t="str">
        <f t="shared" si="74"/>
        <v>18-25</v>
      </c>
    </row>
    <row r="1593" spans="1:13" x14ac:dyDescent="0.2">
      <c r="A1593" t="s">
        <v>3179</v>
      </c>
      <c r="B1593" t="s">
        <v>3180</v>
      </c>
      <c r="C1593">
        <v>46</v>
      </c>
      <c r="D1593" t="s">
        <v>16</v>
      </c>
      <c r="E1593" t="s">
        <v>21</v>
      </c>
      <c r="F1593" s="1">
        <v>45742</v>
      </c>
      <c r="G1593" s="1">
        <v>46057</v>
      </c>
      <c r="H1593">
        <v>73</v>
      </c>
      <c r="I1593">
        <v>2</v>
      </c>
      <c r="J1593">
        <v>1</v>
      </c>
      <c r="K1593" t="str">
        <f t="shared" si="72"/>
        <v>Mar-2025</v>
      </c>
      <c r="L1593" s="1">
        <f t="shared" ca="1" si="73"/>
        <v>101</v>
      </c>
      <c r="M1593" t="str">
        <f t="shared" si="74"/>
        <v>46+</v>
      </c>
    </row>
    <row r="1594" spans="1:13" x14ac:dyDescent="0.2">
      <c r="A1594" t="s">
        <v>3181</v>
      </c>
      <c r="B1594" t="s">
        <v>3182</v>
      </c>
      <c r="C1594">
        <v>26</v>
      </c>
      <c r="D1594" t="s">
        <v>12</v>
      </c>
      <c r="E1594" t="s">
        <v>21</v>
      </c>
      <c r="F1594" s="1">
        <v>45783</v>
      </c>
      <c r="G1594" s="1">
        <v>46053</v>
      </c>
      <c r="H1594">
        <v>55</v>
      </c>
      <c r="I1594">
        <v>8</v>
      </c>
      <c r="J1594">
        <v>0</v>
      </c>
      <c r="K1594" t="str">
        <f t="shared" si="72"/>
        <v>May-2025</v>
      </c>
      <c r="L1594" s="1">
        <f t="shared" ca="1" si="73"/>
        <v>105</v>
      </c>
      <c r="M1594" t="str">
        <f t="shared" si="74"/>
        <v>26-35</v>
      </c>
    </row>
    <row r="1595" spans="1:13" x14ac:dyDescent="0.2">
      <c r="A1595" t="s">
        <v>3183</v>
      </c>
      <c r="B1595" t="s">
        <v>3184</v>
      </c>
      <c r="C1595">
        <v>43</v>
      </c>
      <c r="D1595" t="s">
        <v>12</v>
      </c>
      <c r="E1595" t="s">
        <v>17</v>
      </c>
      <c r="F1595" s="1">
        <v>45301</v>
      </c>
      <c r="G1595" s="1">
        <v>46086</v>
      </c>
      <c r="H1595">
        <v>64</v>
      </c>
      <c r="I1595">
        <v>6</v>
      </c>
      <c r="J1595">
        <v>1</v>
      </c>
      <c r="K1595" t="str">
        <f t="shared" si="72"/>
        <v>Jan-2024</v>
      </c>
      <c r="L1595" s="1">
        <f t="shared" ca="1" si="73"/>
        <v>72</v>
      </c>
      <c r="M1595" t="str">
        <f t="shared" si="74"/>
        <v>36-45</v>
      </c>
    </row>
    <row r="1596" spans="1:13" x14ac:dyDescent="0.2">
      <c r="A1596" t="s">
        <v>3185</v>
      </c>
      <c r="B1596" t="s">
        <v>3186</v>
      </c>
      <c r="C1596">
        <v>54</v>
      </c>
      <c r="D1596" t="s">
        <v>16</v>
      </c>
      <c r="E1596" t="s">
        <v>21</v>
      </c>
      <c r="F1596" s="1">
        <v>45478</v>
      </c>
      <c r="G1596" s="1">
        <v>46134</v>
      </c>
      <c r="H1596">
        <v>50</v>
      </c>
      <c r="I1596">
        <v>4</v>
      </c>
      <c r="J1596">
        <v>1</v>
      </c>
      <c r="K1596" t="str">
        <f t="shared" si="72"/>
        <v>Jul-2024</v>
      </c>
      <c r="L1596" s="1">
        <f t="shared" ca="1" si="73"/>
        <v>24</v>
      </c>
      <c r="M1596" t="str">
        <f t="shared" si="74"/>
        <v>46+</v>
      </c>
    </row>
    <row r="1597" spans="1:13" x14ac:dyDescent="0.2">
      <c r="A1597" t="s">
        <v>3187</v>
      </c>
      <c r="B1597" t="s">
        <v>3188</v>
      </c>
      <c r="C1597">
        <v>49</v>
      </c>
      <c r="D1597" t="s">
        <v>16</v>
      </c>
      <c r="E1597" t="s">
        <v>21</v>
      </c>
      <c r="F1597" s="1">
        <v>45292</v>
      </c>
      <c r="G1597" s="1">
        <v>46147</v>
      </c>
      <c r="H1597">
        <v>26</v>
      </c>
      <c r="I1597">
        <v>9</v>
      </c>
      <c r="J1597">
        <v>1</v>
      </c>
      <c r="K1597" t="str">
        <f t="shared" si="72"/>
        <v>Jan-2024</v>
      </c>
      <c r="L1597" s="1">
        <f t="shared" ca="1" si="73"/>
        <v>11</v>
      </c>
      <c r="M1597" t="str">
        <f t="shared" si="74"/>
        <v>46+</v>
      </c>
    </row>
    <row r="1598" spans="1:13" x14ac:dyDescent="0.2">
      <c r="A1598" t="s">
        <v>3189</v>
      </c>
      <c r="B1598" t="s">
        <v>3190</v>
      </c>
      <c r="C1598">
        <v>32</v>
      </c>
      <c r="D1598" t="s">
        <v>12</v>
      </c>
      <c r="E1598" t="s">
        <v>21</v>
      </c>
      <c r="F1598" s="1">
        <v>45865</v>
      </c>
      <c r="G1598" s="1">
        <v>46093</v>
      </c>
      <c r="H1598">
        <v>79</v>
      </c>
      <c r="I1598">
        <v>4</v>
      </c>
      <c r="J1598">
        <v>0</v>
      </c>
      <c r="K1598" t="str">
        <f t="shared" si="72"/>
        <v>Jul-2025</v>
      </c>
      <c r="L1598" s="1">
        <f t="shared" ca="1" si="73"/>
        <v>65</v>
      </c>
      <c r="M1598" t="str">
        <f t="shared" si="74"/>
        <v>26-35</v>
      </c>
    </row>
    <row r="1599" spans="1:13" x14ac:dyDescent="0.2">
      <c r="A1599" t="s">
        <v>3191</v>
      </c>
      <c r="B1599" t="s">
        <v>3192</v>
      </c>
      <c r="C1599">
        <v>28</v>
      </c>
      <c r="D1599" t="s">
        <v>20</v>
      </c>
      <c r="E1599" t="s">
        <v>13</v>
      </c>
      <c r="F1599" s="1">
        <v>45702</v>
      </c>
      <c r="G1599" s="1">
        <v>46137</v>
      </c>
      <c r="H1599">
        <v>68</v>
      </c>
      <c r="I1599">
        <v>10</v>
      </c>
      <c r="J1599">
        <v>0</v>
      </c>
      <c r="K1599" t="str">
        <f t="shared" si="72"/>
        <v>Feb-2025</v>
      </c>
      <c r="L1599" s="1">
        <f t="shared" ca="1" si="73"/>
        <v>21</v>
      </c>
      <c r="M1599" t="str">
        <f t="shared" si="74"/>
        <v>26-35</v>
      </c>
    </row>
    <row r="1600" spans="1:13" x14ac:dyDescent="0.2">
      <c r="A1600" t="s">
        <v>3193</v>
      </c>
      <c r="B1600" t="s">
        <v>3194</v>
      </c>
      <c r="C1600">
        <v>19</v>
      </c>
      <c r="D1600" t="s">
        <v>16</v>
      </c>
      <c r="E1600" t="s">
        <v>21</v>
      </c>
      <c r="F1600" s="1">
        <v>45323</v>
      </c>
      <c r="G1600" s="1">
        <v>46115</v>
      </c>
      <c r="H1600">
        <v>59</v>
      </c>
      <c r="I1600">
        <v>8</v>
      </c>
      <c r="J1600">
        <v>0</v>
      </c>
      <c r="K1600" t="str">
        <f t="shared" si="72"/>
        <v>Feb-2024</v>
      </c>
      <c r="L1600" s="1">
        <f t="shared" ca="1" si="73"/>
        <v>43</v>
      </c>
      <c r="M1600" t="str">
        <f t="shared" si="74"/>
        <v>18-25</v>
      </c>
    </row>
    <row r="1601" spans="1:13" x14ac:dyDescent="0.2">
      <c r="A1601" t="s">
        <v>3195</v>
      </c>
      <c r="B1601" t="s">
        <v>3196</v>
      </c>
      <c r="C1601">
        <v>49</v>
      </c>
      <c r="D1601" t="s">
        <v>20</v>
      </c>
      <c r="E1601" t="s">
        <v>21</v>
      </c>
      <c r="F1601" s="1">
        <v>45421</v>
      </c>
      <c r="G1601" s="1">
        <v>46061</v>
      </c>
      <c r="H1601">
        <v>62</v>
      </c>
      <c r="I1601">
        <v>6</v>
      </c>
      <c r="J1601">
        <v>1</v>
      </c>
      <c r="K1601" t="str">
        <f t="shared" si="72"/>
        <v>May-2024</v>
      </c>
      <c r="L1601" s="1">
        <f t="shared" ca="1" si="73"/>
        <v>97</v>
      </c>
      <c r="M1601" t="str">
        <f t="shared" si="74"/>
        <v>46+</v>
      </c>
    </row>
    <row r="1602" spans="1:13" x14ac:dyDescent="0.2">
      <c r="A1602" t="s">
        <v>3197</v>
      </c>
      <c r="B1602" t="s">
        <v>2190</v>
      </c>
      <c r="C1602">
        <v>43</v>
      </c>
      <c r="D1602" t="s">
        <v>20</v>
      </c>
      <c r="E1602" t="s">
        <v>13</v>
      </c>
      <c r="F1602" s="1">
        <v>45444</v>
      </c>
      <c r="G1602" s="1">
        <v>46139</v>
      </c>
      <c r="H1602">
        <v>78</v>
      </c>
      <c r="I1602">
        <v>2</v>
      </c>
      <c r="J1602">
        <v>1</v>
      </c>
      <c r="K1602" t="str">
        <f t="shared" si="72"/>
        <v>Jun-2024</v>
      </c>
      <c r="L1602" s="1">
        <f t="shared" ca="1" si="73"/>
        <v>19</v>
      </c>
      <c r="M1602" t="str">
        <f t="shared" si="74"/>
        <v>36-45</v>
      </c>
    </row>
    <row r="1603" spans="1:13" x14ac:dyDescent="0.2">
      <c r="A1603" t="s">
        <v>3198</v>
      </c>
      <c r="B1603" t="s">
        <v>3199</v>
      </c>
      <c r="C1603">
        <v>31</v>
      </c>
      <c r="D1603" t="s">
        <v>12</v>
      </c>
      <c r="E1603" t="s">
        <v>17</v>
      </c>
      <c r="F1603" s="1">
        <v>45381</v>
      </c>
      <c r="G1603" s="1">
        <v>46073</v>
      </c>
      <c r="H1603">
        <v>59</v>
      </c>
      <c r="I1603">
        <v>8</v>
      </c>
      <c r="J1603">
        <v>1</v>
      </c>
      <c r="K1603" t="str">
        <f t="shared" ref="K1603:K1666" si="75">TEXT(F1603,"MMM-YYYY")</f>
        <v>Mar-2024</v>
      </c>
      <c r="L1603" s="1">
        <f t="shared" ref="L1603:L1666" ca="1" si="76">TODAY()-G1603</f>
        <v>85</v>
      </c>
      <c r="M1603" t="str">
        <f t="shared" ref="M1603:M1666" si="77">IF(C1603&lt;=25,"18-25",IF(C1603&lt;=35,"26-35",IF(C1603&lt;=45,"36-45","46+")))</f>
        <v>26-35</v>
      </c>
    </row>
    <row r="1604" spans="1:13" x14ac:dyDescent="0.2">
      <c r="A1604" t="s">
        <v>3200</v>
      </c>
      <c r="B1604" t="s">
        <v>3201</v>
      </c>
      <c r="C1604">
        <v>19</v>
      </c>
      <c r="D1604" t="s">
        <v>12</v>
      </c>
      <c r="E1604" t="s">
        <v>17</v>
      </c>
      <c r="F1604" s="1">
        <v>46058</v>
      </c>
      <c r="G1604" s="1">
        <v>46082</v>
      </c>
      <c r="H1604">
        <v>8</v>
      </c>
      <c r="I1604">
        <v>2</v>
      </c>
      <c r="J1604">
        <v>1</v>
      </c>
      <c r="K1604" t="str">
        <f t="shared" si="75"/>
        <v>Feb-2026</v>
      </c>
      <c r="L1604" s="1">
        <f t="shared" ca="1" si="76"/>
        <v>76</v>
      </c>
      <c r="M1604" t="str">
        <f t="shared" si="77"/>
        <v>18-25</v>
      </c>
    </row>
    <row r="1605" spans="1:13" x14ac:dyDescent="0.2">
      <c r="A1605" t="s">
        <v>3202</v>
      </c>
      <c r="B1605" t="s">
        <v>3203</v>
      </c>
      <c r="C1605">
        <v>22</v>
      </c>
      <c r="D1605" t="s">
        <v>20</v>
      </c>
      <c r="E1605" t="s">
        <v>17</v>
      </c>
      <c r="F1605" s="1">
        <v>45248</v>
      </c>
      <c r="G1605" s="1">
        <v>46100</v>
      </c>
      <c r="H1605">
        <v>33</v>
      </c>
      <c r="I1605">
        <v>9</v>
      </c>
      <c r="J1605">
        <v>0</v>
      </c>
      <c r="K1605" t="str">
        <f t="shared" si="75"/>
        <v>Nov-2023</v>
      </c>
      <c r="L1605" s="1">
        <f t="shared" ca="1" si="76"/>
        <v>58</v>
      </c>
      <c r="M1605" t="str">
        <f t="shared" si="77"/>
        <v>18-25</v>
      </c>
    </row>
    <row r="1606" spans="1:13" x14ac:dyDescent="0.2">
      <c r="A1606" t="s">
        <v>3204</v>
      </c>
      <c r="B1606" t="s">
        <v>3205</v>
      </c>
      <c r="C1606">
        <v>41</v>
      </c>
      <c r="D1606" t="s">
        <v>20</v>
      </c>
      <c r="E1606" t="s">
        <v>21</v>
      </c>
      <c r="F1606" s="1">
        <v>45649</v>
      </c>
      <c r="G1606" s="1">
        <v>46090</v>
      </c>
      <c r="H1606">
        <v>54</v>
      </c>
      <c r="I1606">
        <v>8</v>
      </c>
      <c r="J1606">
        <v>0</v>
      </c>
      <c r="K1606" t="str">
        <f t="shared" si="75"/>
        <v>Dec-2024</v>
      </c>
      <c r="L1606" s="1">
        <f t="shared" ca="1" si="76"/>
        <v>68</v>
      </c>
      <c r="M1606" t="str">
        <f t="shared" si="77"/>
        <v>36-45</v>
      </c>
    </row>
    <row r="1607" spans="1:13" x14ac:dyDescent="0.2">
      <c r="A1607" t="s">
        <v>3206</v>
      </c>
      <c r="B1607" t="s">
        <v>3207</v>
      </c>
      <c r="C1607">
        <v>29</v>
      </c>
      <c r="D1607" t="s">
        <v>12</v>
      </c>
      <c r="E1607" t="s">
        <v>21</v>
      </c>
      <c r="F1607" s="1">
        <v>46114</v>
      </c>
      <c r="G1607" s="1">
        <v>46043</v>
      </c>
      <c r="H1607">
        <v>29</v>
      </c>
      <c r="I1607">
        <v>10</v>
      </c>
      <c r="J1607">
        <v>1</v>
      </c>
      <c r="K1607" t="str">
        <f t="shared" si="75"/>
        <v>Apr-2026</v>
      </c>
      <c r="L1607" s="1">
        <f t="shared" ca="1" si="76"/>
        <v>115</v>
      </c>
      <c r="M1607" t="str">
        <f t="shared" si="77"/>
        <v>26-35</v>
      </c>
    </row>
    <row r="1608" spans="1:13" x14ac:dyDescent="0.2">
      <c r="A1608" t="s">
        <v>3208</v>
      </c>
      <c r="B1608" t="s">
        <v>3209</v>
      </c>
      <c r="C1608">
        <v>55</v>
      </c>
      <c r="D1608" t="s">
        <v>20</v>
      </c>
      <c r="E1608" t="s">
        <v>21</v>
      </c>
      <c r="F1608" s="1">
        <v>45589</v>
      </c>
      <c r="G1608" s="1">
        <v>46132</v>
      </c>
      <c r="H1608">
        <v>41</v>
      </c>
      <c r="I1608">
        <v>1</v>
      </c>
      <c r="J1608">
        <v>1</v>
      </c>
      <c r="K1608" t="str">
        <f t="shared" si="75"/>
        <v>Oct-2024</v>
      </c>
      <c r="L1608" s="1">
        <f t="shared" ca="1" si="76"/>
        <v>26</v>
      </c>
      <c r="M1608" t="str">
        <f t="shared" si="77"/>
        <v>46+</v>
      </c>
    </row>
    <row r="1609" spans="1:13" x14ac:dyDescent="0.2">
      <c r="A1609" t="s">
        <v>3210</v>
      </c>
      <c r="B1609" t="s">
        <v>3211</v>
      </c>
      <c r="C1609">
        <v>59</v>
      </c>
      <c r="D1609" t="s">
        <v>12</v>
      </c>
      <c r="E1609" t="s">
        <v>17</v>
      </c>
      <c r="F1609" s="1">
        <v>45518</v>
      </c>
      <c r="G1609" s="1">
        <v>46032</v>
      </c>
      <c r="H1609">
        <v>49</v>
      </c>
      <c r="I1609">
        <v>2</v>
      </c>
      <c r="J1609">
        <v>1</v>
      </c>
      <c r="K1609" t="str">
        <f t="shared" si="75"/>
        <v>Aug-2024</v>
      </c>
      <c r="L1609" s="1">
        <f t="shared" ca="1" si="76"/>
        <v>126</v>
      </c>
      <c r="M1609" t="str">
        <f t="shared" si="77"/>
        <v>46+</v>
      </c>
    </row>
    <row r="1610" spans="1:13" x14ac:dyDescent="0.2">
      <c r="A1610" t="s">
        <v>3212</v>
      </c>
      <c r="B1610" t="s">
        <v>3213</v>
      </c>
      <c r="C1610">
        <v>26</v>
      </c>
      <c r="D1610" t="s">
        <v>20</v>
      </c>
      <c r="E1610" t="s">
        <v>13</v>
      </c>
      <c r="F1610" s="1">
        <v>45505</v>
      </c>
      <c r="G1610" s="1">
        <v>46051</v>
      </c>
      <c r="H1610">
        <v>56</v>
      </c>
      <c r="I1610">
        <v>9</v>
      </c>
      <c r="J1610">
        <v>0</v>
      </c>
      <c r="K1610" t="str">
        <f t="shared" si="75"/>
        <v>Aug-2024</v>
      </c>
      <c r="L1610" s="1">
        <f t="shared" ca="1" si="76"/>
        <v>107</v>
      </c>
      <c r="M1610" t="str">
        <f t="shared" si="77"/>
        <v>26-35</v>
      </c>
    </row>
    <row r="1611" spans="1:13" x14ac:dyDescent="0.2">
      <c r="A1611" t="s">
        <v>3214</v>
      </c>
      <c r="B1611" t="s">
        <v>3215</v>
      </c>
      <c r="C1611">
        <v>55</v>
      </c>
      <c r="D1611" t="s">
        <v>12</v>
      </c>
      <c r="E1611" t="s">
        <v>21</v>
      </c>
      <c r="F1611" s="1">
        <v>45882</v>
      </c>
      <c r="G1611" s="1">
        <v>46112</v>
      </c>
      <c r="H1611">
        <v>51</v>
      </c>
      <c r="I1611">
        <v>3</v>
      </c>
      <c r="J1611">
        <v>1</v>
      </c>
      <c r="K1611" t="str">
        <f t="shared" si="75"/>
        <v>Aug-2025</v>
      </c>
      <c r="L1611" s="1">
        <f t="shared" ca="1" si="76"/>
        <v>46</v>
      </c>
      <c r="M1611" t="str">
        <f t="shared" si="77"/>
        <v>46+</v>
      </c>
    </row>
    <row r="1612" spans="1:13" x14ac:dyDescent="0.2">
      <c r="A1612" t="s">
        <v>3216</v>
      </c>
      <c r="B1612" t="s">
        <v>3217</v>
      </c>
      <c r="C1612">
        <v>18</v>
      </c>
      <c r="D1612" t="s">
        <v>20</v>
      </c>
      <c r="E1612" t="s">
        <v>17</v>
      </c>
      <c r="F1612" s="1">
        <v>45973</v>
      </c>
      <c r="G1612" s="1">
        <v>46142</v>
      </c>
      <c r="H1612">
        <v>56</v>
      </c>
      <c r="I1612">
        <v>1</v>
      </c>
      <c r="J1612">
        <v>1</v>
      </c>
      <c r="K1612" t="str">
        <f t="shared" si="75"/>
        <v>Nov-2025</v>
      </c>
      <c r="L1612" s="1">
        <f t="shared" ca="1" si="76"/>
        <v>16</v>
      </c>
      <c r="M1612" t="str">
        <f t="shared" si="77"/>
        <v>18-25</v>
      </c>
    </row>
    <row r="1613" spans="1:13" x14ac:dyDescent="0.2">
      <c r="A1613" t="s">
        <v>3218</v>
      </c>
      <c r="B1613" t="s">
        <v>3219</v>
      </c>
      <c r="C1613">
        <v>47</v>
      </c>
      <c r="D1613" t="s">
        <v>12</v>
      </c>
      <c r="E1613" t="s">
        <v>17</v>
      </c>
      <c r="F1613" s="1">
        <v>45309</v>
      </c>
      <c r="G1613" s="1">
        <v>46096</v>
      </c>
      <c r="H1613">
        <v>57</v>
      </c>
      <c r="I1613">
        <v>5</v>
      </c>
      <c r="J1613">
        <v>0</v>
      </c>
      <c r="K1613" t="str">
        <f t="shared" si="75"/>
        <v>Jan-2024</v>
      </c>
      <c r="L1613" s="1">
        <f t="shared" ca="1" si="76"/>
        <v>62</v>
      </c>
      <c r="M1613" t="str">
        <f t="shared" si="77"/>
        <v>46+</v>
      </c>
    </row>
    <row r="1614" spans="1:13" x14ac:dyDescent="0.2">
      <c r="A1614" t="s">
        <v>3220</v>
      </c>
      <c r="B1614" t="s">
        <v>3221</v>
      </c>
      <c r="C1614">
        <v>33</v>
      </c>
      <c r="D1614" t="s">
        <v>16</v>
      </c>
      <c r="E1614" t="s">
        <v>21</v>
      </c>
      <c r="F1614" s="1">
        <v>45177</v>
      </c>
      <c r="G1614" s="1">
        <v>46037</v>
      </c>
      <c r="H1614">
        <v>16</v>
      </c>
      <c r="I1614">
        <v>9</v>
      </c>
      <c r="J1614">
        <v>0</v>
      </c>
      <c r="K1614" t="str">
        <f t="shared" si="75"/>
        <v>Sep-2023</v>
      </c>
      <c r="L1614" s="1">
        <f t="shared" ca="1" si="76"/>
        <v>121</v>
      </c>
      <c r="M1614" t="str">
        <f t="shared" si="77"/>
        <v>26-35</v>
      </c>
    </row>
    <row r="1615" spans="1:13" x14ac:dyDescent="0.2">
      <c r="A1615" t="s">
        <v>3222</v>
      </c>
      <c r="B1615" t="s">
        <v>3223</v>
      </c>
      <c r="C1615">
        <v>32</v>
      </c>
      <c r="D1615" t="s">
        <v>12</v>
      </c>
      <c r="E1615" t="s">
        <v>13</v>
      </c>
      <c r="F1615" s="1">
        <v>45853</v>
      </c>
      <c r="G1615" s="1">
        <v>46086</v>
      </c>
      <c r="H1615">
        <v>72</v>
      </c>
      <c r="I1615">
        <v>8</v>
      </c>
      <c r="J1615">
        <v>0</v>
      </c>
      <c r="K1615" t="str">
        <f t="shared" si="75"/>
        <v>Jul-2025</v>
      </c>
      <c r="L1615" s="1">
        <f t="shared" ca="1" si="76"/>
        <v>72</v>
      </c>
      <c r="M1615" t="str">
        <f t="shared" si="77"/>
        <v>26-35</v>
      </c>
    </row>
    <row r="1616" spans="1:13" x14ac:dyDescent="0.2">
      <c r="A1616" t="s">
        <v>3224</v>
      </c>
      <c r="B1616" t="s">
        <v>3225</v>
      </c>
      <c r="C1616">
        <v>43</v>
      </c>
      <c r="D1616" t="s">
        <v>20</v>
      </c>
      <c r="E1616" t="s">
        <v>21</v>
      </c>
      <c r="F1616" s="1">
        <v>45162</v>
      </c>
      <c r="G1616" s="1">
        <v>46056</v>
      </c>
      <c r="H1616">
        <v>36</v>
      </c>
      <c r="I1616">
        <v>2</v>
      </c>
      <c r="J1616">
        <v>1</v>
      </c>
      <c r="K1616" t="str">
        <f t="shared" si="75"/>
        <v>Aug-2023</v>
      </c>
      <c r="L1616" s="1">
        <f t="shared" ca="1" si="76"/>
        <v>102</v>
      </c>
      <c r="M1616" t="str">
        <f t="shared" si="77"/>
        <v>36-45</v>
      </c>
    </row>
    <row r="1617" spans="1:13" x14ac:dyDescent="0.2">
      <c r="A1617" t="s">
        <v>3226</v>
      </c>
      <c r="B1617" t="s">
        <v>3227</v>
      </c>
      <c r="C1617">
        <v>46</v>
      </c>
      <c r="D1617" t="s">
        <v>16</v>
      </c>
      <c r="E1617" t="s">
        <v>17</v>
      </c>
      <c r="F1617" s="1">
        <v>46103</v>
      </c>
      <c r="G1617" s="1">
        <v>46046</v>
      </c>
      <c r="H1617">
        <v>26</v>
      </c>
      <c r="I1617">
        <v>6</v>
      </c>
      <c r="J1617">
        <v>0</v>
      </c>
      <c r="K1617" t="str">
        <f t="shared" si="75"/>
        <v>Mar-2026</v>
      </c>
      <c r="L1617" s="1">
        <f t="shared" ca="1" si="76"/>
        <v>112</v>
      </c>
      <c r="M1617" t="str">
        <f t="shared" si="77"/>
        <v>46+</v>
      </c>
    </row>
    <row r="1618" spans="1:13" x14ac:dyDescent="0.2">
      <c r="A1618" t="s">
        <v>3228</v>
      </c>
      <c r="B1618" t="s">
        <v>3229</v>
      </c>
      <c r="C1618">
        <v>57</v>
      </c>
      <c r="D1618" t="s">
        <v>12</v>
      </c>
      <c r="E1618" t="s">
        <v>21</v>
      </c>
      <c r="F1618" s="1">
        <v>45531</v>
      </c>
      <c r="G1618" s="1">
        <v>46041</v>
      </c>
      <c r="H1618">
        <v>8</v>
      </c>
      <c r="I1618">
        <v>3</v>
      </c>
      <c r="J1618">
        <v>0</v>
      </c>
      <c r="K1618" t="str">
        <f t="shared" si="75"/>
        <v>Aug-2024</v>
      </c>
      <c r="L1618" s="1">
        <f t="shared" ca="1" si="76"/>
        <v>117</v>
      </c>
      <c r="M1618" t="str">
        <f t="shared" si="77"/>
        <v>46+</v>
      </c>
    </row>
    <row r="1619" spans="1:13" x14ac:dyDescent="0.2">
      <c r="A1619" t="s">
        <v>3230</v>
      </c>
      <c r="B1619" t="s">
        <v>3231</v>
      </c>
      <c r="C1619">
        <v>60</v>
      </c>
      <c r="D1619" t="s">
        <v>16</v>
      </c>
      <c r="E1619" t="s">
        <v>21</v>
      </c>
      <c r="F1619" s="1">
        <v>45723</v>
      </c>
      <c r="G1619" s="1">
        <v>46116</v>
      </c>
      <c r="H1619">
        <v>73</v>
      </c>
      <c r="I1619">
        <v>5</v>
      </c>
      <c r="J1619">
        <v>1</v>
      </c>
      <c r="K1619" t="str">
        <f t="shared" si="75"/>
        <v>Mar-2025</v>
      </c>
      <c r="L1619" s="1">
        <f t="shared" ca="1" si="76"/>
        <v>42</v>
      </c>
      <c r="M1619" t="str">
        <f t="shared" si="77"/>
        <v>46+</v>
      </c>
    </row>
    <row r="1620" spans="1:13" x14ac:dyDescent="0.2">
      <c r="A1620" t="s">
        <v>3232</v>
      </c>
      <c r="B1620" t="s">
        <v>3233</v>
      </c>
      <c r="C1620">
        <v>35</v>
      </c>
      <c r="D1620" t="s">
        <v>16</v>
      </c>
      <c r="E1620" t="s">
        <v>13</v>
      </c>
      <c r="F1620" s="1">
        <v>45760</v>
      </c>
      <c r="G1620" s="1">
        <v>46056</v>
      </c>
      <c r="H1620">
        <v>72</v>
      </c>
      <c r="I1620">
        <v>4</v>
      </c>
      <c r="J1620">
        <v>0</v>
      </c>
      <c r="K1620" t="str">
        <f t="shared" si="75"/>
        <v>Apr-2025</v>
      </c>
      <c r="L1620" s="1">
        <f t="shared" ca="1" si="76"/>
        <v>102</v>
      </c>
      <c r="M1620" t="str">
        <f t="shared" si="77"/>
        <v>26-35</v>
      </c>
    </row>
    <row r="1621" spans="1:13" x14ac:dyDescent="0.2">
      <c r="A1621" t="s">
        <v>3234</v>
      </c>
      <c r="B1621" t="s">
        <v>3235</v>
      </c>
      <c r="C1621">
        <v>31</v>
      </c>
      <c r="D1621" t="s">
        <v>20</v>
      </c>
      <c r="E1621" t="s">
        <v>21</v>
      </c>
      <c r="F1621" s="1">
        <v>46007</v>
      </c>
      <c r="G1621" s="1">
        <v>46035</v>
      </c>
      <c r="H1621">
        <v>65</v>
      </c>
      <c r="I1621">
        <v>8</v>
      </c>
      <c r="J1621">
        <v>0</v>
      </c>
      <c r="K1621" t="str">
        <f t="shared" si="75"/>
        <v>Dec-2025</v>
      </c>
      <c r="L1621" s="1">
        <f t="shared" ca="1" si="76"/>
        <v>123</v>
      </c>
      <c r="M1621" t="str">
        <f t="shared" si="77"/>
        <v>26-35</v>
      </c>
    </row>
    <row r="1622" spans="1:13" x14ac:dyDescent="0.2">
      <c r="A1622" t="s">
        <v>3236</v>
      </c>
      <c r="B1622" t="s">
        <v>3237</v>
      </c>
      <c r="C1622">
        <v>43</v>
      </c>
      <c r="D1622" t="s">
        <v>12</v>
      </c>
      <c r="E1622" t="s">
        <v>21</v>
      </c>
      <c r="F1622" s="1">
        <v>46071</v>
      </c>
      <c r="G1622" s="1">
        <v>46048</v>
      </c>
      <c r="H1622">
        <v>46</v>
      </c>
      <c r="I1622">
        <v>3</v>
      </c>
      <c r="J1622">
        <v>1</v>
      </c>
      <c r="K1622" t="str">
        <f t="shared" si="75"/>
        <v>Feb-2026</v>
      </c>
      <c r="L1622" s="1">
        <f t="shared" ca="1" si="76"/>
        <v>110</v>
      </c>
      <c r="M1622" t="str">
        <f t="shared" si="77"/>
        <v>36-45</v>
      </c>
    </row>
    <row r="1623" spans="1:13" x14ac:dyDescent="0.2">
      <c r="A1623" t="s">
        <v>3238</v>
      </c>
      <c r="B1623" t="s">
        <v>3239</v>
      </c>
      <c r="C1623">
        <v>36</v>
      </c>
      <c r="D1623" t="s">
        <v>12</v>
      </c>
      <c r="E1623" t="s">
        <v>13</v>
      </c>
      <c r="F1623" s="1">
        <v>45766</v>
      </c>
      <c r="G1623" s="1">
        <v>46132</v>
      </c>
      <c r="H1623">
        <v>27</v>
      </c>
      <c r="I1623">
        <v>8</v>
      </c>
      <c r="J1623">
        <v>0</v>
      </c>
      <c r="K1623" t="str">
        <f t="shared" si="75"/>
        <v>Apr-2025</v>
      </c>
      <c r="L1623" s="1">
        <f t="shared" ca="1" si="76"/>
        <v>26</v>
      </c>
      <c r="M1623" t="str">
        <f t="shared" si="77"/>
        <v>36-45</v>
      </c>
    </row>
    <row r="1624" spans="1:13" x14ac:dyDescent="0.2">
      <c r="A1624" t="s">
        <v>3240</v>
      </c>
      <c r="B1624" t="s">
        <v>3241</v>
      </c>
      <c r="C1624">
        <v>52</v>
      </c>
      <c r="D1624" t="s">
        <v>12</v>
      </c>
      <c r="E1624" t="s">
        <v>21</v>
      </c>
      <c r="F1624" s="1">
        <v>46043</v>
      </c>
      <c r="G1624" s="1">
        <v>46143</v>
      </c>
      <c r="H1624">
        <v>66</v>
      </c>
      <c r="I1624">
        <v>5</v>
      </c>
      <c r="J1624">
        <v>0</v>
      </c>
      <c r="K1624" t="str">
        <f t="shared" si="75"/>
        <v>Jan-2026</v>
      </c>
      <c r="L1624" s="1">
        <f t="shared" ca="1" si="76"/>
        <v>15</v>
      </c>
      <c r="M1624" t="str">
        <f t="shared" si="77"/>
        <v>46+</v>
      </c>
    </row>
    <row r="1625" spans="1:13" x14ac:dyDescent="0.2">
      <c r="A1625" t="s">
        <v>3242</v>
      </c>
      <c r="B1625" t="s">
        <v>3243</v>
      </c>
      <c r="C1625">
        <v>32</v>
      </c>
      <c r="D1625" t="s">
        <v>16</v>
      </c>
      <c r="E1625" t="s">
        <v>17</v>
      </c>
      <c r="F1625" s="1">
        <v>45670</v>
      </c>
      <c r="G1625" s="1">
        <v>46107</v>
      </c>
      <c r="H1625">
        <v>17</v>
      </c>
      <c r="I1625">
        <v>2</v>
      </c>
      <c r="J1625">
        <v>0</v>
      </c>
      <c r="K1625" t="str">
        <f t="shared" si="75"/>
        <v>Jan-2025</v>
      </c>
      <c r="L1625" s="1">
        <f t="shared" ca="1" si="76"/>
        <v>51</v>
      </c>
      <c r="M1625" t="str">
        <f t="shared" si="77"/>
        <v>26-35</v>
      </c>
    </row>
    <row r="1626" spans="1:13" x14ac:dyDescent="0.2">
      <c r="A1626" t="s">
        <v>3244</v>
      </c>
      <c r="B1626" t="s">
        <v>3245</v>
      </c>
      <c r="C1626">
        <v>30</v>
      </c>
      <c r="D1626" t="s">
        <v>16</v>
      </c>
      <c r="E1626" t="s">
        <v>13</v>
      </c>
      <c r="F1626" s="1">
        <v>46039</v>
      </c>
      <c r="G1626" s="1">
        <v>46138</v>
      </c>
      <c r="H1626">
        <v>25</v>
      </c>
      <c r="I1626">
        <v>8</v>
      </c>
      <c r="J1626">
        <v>0</v>
      </c>
      <c r="K1626" t="str">
        <f t="shared" si="75"/>
        <v>Jan-2026</v>
      </c>
      <c r="L1626" s="1">
        <f t="shared" ca="1" si="76"/>
        <v>20</v>
      </c>
      <c r="M1626" t="str">
        <f t="shared" si="77"/>
        <v>26-35</v>
      </c>
    </row>
    <row r="1627" spans="1:13" x14ac:dyDescent="0.2">
      <c r="A1627" t="s">
        <v>3246</v>
      </c>
      <c r="B1627" t="s">
        <v>3247</v>
      </c>
      <c r="C1627">
        <v>18</v>
      </c>
      <c r="D1627" t="s">
        <v>20</v>
      </c>
      <c r="E1627" t="s">
        <v>17</v>
      </c>
      <c r="F1627" s="1">
        <v>46029</v>
      </c>
      <c r="G1627" s="1">
        <v>46134</v>
      </c>
      <c r="H1627">
        <v>41</v>
      </c>
      <c r="I1627">
        <v>1</v>
      </c>
      <c r="J1627">
        <v>0</v>
      </c>
      <c r="K1627" t="str">
        <f t="shared" si="75"/>
        <v>Jan-2026</v>
      </c>
      <c r="L1627" s="1">
        <f t="shared" ca="1" si="76"/>
        <v>24</v>
      </c>
      <c r="M1627" t="str">
        <f t="shared" si="77"/>
        <v>18-25</v>
      </c>
    </row>
    <row r="1628" spans="1:13" x14ac:dyDescent="0.2">
      <c r="A1628" t="s">
        <v>3248</v>
      </c>
      <c r="B1628" t="s">
        <v>3249</v>
      </c>
      <c r="C1628">
        <v>49</v>
      </c>
      <c r="D1628" t="s">
        <v>12</v>
      </c>
      <c r="E1628" t="s">
        <v>21</v>
      </c>
      <c r="F1628" s="1">
        <v>45767</v>
      </c>
      <c r="G1628" s="1">
        <v>46146</v>
      </c>
      <c r="H1628">
        <v>49</v>
      </c>
      <c r="I1628">
        <v>2</v>
      </c>
      <c r="J1628">
        <v>0</v>
      </c>
      <c r="K1628" t="str">
        <f t="shared" si="75"/>
        <v>Apr-2025</v>
      </c>
      <c r="L1628" s="1">
        <f t="shared" ca="1" si="76"/>
        <v>12</v>
      </c>
      <c r="M1628" t="str">
        <f t="shared" si="77"/>
        <v>46+</v>
      </c>
    </row>
    <row r="1629" spans="1:13" x14ac:dyDescent="0.2">
      <c r="A1629" t="s">
        <v>3250</v>
      </c>
      <c r="B1629" t="s">
        <v>3251</v>
      </c>
      <c r="C1629">
        <v>31</v>
      </c>
      <c r="D1629" t="s">
        <v>20</v>
      </c>
      <c r="E1629" t="s">
        <v>17</v>
      </c>
      <c r="F1629" s="1">
        <v>45477</v>
      </c>
      <c r="G1629" s="1">
        <v>46109</v>
      </c>
      <c r="H1629">
        <v>11</v>
      </c>
      <c r="I1629">
        <v>9</v>
      </c>
      <c r="J1629">
        <v>0</v>
      </c>
      <c r="K1629" t="str">
        <f t="shared" si="75"/>
        <v>Jul-2024</v>
      </c>
      <c r="L1629" s="1">
        <f t="shared" ca="1" si="76"/>
        <v>49</v>
      </c>
      <c r="M1629" t="str">
        <f t="shared" si="77"/>
        <v>26-35</v>
      </c>
    </row>
    <row r="1630" spans="1:13" x14ac:dyDescent="0.2">
      <c r="A1630" t="s">
        <v>3252</v>
      </c>
      <c r="B1630" t="s">
        <v>3253</v>
      </c>
      <c r="C1630">
        <v>43</v>
      </c>
      <c r="D1630" t="s">
        <v>16</v>
      </c>
      <c r="E1630" t="s">
        <v>17</v>
      </c>
      <c r="F1630" s="1">
        <v>46064</v>
      </c>
      <c r="G1630" s="1">
        <v>46120</v>
      </c>
      <c r="H1630">
        <v>80</v>
      </c>
      <c r="I1630">
        <v>4</v>
      </c>
      <c r="J1630">
        <v>1</v>
      </c>
      <c r="K1630" t="str">
        <f t="shared" si="75"/>
        <v>Feb-2026</v>
      </c>
      <c r="L1630" s="1">
        <f t="shared" ca="1" si="76"/>
        <v>38</v>
      </c>
      <c r="M1630" t="str">
        <f t="shared" si="77"/>
        <v>36-45</v>
      </c>
    </row>
    <row r="1631" spans="1:13" x14ac:dyDescent="0.2">
      <c r="A1631" t="s">
        <v>3254</v>
      </c>
      <c r="B1631" t="s">
        <v>3255</v>
      </c>
      <c r="C1631">
        <v>60</v>
      </c>
      <c r="D1631" t="s">
        <v>16</v>
      </c>
      <c r="E1631" t="s">
        <v>17</v>
      </c>
      <c r="F1631" s="1">
        <v>45939</v>
      </c>
      <c r="G1631" s="1">
        <v>46111</v>
      </c>
      <c r="H1631">
        <v>79</v>
      </c>
      <c r="I1631">
        <v>4</v>
      </c>
      <c r="J1631">
        <v>0</v>
      </c>
      <c r="K1631" t="str">
        <f t="shared" si="75"/>
        <v>Oct-2025</v>
      </c>
      <c r="L1631" s="1">
        <f t="shared" ca="1" si="76"/>
        <v>47</v>
      </c>
      <c r="M1631" t="str">
        <f t="shared" si="77"/>
        <v>46+</v>
      </c>
    </row>
    <row r="1632" spans="1:13" x14ac:dyDescent="0.2">
      <c r="A1632" t="s">
        <v>3256</v>
      </c>
      <c r="B1632" t="s">
        <v>3257</v>
      </c>
      <c r="C1632">
        <v>23</v>
      </c>
      <c r="D1632" t="s">
        <v>16</v>
      </c>
      <c r="E1632" t="s">
        <v>13</v>
      </c>
      <c r="F1632" s="1">
        <v>45490</v>
      </c>
      <c r="G1632" s="1">
        <v>46035</v>
      </c>
      <c r="H1632">
        <v>35</v>
      </c>
      <c r="I1632">
        <v>2</v>
      </c>
      <c r="J1632">
        <v>0</v>
      </c>
      <c r="K1632" t="str">
        <f t="shared" si="75"/>
        <v>Jul-2024</v>
      </c>
      <c r="L1632" s="1">
        <f t="shared" ca="1" si="76"/>
        <v>123</v>
      </c>
      <c r="M1632" t="str">
        <f t="shared" si="77"/>
        <v>18-25</v>
      </c>
    </row>
    <row r="1633" spans="1:13" x14ac:dyDescent="0.2">
      <c r="A1633" t="s">
        <v>3258</v>
      </c>
      <c r="B1633" t="s">
        <v>3259</v>
      </c>
      <c r="C1633">
        <v>53</v>
      </c>
      <c r="D1633" t="s">
        <v>20</v>
      </c>
      <c r="E1633" t="s">
        <v>17</v>
      </c>
      <c r="F1633" s="1">
        <v>45642</v>
      </c>
      <c r="G1633" s="1">
        <v>46058</v>
      </c>
      <c r="H1633">
        <v>46</v>
      </c>
      <c r="I1633">
        <v>10</v>
      </c>
      <c r="J1633">
        <v>0</v>
      </c>
      <c r="K1633" t="str">
        <f t="shared" si="75"/>
        <v>Dec-2024</v>
      </c>
      <c r="L1633" s="1">
        <f t="shared" ca="1" si="76"/>
        <v>100</v>
      </c>
      <c r="M1633" t="str">
        <f t="shared" si="77"/>
        <v>46+</v>
      </c>
    </row>
    <row r="1634" spans="1:13" x14ac:dyDescent="0.2">
      <c r="A1634" t="s">
        <v>3260</v>
      </c>
      <c r="B1634" t="s">
        <v>3261</v>
      </c>
      <c r="C1634">
        <v>53</v>
      </c>
      <c r="D1634" t="s">
        <v>20</v>
      </c>
      <c r="E1634" t="s">
        <v>21</v>
      </c>
      <c r="F1634" s="1">
        <v>45518</v>
      </c>
      <c r="G1634" s="1">
        <v>46132</v>
      </c>
      <c r="H1634">
        <v>1</v>
      </c>
      <c r="I1634">
        <v>2</v>
      </c>
      <c r="J1634">
        <v>1</v>
      </c>
      <c r="K1634" t="str">
        <f t="shared" si="75"/>
        <v>Aug-2024</v>
      </c>
      <c r="L1634" s="1">
        <f t="shared" ca="1" si="76"/>
        <v>26</v>
      </c>
      <c r="M1634" t="str">
        <f t="shared" si="77"/>
        <v>46+</v>
      </c>
    </row>
    <row r="1635" spans="1:13" x14ac:dyDescent="0.2">
      <c r="A1635" t="s">
        <v>3262</v>
      </c>
      <c r="B1635" t="s">
        <v>3263</v>
      </c>
      <c r="C1635">
        <v>44</v>
      </c>
      <c r="D1635" t="s">
        <v>16</v>
      </c>
      <c r="E1635" t="s">
        <v>21</v>
      </c>
      <c r="F1635" s="1">
        <v>45647</v>
      </c>
      <c r="G1635" s="1">
        <v>46086</v>
      </c>
      <c r="H1635">
        <v>2</v>
      </c>
      <c r="I1635">
        <v>2</v>
      </c>
      <c r="J1635">
        <v>1</v>
      </c>
      <c r="K1635" t="str">
        <f t="shared" si="75"/>
        <v>Dec-2024</v>
      </c>
      <c r="L1635" s="1">
        <f t="shared" ca="1" si="76"/>
        <v>72</v>
      </c>
      <c r="M1635" t="str">
        <f t="shared" si="77"/>
        <v>36-45</v>
      </c>
    </row>
    <row r="1636" spans="1:13" x14ac:dyDescent="0.2">
      <c r="A1636" t="s">
        <v>3264</v>
      </c>
      <c r="B1636" t="s">
        <v>3265</v>
      </c>
      <c r="C1636">
        <v>37</v>
      </c>
      <c r="D1636" t="s">
        <v>12</v>
      </c>
      <c r="E1636" t="s">
        <v>17</v>
      </c>
      <c r="F1636" s="1">
        <v>45453</v>
      </c>
      <c r="G1636" s="1">
        <v>46067</v>
      </c>
      <c r="H1636">
        <v>13</v>
      </c>
      <c r="I1636">
        <v>8</v>
      </c>
      <c r="J1636">
        <v>0</v>
      </c>
      <c r="K1636" t="str">
        <f t="shared" si="75"/>
        <v>Jun-2024</v>
      </c>
      <c r="L1636" s="1">
        <f t="shared" ca="1" si="76"/>
        <v>91</v>
      </c>
      <c r="M1636" t="str">
        <f t="shared" si="77"/>
        <v>36-45</v>
      </c>
    </row>
    <row r="1637" spans="1:13" x14ac:dyDescent="0.2">
      <c r="A1637" t="s">
        <v>3266</v>
      </c>
      <c r="B1637" t="s">
        <v>3267</v>
      </c>
      <c r="C1637">
        <v>57</v>
      </c>
      <c r="D1637" t="s">
        <v>12</v>
      </c>
      <c r="E1637" t="s">
        <v>21</v>
      </c>
      <c r="F1637" s="1">
        <v>45675</v>
      </c>
      <c r="G1637" s="1">
        <v>46053</v>
      </c>
      <c r="H1637">
        <v>60</v>
      </c>
      <c r="I1637">
        <v>1</v>
      </c>
      <c r="J1637">
        <v>1</v>
      </c>
      <c r="K1637" t="str">
        <f t="shared" si="75"/>
        <v>Jan-2025</v>
      </c>
      <c r="L1637" s="1">
        <f t="shared" ca="1" si="76"/>
        <v>105</v>
      </c>
      <c r="M1637" t="str">
        <f t="shared" si="77"/>
        <v>46+</v>
      </c>
    </row>
    <row r="1638" spans="1:13" x14ac:dyDescent="0.2">
      <c r="A1638" t="s">
        <v>3268</v>
      </c>
      <c r="B1638" t="s">
        <v>3269</v>
      </c>
      <c r="C1638">
        <v>44</v>
      </c>
      <c r="D1638" t="s">
        <v>20</v>
      </c>
      <c r="E1638" t="s">
        <v>17</v>
      </c>
      <c r="F1638" s="1">
        <v>45505</v>
      </c>
      <c r="G1638" s="1">
        <v>46059</v>
      </c>
      <c r="H1638">
        <v>73</v>
      </c>
      <c r="I1638">
        <v>6</v>
      </c>
      <c r="J1638">
        <v>1</v>
      </c>
      <c r="K1638" t="str">
        <f t="shared" si="75"/>
        <v>Aug-2024</v>
      </c>
      <c r="L1638" s="1">
        <f t="shared" ca="1" si="76"/>
        <v>99</v>
      </c>
      <c r="M1638" t="str">
        <f t="shared" si="77"/>
        <v>36-45</v>
      </c>
    </row>
    <row r="1639" spans="1:13" x14ac:dyDescent="0.2">
      <c r="A1639" t="s">
        <v>3270</v>
      </c>
      <c r="B1639" t="s">
        <v>3271</v>
      </c>
      <c r="C1639">
        <v>49</v>
      </c>
      <c r="D1639" t="s">
        <v>16</v>
      </c>
      <c r="E1639" t="s">
        <v>21</v>
      </c>
      <c r="F1639" s="1">
        <v>45413</v>
      </c>
      <c r="G1639" s="1">
        <v>46075</v>
      </c>
      <c r="H1639">
        <v>42</v>
      </c>
      <c r="I1639">
        <v>1</v>
      </c>
      <c r="J1639">
        <v>1</v>
      </c>
      <c r="K1639" t="str">
        <f t="shared" si="75"/>
        <v>May-2024</v>
      </c>
      <c r="L1639" s="1">
        <f t="shared" ca="1" si="76"/>
        <v>83</v>
      </c>
      <c r="M1639" t="str">
        <f t="shared" si="77"/>
        <v>46+</v>
      </c>
    </row>
    <row r="1640" spans="1:13" x14ac:dyDescent="0.2">
      <c r="A1640" t="s">
        <v>3272</v>
      </c>
      <c r="B1640" t="s">
        <v>3273</v>
      </c>
      <c r="C1640">
        <v>41</v>
      </c>
      <c r="D1640" t="s">
        <v>20</v>
      </c>
      <c r="E1640" t="s">
        <v>21</v>
      </c>
      <c r="F1640" s="1">
        <v>45870</v>
      </c>
      <c r="G1640" s="1">
        <v>46051</v>
      </c>
      <c r="H1640">
        <v>47</v>
      </c>
      <c r="I1640">
        <v>4</v>
      </c>
      <c r="J1640">
        <v>1</v>
      </c>
      <c r="K1640" t="str">
        <f t="shared" si="75"/>
        <v>Aug-2025</v>
      </c>
      <c r="L1640" s="1">
        <f t="shared" ca="1" si="76"/>
        <v>107</v>
      </c>
      <c r="M1640" t="str">
        <f t="shared" si="77"/>
        <v>36-45</v>
      </c>
    </row>
    <row r="1641" spans="1:13" x14ac:dyDescent="0.2">
      <c r="A1641" t="s">
        <v>3274</v>
      </c>
      <c r="B1641" t="s">
        <v>3275</v>
      </c>
      <c r="C1641">
        <v>54</v>
      </c>
      <c r="D1641" t="s">
        <v>20</v>
      </c>
      <c r="E1641" t="s">
        <v>13</v>
      </c>
      <c r="F1641" s="1">
        <v>45158</v>
      </c>
      <c r="G1641" s="1">
        <v>46063</v>
      </c>
      <c r="H1641">
        <v>46</v>
      </c>
      <c r="I1641">
        <v>2</v>
      </c>
      <c r="J1641">
        <v>1</v>
      </c>
      <c r="K1641" t="str">
        <f t="shared" si="75"/>
        <v>Aug-2023</v>
      </c>
      <c r="L1641" s="1">
        <f t="shared" ca="1" si="76"/>
        <v>95</v>
      </c>
      <c r="M1641" t="str">
        <f t="shared" si="77"/>
        <v>46+</v>
      </c>
    </row>
    <row r="1642" spans="1:13" x14ac:dyDescent="0.2">
      <c r="A1642" t="s">
        <v>3276</v>
      </c>
      <c r="B1642" t="s">
        <v>3277</v>
      </c>
      <c r="C1642">
        <v>49</v>
      </c>
      <c r="D1642" t="s">
        <v>20</v>
      </c>
      <c r="E1642" t="s">
        <v>17</v>
      </c>
      <c r="F1642" s="1">
        <v>45159</v>
      </c>
      <c r="G1642" s="1">
        <v>46127</v>
      </c>
      <c r="H1642">
        <v>51</v>
      </c>
      <c r="I1642">
        <v>6</v>
      </c>
      <c r="J1642">
        <v>0</v>
      </c>
      <c r="K1642" t="str">
        <f t="shared" si="75"/>
        <v>Aug-2023</v>
      </c>
      <c r="L1642" s="1">
        <f t="shared" ca="1" si="76"/>
        <v>31</v>
      </c>
      <c r="M1642" t="str">
        <f t="shared" si="77"/>
        <v>46+</v>
      </c>
    </row>
    <row r="1643" spans="1:13" x14ac:dyDescent="0.2">
      <c r="A1643" t="s">
        <v>3278</v>
      </c>
      <c r="B1643" t="s">
        <v>3279</v>
      </c>
      <c r="C1643">
        <v>21</v>
      </c>
      <c r="D1643" t="s">
        <v>12</v>
      </c>
      <c r="E1643" t="s">
        <v>21</v>
      </c>
      <c r="F1643" s="1">
        <v>45904</v>
      </c>
      <c r="G1643" s="1">
        <v>46145</v>
      </c>
      <c r="H1643">
        <v>24</v>
      </c>
      <c r="I1643">
        <v>7</v>
      </c>
      <c r="J1643">
        <v>0</v>
      </c>
      <c r="K1643" t="str">
        <f t="shared" si="75"/>
        <v>Sep-2025</v>
      </c>
      <c r="L1643" s="1">
        <f t="shared" ca="1" si="76"/>
        <v>13</v>
      </c>
      <c r="M1643" t="str">
        <f t="shared" si="77"/>
        <v>18-25</v>
      </c>
    </row>
    <row r="1644" spans="1:13" x14ac:dyDescent="0.2">
      <c r="A1644" t="s">
        <v>3280</v>
      </c>
      <c r="B1644" t="s">
        <v>3281</v>
      </c>
      <c r="C1644">
        <v>58</v>
      </c>
      <c r="D1644" t="s">
        <v>12</v>
      </c>
      <c r="E1644" t="s">
        <v>21</v>
      </c>
      <c r="F1644" s="1">
        <v>45319</v>
      </c>
      <c r="G1644" s="1">
        <v>46087</v>
      </c>
      <c r="H1644">
        <v>69</v>
      </c>
      <c r="I1644">
        <v>8</v>
      </c>
      <c r="J1644">
        <v>0</v>
      </c>
      <c r="K1644" t="str">
        <f t="shared" si="75"/>
        <v>Jan-2024</v>
      </c>
      <c r="L1644" s="1">
        <f t="shared" ca="1" si="76"/>
        <v>71</v>
      </c>
      <c r="M1644" t="str">
        <f t="shared" si="77"/>
        <v>46+</v>
      </c>
    </row>
    <row r="1645" spans="1:13" x14ac:dyDescent="0.2">
      <c r="A1645" t="s">
        <v>3282</v>
      </c>
      <c r="B1645" t="s">
        <v>3283</v>
      </c>
      <c r="C1645">
        <v>19</v>
      </c>
      <c r="D1645" t="s">
        <v>16</v>
      </c>
      <c r="E1645" t="s">
        <v>21</v>
      </c>
      <c r="F1645" s="1">
        <v>45220</v>
      </c>
      <c r="G1645" s="1">
        <v>46074</v>
      </c>
      <c r="H1645">
        <v>6</v>
      </c>
      <c r="I1645">
        <v>2</v>
      </c>
      <c r="J1645">
        <v>1</v>
      </c>
      <c r="K1645" t="str">
        <f t="shared" si="75"/>
        <v>Oct-2023</v>
      </c>
      <c r="L1645" s="1">
        <f t="shared" ca="1" si="76"/>
        <v>84</v>
      </c>
      <c r="M1645" t="str">
        <f t="shared" si="77"/>
        <v>18-25</v>
      </c>
    </row>
    <row r="1646" spans="1:13" x14ac:dyDescent="0.2">
      <c r="A1646" t="s">
        <v>3284</v>
      </c>
      <c r="B1646" t="s">
        <v>3285</v>
      </c>
      <c r="C1646">
        <v>21</v>
      </c>
      <c r="D1646" t="s">
        <v>12</v>
      </c>
      <c r="E1646" t="s">
        <v>21</v>
      </c>
      <c r="F1646" s="1">
        <v>45251</v>
      </c>
      <c r="G1646" s="1">
        <v>46113</v>
      </c>
      <c r="H1646">
        <v>74</v>
      </c>
      <c r="I1646">
        <v>5</v>
      </c>
      <c r="J1646">
        <v>0</v>
      </c>
      <c r="K1646" t="str">
        <f t="shared" si="75"/>
        <v>Nov-2023</v>
      </c>
      <c r="L1646" s="1">
        <f t="shared" ca="1" si="76"/>
        <v>45</v>
      </c>
      <c r="M1646" t="str">
        <f t="shared" si="77"/>
        <v>18-25</v>
      </c>
    </row>
    <row r="1647" spans="1:13" x14ac:dyDescent="0.2">
      <c r="A1647" t="s">
        <v>3286</v>
      </c>
      <c r="B1647" t="s">
        <v>3287</v>
      </c>
      <c r="C1647">
        <v>52</v>
      </c>
      <c r="D1647" t="s">
        <v>16</v>
      </c>
      <c r="E1647" t="s">
        <v>17</v>
      </c>
      <c r="F1647" s="1">
        <v>45443</v>
      </c>
      <c r="G1647" s="1">
        <v>46033</v>
      </c>
      <c r="H1647">
        <v>62</v>
      </c>
      <c r="I1647">
        <v>3</v>
      </c>
      <c r="J1647">
        <v>0</v>
      </c>
      <c r="K1647" t="str">
        <f t="shared" si="75"/>
        <v>May-2024</v>
      </c>
      <c r="L1647" s="1">
        <f t="shared" ca="1" si="76"/>
        <v>125</v>
      </c>
      <c r="M1647" t="str">
        <f t="shared" si="77"/>
        <v>46+</v>
      </c>
    </row>
    <row r="1648" spans="1:13" x14ac:dyDescent="0.2">
      <c r="A1648" t="s">
        <v>3288</v>
      </c>
      <c r="B1648" t="s">
        <v>3289</v>
      </c>
      <c r="C1648">
        <v>42</v>
      </c>
      <c r="D1648" t="s">
        <v>16</v>
      </c>
      <c r="E1648" t="s">
        <v>21</v>
      </c>
      <c r="F1648" s="1">
        <v>45790</v>
      </c>
      <c r="G1648" s="1">
        <v>46099</v>
      </c>
      <c r="H1648">
        <v>46</v>
      </c>
      <c r="I1648">
        <v>9</v>
      </c>
      <c r="J1648">
        <v>0</v>
      </c>
      <c r="K1648" t="str">
        <f t="shared" si="75"/>
        <v>May-2025</v>
      </c>
      <c r="L1648" s="1">
        <f t="shared" ca="1" si="76"/>
        <v>59</v>
      </c>
      <c r="M1648" t="str">
        <f t="shared" si="77"/>
        <v>36-45</v>
      </c>
    </row>
    <row r="1649" spans="1:13" x14ac:dyDescent="0.2">
      <c r="A1649" t="s">
        <v>3290</v>
      </c>
      <c r="B1649" t="s">
        <v>3291</v>
      </c>
      <c r="C1649">
        <v>34</v>
      </c>
      <c r="D1649" t="s">
        <v>12</v>
      </c>
      <c r="E1649" t="s">
        <v>17</v>
      </c>
      <c r="F1649" s="1">
        <v>45461</v>
      </c>
      <c r="G1649" s="1">
        <v>46104</v>
      </c>
      <c r="H1649">
        <v>80</v>
      </c>
      <c r="I1649">
        <v>10</v>
      </c>
      <c r="J1649">
        <v>0</v>
      </c>
      <c r="K1649" t="str">
        <f t="shared" si="75"/>
        <v>Jun-2024</v>
      </c>
      <c r="L1649" s="1">
        <f t="shared" ca="1" si="76"/>
        <v>54</v>
      </c>
      <c r="M1649" t="str">
        <f t="shared" si="77"/>
        <v>26-35</v>
      </c>
    </row>
    <row r="1650" spans="1:13" x14ac:dyDescent="0.2">
      <c r="A1650" t="s">
        <v>3292</v>
      </c>
      <c r="B1650" t="s">
        <v>3293</v>
      </c>
      <c r="C1650">
        <v>24</v>
      </c>
      <c r="D1650" t="s">
        <v>16</v>
      </c>
      <c r="E1650" t="s">
        <v>17</v>
      </c>
      <c r="F1650" s="1">
        <v>45963</v>
      </c>
      <c r="G1650" s="1">
        <v>46105</v>
      </c>
      <c r="H1650">
        <v>44</v>
      </c>
      <c r="I1650">
        <v>7</v>
      </c>
      <c r="J1650">
        <v>0</v>
      </c>
      <c r="K1650" t="str">
        <f t="shared" si="75"/>
        <v>Nov-2025</v>
      </c>
      <c r="L1650" s="1">
        <f t="shared" ca="1" si="76"/>
        <v>53</v>
      </c>
      <c r="M1650" t="str">
        <f t="shared" si="77"/>
        <v>18-25</v>
      </c>
    </row>
    <row r="1651" spans="1:13" x14ac:dyDescent="0.2">
      <c r="A1651" t="s">
        <v>3294</v>
      </c>
      <c r="B1651" t="s">
        <v>3295</v>
      </c>
      <c r="C1651">
        <v>48</v>
      </c>
      <c r="D1651" t="s">
        <v>20</v>
      </c>
      <c r="E1651" t="s">
        <v>21</v>
      </c>
      <c r="F1651" s="1">
        <v>46030</v>
      </c>
      <c r="G1651" s="1">
        <v>46036</v>
      </c>
      <c r="H1651">
        <v>9</v>
      </c>
      <c r="I1651">
        <v>3</v>
      </c>
      <c r="J1651">
        <v>1</v>
      </c>
      <c r="K1651" t="str">
        <f t="shared" si="75"/>
        <v>Jan-2026</v>
      </c>
      <c r="L1651" s="1">
        <f t="shared" ca="1" si="76"/>
        <v>122</v>
      </c>
      <c r="M1651" t="str">
        <f t="shared" si="77"/>
        <v>46+</v>
      </c>
    </row>
    <row r="1652" spans="1:13" x14ac:dyDescent="0.2">
      <c r="A1652" t="s">
        <v>3296</v>
      </c>
      <c r="B1652" t="s">
        <v>3297</v>
      </c>
      <c r="C1652">
        <v>44</v>
      </c>
      <c r="D1652" t="s">
        <v>12</v>
      </c>
      <c r="E1652" t="s">
        <v>21</v>
      </c>
      <c r="F1652" s="1">
        <v>46102</v>
      </c>
      <c r="G1652" s="1">
        <v>46104</v>
      </c>
      <c r="H1652">
        <v>76</v>
      </c>
      <c r="I1652">
        <v>1</v>
      </c>
      <c r="J1652">
        <v>1</v>
      </c>
      <c r="K1652" t="str">
        <f t="shared" si="75"/>
        <v>Mar-2026</v>
      </c>
      <c r="L1652" s="1">
        <f t="shared" ca="1" si="76"/>
        <v>54</v>
      </c>
      <c r="M1652" t="str">
        <f t="shared" si="77"/>
        <v>36-45</v>
      </c>
    </row>
    <row r="1653" spans="1:13" x14ac:dyDescent="0.2">
      <c r="A1653" t="s">
        <v>3298</v>
      </c>
      <c r="B1653" t="s">
        <v>3299</v>
      </c>
      <c r="C1653">
        <v>29</v>
      </c>
      <c r="D1653" t="s">
        <v>16</v>
      </c>
      <c r="E1653" t="s">
        <v>17</v>
      </c>
      <c r="F1653" s="1">
        <v>45354</v>
      </c>
      <c r="G1653" s="1">
        <v>46119</v>
      </c>
      <c r="H1653">
        <v>28</v>
      </c>
      <c r="I1653">
        <v>8</v>
      </c>
      <c r="J1653">
        <v>0</v>
      </c>
      <c r="K1653" t="str">
        <f t="shared" si="75"/>
        <v>Mar-2024</v>
      </c>
      <c r="L1653" s="1">
        <f t="shared" ca="1" si="76"/>
        <v>39</v>
      </c>
      <c r="M1653" t="str">
        <f t="shared" si="77"/>
        <v>26-35</v>
      </c>
    </row>
    <row r="1654" spans="1:13" x14ac:dyDescent="0.2">
      <c r="A1654" t="s">
        <v>3300</v>
      </c>
      <c r="B1654" t="s">
        <v>3301</v>
      </c>
      <c r="C1654">
        <v>42</v>
      </c>
      <c r="D1654" t="s">
        <v>20</v>
      </c>
      <c r="E1654" t="s">
        <v>21</v>
      </c>
      <c r="F1654" s="1">
        <v>45522</v>
      </c>
      <c r="G1654" s="1">
        <v>46041</v>
      </c>
      <c r="H1654">
        <v>72</v>
      </c>
      <c r="I1654">
        <v>10</v>
      </c>
      <c r="J1654">
        <v>1</v>
      </c>
      <c r="K1654" t="str">
        <f t="shared" si="75"/>
        <v>Aug-2024</v>
      </c>
      <c r="L1654" s="1">
        <f t="shared" ca="1" si="76"/>
        <v>117</v>
      </c>
      <c r="M1654" t="str">
        <f t="shared" si="77"/>
        <v>36-45</v>
      </c>
    </row>
    <row r="1655" spans="1:13" x14ac:dyDescent="0.2">
      <c r="A1655" t="s">
        <v>3302</v>
      </c>
      <c r="B1655" t="s">
        <v>3303</v>
      </c>
      <c r="C1655">
        <v>39</v>
      </c>
      <c r="D1655" t="s">
        <v>20</v>
      </c>
      <c r="E1655" t="s">
        <v>21</v>
      </c>
      <c r="F1655" s="1">
        <v>45612</v>
      </c>
      <c r="G1655" s="1">
        <v>46039</v>
      </c>
      <c r="H1655">
        <v>60</v>
      </c>
      <c r="I1655">
        <v>1</v>
      </c>
      <c r="J1655">
        <v>0</v>
      </c>
      <c r="K1655" t="str">
        <f t="shared" si="75"/>
        <v>Nov-2024</v>
      </c>
      <c r="L1655" s="1">
        <f t="shared" ca="1" si="76"/>
        <v>119</v>
      </c>
      <c r="M1655" t="str">
        <f t="shared" si="77"/>
        <v>36-45</v>
      </c>
    </row>
    <row r="1656" spans="1:13" x14ac:dyDescent="0.2">
      <c r="A1656" t="s">
        <v>3304</v>
      </c>
      <c r="B1656" t="s">
        <v>3305</v>
      </c>
      <c r="C1656">
        <v>54</v>
      </c>
      <c r="D1656" t="s">
        <v>16</v>
      </c>
      <c r="E1656" t="s">
        <v>17</v>
      </c>
      <c r="F1656" s="1">
        <v>45257</v>
      </c>
      <c r="G1656" s="1">
        <v>46125</v>
      </c>
      <c r="H1656">
        <v>29</v>
      </c>
      <c r="I1656">
        <v>6</v>
      </c>
      <c r="J1656">
        <v>0</v>
      </c>
      <c r="K1656" t="str">
        <f t="shared" si="75"/>
        <v>Nov-2023</v>
      </c>
      <c r="L1656" s="1">
        <f t="shared" ca="1" si="76"/>
        <v>33</v>
      </c>
      <c r="M1656" t="str">
        <f t="shared" si="77"/>
        <v>46+</v>
      </c>
    </row>
    <row r="1657" spans="1:13" x14ac:dyDescent="0.2">
      <c r="A1657" t="s">
        <v>3306</v>
      </c>
      <c r="B1657" t="s">
        <v>3307</v>
      </c>
      <c r="C1657">
        <v>41</v>
      </c>
      <c r="D1657" t="s">
        <v>12</v>
      </c>
      <c r="E1657" t="s">
        <v>21</v>
      </c>
      <c r="F1657" s="1">
        <v>45755</v>
      </c>
      <c r="G1657" s="1">
        <v>46091</v>
      </c>
      <c r="H1657">
        <v>22</v>
      </c>
      <c r="I1657">
        <v>8</v>
      </c>
      <c r="J1657">
        <v>1</v>
      </c>
      <c r="K1657" t="str">
        <f t="shared" si="75"/>
        <v>Apr-2025</v>
      </c>
      <c r="L1657" s="1">
        <f t="shared" ca="1" si="76"/>
        <v>67</v>
      </c>
      <c r="M1657" t="str">
        <f t="shared" si="77"/>
        <v>36-45</v>
      </c>
    </row>
    <row r="1658" spans="1:13" x14ac:dyDescent="0.2">
      <c r="A1658" t="s">
        <v>3308</v>
      </c>
      <c r="B1658" t="s">
        <v>3309</v>
      </c>
      <c r="C1658">
        <v>32</v>
      </c>
      <c r="D1658" t="s">
        <v>16</v>
      </c>
      <c r="E1658" t="s">
        <v>21</v>
      </c>
      <c r="F1658" s="1">
        <v>45573</v>
      </c>
      <c r="G1658" s="1">
        <v>46031</v>
      </c>
      <c r="H1658">
        <v>43</v>
      </c>
      <c r="I1658">
        <v>8</v>
      </c>
      <c r="J1658">
        <v>1</v>
      </c>
      <c r="K1658" t="str">
        <f t="shared" si="75"/>
        <v>Oct-2024</v>
      </c>
      <c r="L1658" s="1">
        <f t="shared" ca="1" si="76"/>
        <v>127</v>
      </c>
      <c r="M1658" t="str">
        <f t="shared" si="77"/>
        <v>26-35</v>
      </c>
    </row>
    <row r="1659" spans="1:13" x14ac:dyDescent="0.2">
      <c r="A1659" t="s">
        <v>3310</v>
      </c>
      <c r="B1659" t="s">
        <v>3311</v>
      </c>
      <c r="C1659">
        <v>37</v>
      </c>
      <c r="D1659" t="s">
        <v>16</v>
      </c>
      <c r="E1659" t="s">
        <v>21</v>
      </c>
      <c r="F1659" s="1">
        <v>45559</v>
      </c>
      <c r="G1659" s="1">
        <v>46128</v>
      </c>
      <c r="H1659">
        <v>19</v>
      </c>
      <c r="I1659">
        <v>1</v>
      </c>
      <c r="J1659">
        <v>0</v>
      </c>
      <c r="K1659" t="str">
        <f t="shared" si="75"/>
        <v>Sep-2024</v>
      </c>
      <c r="L1659" s="1">
        <f t="shared" ca="1" si="76"/>
        <v>30</v>
      </c>
      <c r="M1659" t="str">
        <f t="shared" si="77"/>
        <v>36-45</v>
      </c>
    </row>
    <row r="1660" spans="1:13" x14ac:dyDescent="0.2">
      <c r="A1660" t="s">
        <v>3312</v>
      </c>
      <c r="B1660" t="s">
        <v>3313</v>
      </c>
      <c r="C1660">
        <v>40</v>
      </c>
      <c r="D1660" t="s">
        <v>12</v>
      </c>
      <c r="E1660" t="s">
        <v>21</v>
      </c>
      <c r="F1660" s="1">
        <v>45512</v>
      </c>
      <c r="G1660" s="1">
        <v>46095</v>
      </c>
      <c r="H1660">
        <v>6</v>
      </c>
      <c r="I1660">
        <v>4</v>
      </c>
      <c r="J1660">
        <v>0</v>
      </c>
      <c r="K1660" t="str">
        <f t="shared" si="75"/>
        <v>Aug-2024</v>
      </c>
      <c r="L1660" s="1">
        <f t="shared" ca="1" si="76"/>
        <v>63</v>
      </c>
      <c r="M1660" t="str">
        <f t="shared" si="77"/>
        <v>36-45</v>
      </c>
    </row>
    <row r="1661" spans="1:13" x14ac:dyDescent="0.2">
      <c r="A1661" t="s">
        <v>3314</v>
      </c>
      <c r="B1661" t="s">
        <v>3315</v>
      </c>
      <c r="C1661">
        <v>21</v>
      </c>
      <c r="D1661" t="s">
        <v>20</v>
      </c>
      <c r="E1661" t="s">
        <v>13</v>
      </c>
      <c r="F1661" s="1">
        <v>45195</v>
      </c>
      <c r="G1661" s="1">
        <v>46051</v>
      </c>
      <c r="H1661">
        <v>29</v>
      </c>
      <c r="I1661">
        <v>10</v>
      </c>
      <c r="J1661">
        <v>1</v>
      </c>
      <c r="K1661" t="str">
        <f t="shared" si="75"/>
        <v>Sep-2023</v>
      </c>
      <c r="L1661" s="1">
        <f t="shared" ca="1" si="76"/>
        <v>107</v>
      </c>
      <c r="M1661" t="str">
        <f t="shared" si="77"/>
        <v>18-25</v>
      </c>
    </row>
    <row r="1662" spans="1:13" x14ac:dyDescent="0.2">
      <c r="A1662" t="s">
        <v>3316</v>
      </c>
      <c r="B1662" t="s">
        <v>3317</v>
      </c>
      <c r="C1662">
        <v>47</v>
      </c>
      <c r="D1662" t="s">
        <v>20</v>
      </c>
      <c r="E1662" t="s">
        <v>17</v>
      </c>
      <c r="F1662" s="1">
        <v>45865</v>
      </c>
      <c r="G1662" s="1">
        <v>46100</v>
      </c>
      <c r="H1662">
        <v>20</v>
      </c>
      <c r="I1662">
        <v>5</v>
      </c>
      <c r="J1662">
        <v>0</v>
      </c>
      <c r="K1662" t="str">
        <f t="shared" si="75"/>
        <v>Jul-2025</v>
      </c>
      <c r="L1662" s="1">
        <f t="shared" ca="1" si="76"/>
        <v>58</v>
      </c>
      <c r="M1662" t="str">
        <f t="shared" si="77"/>
        <v>46+</v>
      </c>
    </row>
    <row r="1663" spans="1:13" x14ac:dyDescent="0.2">
      <c r="A1663" t="s">
        <v>3318</v>
      </c>
      <c r="B1663" t="s">
        <v>3319</v>
      </c>
      <c r="C1663">
        <v>45</v>
      </c>
      <c r="D1663" t="s">
        <v>20</v>
      </c>
      <c r="E1663" t="s">
        <v>13</v>
      </c>
      <c r="F1663" s="1">
        <v>45227</v>
      </c>
      <c r="G1663" s="1">
        <v>46129</v>
      </c>
      <c r="H1663">
        <v>48</v>
      </c>
      <c r="I1663">
        <v>7</v>
      </c>
      <c r="J1663">
        <v>0</v>
      </c>
      <c r="K1663" t="str">
        <f t="shared" si="75"/>
        <v>Oct-2023</v>
      </c>
      <c r="L1663" s="1">
        <f t="shared" ca="1" si="76"/>
        <v>29</v>
      </c>
      <c r="M1663" t="str">
        <f t="shared" si="77"/>
        <v>36-45</v>
      </c>
    </row>
    <row r="1664" spans="1:13" x14ac:dyDescent="0.2">
      <c r="A1664" t="s">
        <v>3320</v>
      </c>
      <c r="B1664" t="s">
        <v>3321</v>
      </c>
      <c r="C1664">
        <v>44</v>
      </c>
      <c r="D1664" t="s">
        <v>20</v>
      </c>
      <c r="E1664" t="s">
        <v>17</v>
      </c>
      <c r="F1664" s="1">
        <v>45174</v>
      </c>
      <c r="G1664" s="1">
        <v>46065</v>
      </c>
      <c r="H1664">
        <v>9</v>
      </c>
      <c r="I1664">
        <v>8</v>
      </c>
      <c r="J1664">
        <v>0</v>
      </c>
      <c r="K1664" t="str">
        <f t="shared" si="75"/>
        <v>Sep-2023</v>
      </c>
      <c r="L1664" s="1">
        <f t="shared" ca="1" si="76"/>
        <v>93</v>
      </c>
      <c r="M1664" t="str">
        <f t="shared" si="77"/>
        <v>36-45</v>
      </c>
    </row>
    <row r="1665" spans="1:13" x14ac:dyDescent="0.2">
      <c r="A1665" t="s">
        <v>3322</v>
      </c>
      <c r="B1665" t="s">
        <v>3323</v>
      </c>
      <c r="C1665">
        <v>29</v>
      </c>
      <c r="D1665" t="s">
        <v>16</v>
      </c>
      <c r="E1665" t="s">
        <v>13</v>
      </c>
      <c r="F1665" s="1">
        <v>45772</v>
      </c>
      <c r="G1665" s="1">
        <v>46072</v>
      </c>
      <c r="H1665">
        <v>37</v>
      </c>
      <c r="I1665">
        <v>8</v>
      </c>
      <c r="J1665">
        <v>0</v>
      </c>
      <c r="K1665" t="str">
        <f t="shared" si="75"/>
        <v>Apr-2025</v>
      </c>
      <c r="L1665" s="1">
        <f t="shared" ca="1" si="76"/>
        <v>86</v>
      </c>
      <c r="M1665" t="str">
        <f t="shared" si="77"/>
        <v>26-35</v>
      </c>
    </row>
    <row r="1666" spans="1:13" x14ac:dyDescent="0.2">
      <c r="A1666" t="s">
        <v>3324</v>
      </c>
      <c r="B1666" t="s">
        <v>3325</v>
      </c>
      <c r="C1666">
        <v>48</v>
      </c>
      <c r="D1666" t="s">
        <v>20</v>
      </c>
      <c r="E1666" t="s">
        <v>21</v>
      </c>
      <c r="F1666" s="1">
        <v>45654</v>
      </c>
      <c r="G1666" s="1">
        <v>46069</v>
      </c>
      <c r="H1666">
        <v>78</v>
      </c>
      <c r="I1666">
        <v>1</v>
      </c>
      <c r="J1666">
        <v>1</v>
      </c>
      <c r="K1666" t="str">
        <f t="shared" si="75"/>
        <v>Dec-2024</v>
      </c>
      <c r="L1666" s="1">
        <f t="shared" ca="1" si="76"/>
        <v>89</v>
      </c>
      <c r="M1666" t="str">
        <f t="shared" si="77"/>
        <v>46+</v>
      </c>
    </row>
    <row r="1667" spans="1:13" x14ac:dyDescent="0.2">
      <c r="A1667" t="s">
        <v>3326</v>
      </c>
      <c r="B1667" t="s">
        <v>3327</v>
      </c>
      <c r="C1667">
        <v>44</v>
      </c>
      <c r="D1667" t="s">
        <v>20</v>
      </c>
      <c r="E1667" t="s">
        <v>13</v>
      </c>
      <c r="F1667" s="1">
        <v>45258</v>
      </c>
      <c r="G1667" s="1">
        <v>46088</v>
      </c>
      <c r="H1667">
        <v>57</v>
      </c>
      <c r="I1667">
        <v>4</v>
      </c>
      <c r="J1667">
        <v>0</v>
      </c>
      <c r="K1667" t="str">
        <f t="shared" ref="K1667:K1730" si="78">TEXT(F1667,"MMM-YYYY")</f>
        <v>Nov-2023</v>
      </c>
      <c r="L1667" s="1">
        <f t="shared" ref="L1667:L1730" ca="1" si="79">TODAY()-G1667</f>
        <v>70</v>
      </c>
      <c r="M1667" t="str">
        <f t="shared" ref="M1667:M1730" si="80">IF(C1667&lt;=25,"18-25",IF(C1667&lt;=35,"26-35",IF(C1667&lt;=45,"36-45","46+")))</f>
        <v>36-45</v>
      </c>
    </row>
    <row r="1668" spans="1:13" x14ac:dyDescent="0.2">
      <c r="A1668" t="s">
        <v>3328</v>
      </c>
      <c r="B1668" t="s">
        <v>3329</v>
      </c>
      <c r="C1668">
        <v>55</v>
      </c>
      <c r="D1668" t="s">
        <v>20</v>
      </c>
      <c r="E1668" t="s">
        <v>21</v>
      </c>
      <c r="F1668" s="1">
        <v>45287</v>
      </c>
      <c r="G1668" s="1">
        <v>46120</v>
      </c>
      <c r="H1668">
        <v>77</v>
      </c>
      <c r="I1668">
        <v>3</v>
      </c>
      <c r="J1668">
        <v>0</v>
      </c>
      <c r="K1668" t="str">
        <f t="shared" si="78"/>
        <v>Dec-2023</v>
      </c>
      <c r="L1668" s="1">
        <f t="shared" ca="1" si="79"/>
        <v>38</v>
      </c>
      <c r="M1668" t="str">
        <f t="shared" si="80"/>
        <v>46+</v>
      </c>
    </row>
    <row r="1669" spans="1:13" x14ac:dyDescent="0.2">
      <c r="A1669" t="s">
        <v>3330</v>
      </c>
      <c r="B1669" t="s">
        <v>3331</v>
      </c>
      <c r="C1669">
        <v>45</v>
      </c>
      <c r="D1669" t="s">
        <v>16</v>
      </c>
      <c r="E1669" t="s">
        <v>17</v>
      </c>
      <c r="F1669" s="1">
        <v>45945</v>
      </c>
      <c r="G1669" s="1">
        <v>46070</v>
      </c>
      <c r="H1669">
        <v>21</v>
      </c>
      <c r="I1669">
        <v>1</v>
      </c>
      <c r="J1669">
        <v>1</v>
      </c>
      <c r="K1669" t="str">
        <f t="shared" si="78"/>
        <v>Oct-2025</v>
      </c>
      <c r="L1669" s="1">
        <f t="shared" ca="1" si="79"/>
        <v>88</v>
      </c>
      <c r="M1669" t="str">
        <f t="shared" si="80"/>
        <v>36-45</v>
      </c>
    </row>
    <row r="1670" spans="1:13" x14ac:dyDescent="0.2">
      <c r="A1670" t="s">
        <v>3332</v>
      </c>
      <c r="B1670" t="s">
        <v>1346</v>
      </c>
      <c r="C1670">
        <v>60</v>
      </c>
      <c r="D1670" t="s">
        <v>16</v>
      </c>
      <c r="E1670" t="s">
        <v>13</v>
      </c>
      <c r="F1670" s="1">
        <v>45779</v>
      </c>
      <c r="G1670" s="1">
        <v>46150</v>
      </c>
      <c r="H1670">
        <v>9</v>
      </c>
      <c r="I1670">
        <v>7</v>
      </c>
      <c r="J1670">
        <v>0</v>
      </c>
      <c r="K1670" t="str">
        <f t="shared" si="78"/>
        <v>May-2025</v>
      </c>
      <c r="L1670" s="1">
        <f t="shared" ca="1" si="79"/>
        <v>8</v>
      </c>
      <c r="M1670" t="str">
        <f t="shared" si="80"/>
        <v>46+</v>
      </c>
    </row>
    <row r="1671" spans="1:13" x14ac:dyDescent="0.2">
      <c r="A1671" t="s">
        <v>3333</v>
      </c>
      <c r="B1671" t="s">
        <v>3334</v>
      </c>
      <c r="C1671">
        <v>26</v>
      </c>
      <c r="D1671" t="s">
        <v>12</v>
      </c>
      <c r="E1671" t="s">
        <v>13</v>
      </c>
      <c r="F1671" s="1">
        <v>45625</v>
      </c>
      <c r="G1671" s="1">
        <v>46066</v>
      </c>
      <c r="H1671">
        <v>70</v>
      </c>
      <c r="I1671">
        <v>6</v>
      </c>
      <c r="J1671">
        <v>1</v>
      </c>
      <c r="K1671" t="str">
        <f t="shared" si="78"/>
        <v>Nov-2024</v>
      </c>
      <c r="L1671" s="1">
        <f t="shared" ca="1" si="79"/>
        <v>92</v>
      </c>
      <c r="M1671" t="str">
        <f t="shared" si="80"/>
        <v>26-35</v>
      </c>
    </row>
    <row r="1672" spans="1:13" x14ac:dyDescent="0.2">
      <c r="A1672" t="s">
        <v>3335</v>
      </c>
      <c r="B1672" t="s">
        <v>3336</v>
      </c>
      <c r="C1672">
        <v>37</v>
      </c>
      <c r="D1672" t="s">
        <v>12</v>
      </c>
      <c r="E1672" t="s">
        <v>21</v>
      </c>
      <c r="F1672" s="1">
        <v>45542</v>
      </c>
      <c r="G1672" s="1">
        <v>46031</v>
      </c>
      <c r="H1672">
        <v>50</v>
      </c>
      <c r="I1672">
        <v>5</v>
      </c>
      <c r="J1672">
        <v>1</v>
      </c>
      <c r="K1672" t="str">
        <f t="shared" si="78"/>
        <v>Sep-2024</v>
      </c>
      <c r="L1672" s="1">
        <f t="shared" ca="1" si="79"/>
        <v>127</v>
      </c>
      <c r="M1672" t="str">
        <f t="shared" si="80"/>
        <v>36-45</v>
      </c>
    </row>
    <row r="1673" spans="1:13" x14ac:dyDescent="0.2">
      <c r="A1673" t="s">
        <v>3337</v>
      </c>
      <c r="B1673" t="s">
        <v>3338</v>
      </c>
      <c r="C1673">
        <v>52</v>
      </c>
      <c r="D1673" t="s">
        <v>20</v>
      </c>
      <c r="E1673" t="s">
        <v>21</v>
      </c>
      <c r="F1673" s="1">
        <v>45597</v>
      </c>
      <c r="G1673" s="1">
        <v>46080</v>
      </c>
      <c r="H1673">
        <v>0</v>
      </c>
      <c r="I1673">
        <v>8</v>
      </c>
      <c r="J1673">
        <v>0</v>
      </c>
      <c r="K1673" t="str">
        <f t="shared" si="78"/>
        <v>Nov-2024</v>
      </c>
      <c r="L1673" s="1">
        <f t="shared" ca="1" si="79"/>
        <v>78</v>
      </c>
      <c r="M1673" t="str">
        <f t="shared" si="80"/>
        <v>46+</v>
      </c>
    </row>
    <row r="1674" spans="1:13" x14ac:dyDescent="0.2">
      <c r="A1674" t="s">
        <v>3339</v>
      </c>
      <c r="B1674" t="s">
        <v>3340</v>
      </c>
      <c r="C1674">
        <v>32</v>
      </c>
      <c r="D1674" t="s">
        <v>16</v>
      </c>
      <c r="E1674" t="s">
        <v>21</v>
      </c>
      <c r="F1674" s="1">
        <v>45235</v>
      </c>
      <c r="G1674" s="1">
        <v>46120</v>
      </c>
      <c r="H1674">
        <v>45</v>
      </c>
      <c r="I1674">
        <v>4</v>
      </c>
      <c r="J1674">
        <v>1</v>
      </c>
      <c r="K1674" t="str">
        <f t="shared" si="78"/>
        <v>Nov-2023</v>
      </c>
      <c r="L1674" s="1">
        <f t="shared" ca="1" si="79"/>
        <v>38</v>
      </c>
      <c r="M1674" t="str">
        <f t="shared" si="80"/>
        <v>26-35</v>
      </c>
    </row>
    <row r="1675" spans="1:13" x14ac:dyDescent="0.2">
      <c r="A1675" t="s">
        <v>3341</v>
      </c>
      <c r="B1675" t="s">
        <v>3342</v>
      </c>
      <c r="C1675">
        <v>33</v>
      </c>
      <c r="D1675" t="s">
        <v>20</v>
      </c>
      <c r="E1675" t="s">
        <v>21</v>
      </c>
      <c r="F1675" s="1">
        <v>46044</v>
      </c>
      <c r="G1675" s="1">
        <v>46092</v>
      </c>
      <c r="H1675">
        <v>26</v>
      </c>
      <c r="I1675">
        <v>1</v>
      </c>
      <c r="J1675">
        <v>0</v>
      </c>
      <c r="K1675" t="str">
        <f t="shared" si="78"/>
        <v>Jan-2026</v>
      </c>
      <c r="L1675" s="1">
        <f t="shared" ca="1" si="79"/>
        <v>66</v>
      </c>
      <c r="M1675" t="str">
        <f t="shared" si="80"/>
        <v>26-35</v>
      </c>
    </row>
    <row r="1676" spans="1:13" x14ac:dyDescent="0.2">
      <c r="A1676" t="s">
        <v>3343</v>
      </c>
      <c r="B1676" t="s">
        <v>3344</v>
      </c>
      <c r="C1676">
        <v>45</v>
      </c>
      <c r="D1676" t="s">
        <v>16</v>
      </c>
      <c r="E1676" t="s">
        <v>17</v>
      </c>
      <c r="F1676" s="1">
        <v>45205</v>
      </c>
      <c r="G1676" s="1">
        <v>46123</v>
      </c>
      <c r="H1676">
        <v>41</v>
      </c>
      <c r="I1676">
        <v>10</v>
      </c>
      <c r="J1676">
        <v>1</v>
      </c>
      <c r="K1676" t="str">
        <f t="shared" si="78"/>
        <v>Oct-2023</v>
      </c>
      <c r="L1676" s="1">
        <f t="shared" ca="1" si="79"/>
        <v>35</v>
      </c>
      <c r="M1676" t="str">
        <f t="shared" si="80"/>
        <v>36-45</v>
      </c>
    </row>
    <row r="1677" spans="1:13" x14ac:dyDescent="0.2">
      <c r="A1677" t="s">
        <v>3345</v>
      </c>
      <c r="B1677" t="s">
        <v>3346</v>
      </c>
      <c r="C1677">
        <v>56</v>
      </c>
      <c r="D1677" t="s">
        <v>12</v>
      </c>
      <c r="E1677" t="s">
        <v>13</v>
      </c>
      <c r="F1677" s="1">
        <v>45868</v>
      </c>
      <c r="G1677" s="1">
        <v>46032</v>
      </c>
      <c r="H1677">
        <v>78</v>
      </c>
      <c r="I1677">
        <v>10</v>
      </c>
      <c r="J1677">
        <v>0</v>
      </c>
      <c r="K1677" t="str">
        <f t="shared" si="78"/>
        <v>Jul-2025</v>
      </c>
      <c r="L1677" s="1">
        <f t="shared" ca="1" si="79"/>
        <v>126</v>
      </c>
      <c r="M1677" t="str">
        <f t="shared" si="80"/>
        <v>46+</v>
      </c>
    </row>
    <row r="1678" spans="1:13" x14ac:dyDescent="0.2">
      <c r="A1678" t="s">
        <v>3347</v>
      </c>
      <c r="B1678" t="s">
        <v>3348</v>
      </c>
      <c r="C1678">
        <v>46</v>
      </c>
      <c r="D1678" t="s">
        <v>16</v>
      </c>
      <c r="E1678" t="s">
        <v>17</v>
      </c>
      <c r="F1678" s="1">
        <v>45492</v>
      </c>
      <c r="G1678" s="1">
        <v>46033</v>
      </c>
      <c r="H1678">
        <v>18</v>
      </c>
      <c r="I1678">
        <v>7</v>
      </c>
      <c r="J1678">
        <v>1</v>
      </c>
      <c r="K1678" t="str">
        <f t="shared" si="78"/>
        <v>Jul-2024</v>
      </c>
      <c r="L1678" s="1">
        <f t="shared" ca="1" si="79"/>
        <v>125</v>
      </c>
      <c r="M1678" t="str">
        <f t="shared" si="80"/>
        <v>46+</v>
      </c>
    </row>
    <row r="1679" spans="1:13" x14ac:dyDescent="0.2">
      <c r="A1679" t="s">
        <v>3349</v>
      </c>
      <c r="B1679" t="s">
        <v>3350</v>
      </c>
      <c r="C1679">
        <v>40</v>
      </c>
      <c r="D1679" t="s">
        <v>12</v>
      </c>
      <c r="E1679" t="s">
        <v>17</v>
      </c>
      <c r="F1679" s="1">
        <v>45816</v>
      </c>
      <c r="G1679" s="1">
        <v>46145</v>
      </c>
      <c r="H1679">
        <v>46</v>
      </c>
      <c r="I1679">
        <v>8</v>
      </c>
      <c r="J1679">
        <v>0</v>
      </c>
      <c r="K1679" t="str">
        <f t="shared" si="78"/>
        <v>Jun-2025</v>
      </c>
      <c r="L1679" s="1">
        <f t="shared" ca="1" si="79"/>
        <v>13</v>
      </c>
      <c r="M1679" t="str">
        <f t="shared" si="80"/>
        <v>36-45</v>
      </c>
    </row>
    <row r="1680" spans="1:13" x14ac:dyDescent="0.2">
      <c r="A1680" t="s">
        <v>3351</v>
      </c>
      <c r="B1680" t="s">
        <v>3352</v>
      </c>
      <c r="C1680">
        <v>26</v>
      </c>
      <c r="D1680" t="s">
        <v>12</v>
      </c>
      <c r="E1680" t="s">
        <v>21</v>
      </c>
      <c r="F1680" s="1">
        <v>45341</v>
      </c>
      <c r="G1680" s="1">
        <v>46034</v>
      </c>
      <c r="H1680">
        <v>50</v>
      </c>
      <c r="I1680">
        <v>9</v>
      </c>
      <c r="J1680">
        <v>1</v>
      </c>
      <c r="K1680" t="str">
        <f t="shared" si="78"/>
        <v>Feb-2024</v>
      </c>
      <c r="L1680" s="1">
        <f t="shared" ca="1" si="79"/>
        <v>124</v>
      </c>
      <c r="M1680" t="str">
        <f t="shared" si="80"/>
        <v>26-35</v>
      </c>
    </row>
    <row r="1681" spans="1:13" x14ac:dyDescent="0.2">
      <c r="A1681" t="s">
        <v>3353</v>
      </c>
      <c r="B1681" t="s">
        <v>3354</v>
      </c>
      <c r="C1681">
        <v>30</v>
      </c>
      <c r="D1681" t="s">
        <v>16</v>
      </c>
      <c r="E1681" t="s">
        <v>13</v>
      </c>
      <c r="F1681" s="1">
        <v>45945</v>
      </c>
      <c r="G1681" s="1">
        <v>46048</v>
      </c>
      <c r="H1681">
        <v>79</v>
      </c>
      <c r="I1681">
        <v>3</v>
      </c>
      <c r="J1681">
        <v>0</v>
      </c>
      <c r="K1681" t="str">
        <f t="shared" si="78"/>
        <v>Oct-2025</v>
      </c>
      <c r="L1681" s="1">
        <f t="shared" ca="1" si="79"/>
        <v>110</v>
      </c>
      <c r="M1681" t="str">
        <f t="shared" si="80"/>
        <v>26-35</v>
      </c>
    </row>
    <row r="1682" spans="1:13" x14ac:dyDescent="0.2">
      <c r="A1682" t="s">
        <v>3355</v>
      </c>
      <c r="B1682" t="s">
        <v>3356</v>
      </c>
      <c r="C1682">
        <v>39</v>
      </c>
      <c r="D1682" t="s">
        <v>20</v>
      </c>
      <c r="E1682" t="s">
        <v>17</v>
      </c>
      <c r="F1682" s="1">
        <v>45553</v>
      </c>
      <c r="G1682" s="1">
        <v>46088</v>
      </c>
      <c r="H1682">
        <v>10</v>
      </c>
      <c r="I1682">
        <v>1</v>
      </c>
      <c r="J1682">
        <v>1</v>
      </c>
      <c r="K1682" t="str">
        <f t="shared" si="78"/>
        <v>Sep-2024</v>
      </c>
      <c r="L1682" s="1">
        <f t="shared" ca="1" si="79"/>
        <v>70</v>
      </c>
      <c r="M1682" t="str">
        <f t="shared" si="80"/>
        <v>36-45</v>
      </c>
    </row>
    <row r="1683" spans="1:13" x14ac:dyDescent="0.2">
      <c r="A1683" t="s">
        <v>3357</v>
      </c>
      <c r="B1683" t="s">
        <v>3358</v>
      </c>
      <c r="C1683">
        <v>38</v>
      </c>
      <c r="D1683" t="s">
        <v>16</v>
      </c>
      <c r="E1683" t="s">
        <v>21</v>
      </c>
      <c r="F1683" s="1">
        <v>45256</v>
      </c>
      <c r="G1683" s="1">
        <v>46064</v>
      </c>
      <c r="H1683">
        <v>59</v>
      </c>
      <c r="I1683">
        <v>2</v>
      </c>
      <c r="J1683">
        <v>1</v>
      </c>
      <c r="K1683" t="str">
        <f t="shared" si="78"/>
        <v>Nov-2023</v>
      </c>
      <c r="L1683" s="1">
        <f t="shared" ca="1" si="79"/>
        <v>94</v>
      </c>
      <c r="M1683" t="str">
        <f t="shared" si="80"/>
        <v>36-45</v>
      </c>
    </row>
    <row r="1684" spans="1:13" x14ac:dyDescent="0.2">
      <c r="A1684" t="s">
        <v>3359</v>
      </c>
      <c r="B1684" t="s">
        <v>3360</v>
      </c>
      <c r="C1684">
        <v>60</v>
      </c>
      <c r="D1684" t="s">
        <v>20</v>
      </c>
      <c r="E1684" t="s">
        <v>13</v>
      </c>
      <c r="F1684" s="1">
        <v>45899</v>
      </c>
      <c r="G1684" s="1">
        <v>46087</v>
      </c>
      <c r="H1684">
        <v>78</v>
      </c>
      <c r="I1684">
        <v>4</v>
      </c>
      <c r="J1684">
        <v>1</v>
      </c>
      <c r="K1684" t="str">
        <f t="shared" si="78"/>
        <v>Aug-2025</v>
      </c>
      <c r="L1684" s="1">
        <f t="shared" ca="1" si="79"/>
        <v>71</v>
      </c>
      <c r="M1684" t="str">
        <f t="shared" si="80"/>
        <v>46+</v>
      </c>
    </row>
    <row r="1685" spans="1:13" x14ac:dyDescent="0.2">
      <c r="A1685" t="s">
        <v>3361</v>
      </c>
      <c r="B1685" t="s">
        <v>3362</v>
      </c>
      <c r="C1685">
        <v>28</v>
      </c>
      <c r="D1685" t="s">
        <v>16</v>
      </c>
      <c r="E1685" t="s">
        <v>21</v>
      </c>
      <c r="F1685" s="1">
        <v>46019</v>
      </c>
      <c r="G1685" s="1">
        <v>46072</v>
      </c>
      <c r="H1685">
        <v>35</v>
      </c>
      <c r="I1685">
        <v>2</v>
      </c>
      <c r="J1685">
        <v>1</v>
      </c>
      <c r="K1685" t="str">
        <f t="shared" si="78"/>
        <v>Dec-2025</v>
      </c>
      <c r="L1685" s="1">
        <f t="shared" ca="1" si="79"/>
        <v>86</v>
      </c>
      <c r="M1685" t="str">
        <f t="shared" si="80"/>
        <v>26-35</v>
      </c>
    </row>
    <row r="1686" spans="1:13" x14ac:dyDescent="0.2">
      <c r="A1686" t="s">
        <v>3363</v>
      </c>
      <c r="B1686" t="s">
        <v>3364</v>
      </c>
      <c r="C1686">
        <v>19</v>
      </c>
      <c r="D1686" t="s">
        <v>12</v>
      </c>
      <c r="E1686" t="s">
        <v>17</v>
      </c>
      <c r="F1686" s="1">
        <v>46094</v>
      </c>
      <c r="G1686" s="1">
        <v>46107</v>
      </c>
      <c r="H1686">
        <v>43</v>
      </c>
      <c r="I1686">
        <v>7</v>
      </c>
      <c r="J1686">
        <v>0</v>
      </c>
      <c r="K1686" t="str">
        <f t="shared" si="78"/>
        <v>Mar-2026</v>
      </c>
      <c r="L1686" s="1">
        <f t="shared" ca="1" si="79"/>
        <v>51</v>
      </c>
      <c r="M1686" t="str">
        <f t="shared" si="80"/>
        <v>18-25</v>
      </c>
    </row>
    <row r="1687" spans="1:13" x14ac:dyDescent="0.2">
      <c r="A1687" t="s">
        <v>3365</v>
      </c>
      <c r="B1687" t="s">
        <v>3366</v>
      </c>
      <c r="C1687">
        <v>28</v>
      </c>
      <c r="D1687" t="s">
        <v>12</v>
      </c>
      <c r="E1687" t="s">
        <v>13</v>
      </c>
      <c r="F1687" s="1">
        <v>45851</v>
      </c>
      <c r="G1687" s="1">
        <v>46091</v>
      </c>
      <c r="H1687">
        <v>1</v>
      </c>
      <c r="I1687">
        <v>9</v>
      </c>
      <c r="J1687">
        <v>1</v>
      </c>
      <c r="K1687" t="str">
        <f t="shared" si="78"/>
        <v>Jul-2025</v>
      </c>
      <c r="L1687" s="1">
        <f t="shared" ca="1" si="79"/>
        <v>67</v>
      </c>
      <c r="M1687" t="str">
        <f t="shared" si="80"/>
        <v>26-35</v>
      </c>
    </row>
    <row r="1688" spans="1:13" x14ac:dyDescent="0.2">
      <c r="A1688" t="s">
        <v>3367</v>
      </c>
      <c r="B1688" t="s">
        <v>3368</v>
      </c>
      <c r="C1688">
        <v>46</v>
      </c>
      <c r="D1688" t="s">
        <v>12</v>
      </c>
      <c r="E1688" t="s">
        <v>13</v>
      </c>
      <c r="F1688" s="1">
        <v>45669</v>
      </c>
      <c r="G1688" s="1">
        <v>46052</v>
      </c>
      <c r="H1688">
        <v>62</v>
      </c>
      <c r="I1688">
        <v>6</v>
      </c>
      <c r="J1688">
        <v>1</v>
      </c>
      <c r="K1688" t="str">
        <f t="shared" si="78"/>
        <v>Jan-2025</v>
      </c>
      <c r="L1688" s="1">
        <f t="shared" ca="1" si="79"/>
        <v>106</v>
      </c>
      <c r="M1688" t="str">
        <f t="shared" si="80"/>
        <v>46+</v>
      </c>
    </row>
    <row r="1689" spans="1:13" x14ac:dyDescent="0.2">
      <c r="A1689" t="s">
        <v>3369</v>
      </c>
      <c r="B1689" t="s">
        <v>3370</v>
      </c>
      <c r="C1689">
        <v>21</v>
      </c>
      <c r="D1689" t="s">
        <v>20</v>
      </c>
      <c r="E1689" t="s">
        <v>21</v>
      </c>
      <c r="F1689" s="1">
        <v>45584</v>
      </c>
      <c r="G1689" s="1">
        <v>46081</v>
      </c>
      <c r="H1689">
        <v>55</v>
      </c>
      <c r="I1689">
        <v>3</v>
      </c>
      <c r="J1689">
        <v>1</v>
      </c>
      <c r="K1689" t="str">
        <f t="shared" si="78"/>
        <v>Oct-2024</v>
      </c>
      <c r="L1689" s="1">
        <f t="shared" ca="1" si="79"/>
        <v>77</v>
      </c>
      <c r="M1689" t="str">
        <f t="shared" si="80"/>
        <v>18-25</v>
      </c>
    </row>
    <row r="1690" spans="1:13" x14ac:dyDescent="0.2">
      <c r="A1690" t="s">
        <v>3371</v>
      </c>
      <c r="B1690" t="s">
        <v>3372</v>
      </c>
      <c r="C1690">
        <v>29</v>
      </c>
      <c r="D1690" t="s">
        <v>12</v>
      </c>
      <c r="E1690" t="s">
        <v>21</v>
      </c>
      <c r="F1690" s="1">
        <v>45719</v>
      </c>
      <c r="G1690" s="1">
        <v>46065</v>
      </c>
      <c r="H1690">
        <v>13</v>
      </c>
      <c r="I1690">
        <v>8</v>
      </c>
      <c r="J1690">
        <v>0</v>
      </c>
      <c r="K1690" t="str">
        <f t="shared" si="78"/>
        <v>Mar-2025</v>
      </c>
      <c r="L1690" s="1">
        <f t="shared" ca="1" si="79"/>
        <v>93</v>
      </c>
      <c r="M1690" t="str">
        <f t="shared" si="80"/>
        <v>26-35</v>
      </c>
    </row>
    <row r="1691" spans="1:13" x14ac:dyDescent="0.2">
      <c r="A1691" t="s">
        <v>3373</v>
      </c>
      <c r="B1691" t="s">
        <v>3374</v>
      </c>
      <c r="C1691">
        <v>40</v>
      </c>
      <c r="D1691" t="s">
        <v>16</v>
      </c>
      <c r="E1691" t="s">
        <v>21</v>
      </c>
      <c r="F1691" s="1">
        <v>45572</v>
      </c>
      <c r="G1691" s="1">
        <v>46039</v>
      </c>
      <c r="H1691">
        <v>69</v>
      </c>
      <c r="I1691">
        <v>5</v>
      </c>
      <c r="J1691">
        <v>0</v>
      </c>
      <c r="K1691" t="str">
        <f t="shared" si="78"/>
        <v>Oct-2024</v>
      </c>
      <c r="L1691" s="1">
        <f t="shared" ca="1" si="79"/>
        <v>119</v>
      </c>
      <c r="M1691" t="str">
        <f t="shared" si="80"/>
        <v>36-45</v>
      </c>
    </row>
    <row r="1692" spans="1:13" x14ac:dyDescent="0.2">
      <c r="A1692" t="s">
        <v>3375</v>
      </c>
      <c r="B1692" t="s">
        <v>3376</v>
      </c>
      <c r="C1692">
        <v>34</v>
      </c>
      <c r="D1692" t="s">
        <v>16</v>
      </c>
      <c r="E1692" t="s">
        <v>21</v>
      </c>
      <c r="F1692" s="1">
        <v>45794</v>
      </c>
      <c r="G1692" s="1">
        <v>46106</v>
      </c>
      <c r="H1692">
        <v>74</v>
      </c>
      <c r="I1692">
        <v>4</v>
      </c>
      <c r="J1692">
        <v>1</v>
      </c>
      <c r="K1692" t="str">
        <f t="shared" si="78"/>
        <v>May-2025</v>
      </c>
      <c r="L1692" s="1">
        <f t="shared" ca="1" si="79"/>
        <v>52</v>
      </c>
      <c r="M1692" t="str">
        <f t="shared" si="80"/>
        <v>26-35</v>
      </c>
    </row>
    <row r="1693" spans="1:13" x14ac:dyDescent="0.2">
      <c r="A1693" t="s">
        <v>3377</v>
      </c>
      <c r="B1693" t="s">
        <v>3378</v>
      </c>
      <c r="C1693">
        <v>26</v>
      </c>
      <c r="D1693" t="s">
        <v>16</v>
      </c>
      <c r="E1693" t="s">
        <v>17</v>
      </c>
      <c r="F1693" s="1">
        <v>46010</v>
      </c>
      <c r="G1693" s="1">
        <v>46046</v>
      </c>
      <c r="H1693">
        <v>41</v>
      </c>
      <c r="I1693">
        <v>4</v>
      </c>
      <c r="J1693">
        <v>1</v>
      </c>
      <c r="K1693" t="str">
        <f t="shared" si="78"/>
        <v>Dec-2025</v>
      </c>
      <c r="L1693" s="1">
        <f t="shared" ca="1" si="79"/>
        <v>112</v>
      </c>
      <c r="M1693" t="str">
        <f t="shared" si="80"/>
        <v>26-35</v>
      </c>
    </row>
    <row r="1694" spans="1:13" x14ac:dyDescent="0.2">
      <c r="A1694" t="s">
        <v>3379</v>
      </c>
      <c r="B1694" t="s">
        <v>3380</v>
      </c>
      <c r="C1694">
        <v>26</v>
      </c>
      <c r="D1694" t="s">
        <v>20</v>
      </c>
      <c r="E1694" t="s">
        <v>21</v>
      </c>
      <c r="F1694" s="1">
        <v>45150</v>
      </c>
      <c r="G1694" s="1">
        <v>46084</v>
      </c>
      <c r="H1694">
        <v>65</v>
      </c>
      <c r="I1694">
        <v>5</v>
      </c>
      <c r="J1694">
        <v>0</v>
      </c>
      <c r="K1694" t="str">
        <f t="shared" si="78"/>
        <v>Aug-2023</v>
      </c>
      <c r="L1694" s="1">
        <f t="shared" ca="1" si="79"/>
        <v>74</v>
      </c>
      <c r="M1694" t="str">
        <f t="shared" si="80"/>
        <v>26-35</v>
      </c>
    </row>
    <row r="1695" spans="1:13" x14ac:dyDescent="0.2">
      <c r="A1695" t="s">
        <v>3381</v>
      </c>
      <c r="B1695" t="s">
        <v>3382</v>
      </c>
      <c r="C1695">
        <v>19</v>
      </c>
      <c r="D1695" t="s">
        <v>20</v>
      </c>
      <c r="E1695" t="s">
        <v>21</v>
      </c>
      <c r="F1695" s="1">
        <v>45160</v>
      </c>
      <c r="G1695" s="1">
        <v>46076</v>
      </c>
      <c r="H1695">
        <v>14</v>
      </c>
      <c r="I1695">
        <v>1</v>
      </c>
      <c r="J1695">
        <v>1</v>
      </c>
      <c r="K1695" t="str">
        <f t="shared" si="78"/>
        <v>Aug-2023</v>
      </c>
      <c r="L1695" s="1">
        <f t="shared" ca="1" si="79"/>
        <v>82</v>
      </c>
      <c r="M1695" t="str">
        <f t="shared" si="80"/>
        <v>18-25</v>
      </c>
    </row>
    <row r="1696" spans="1:13" x14ac:dyDescent="0.2">
      <c r="A1696" t="s">
        <v>3383</v>
      </c>
      <c r="B1696" t="s">
        <v>3384</v>
      </c>
      <c r="C1696">
        <v>56</v>
      </c>
      <c r="D1696" t="s">
        <v>20</v>
      </c>
      <c r="E1696" t="s">
        <v>17</v>
      </c>
      <c r="F1696" s="1">
        <v>45365</v>
      </c>
      <c r="G1696" s="1">
        <v>46084</v>
      </c>
      <c r="H1696">
        <v>65</v>
      </c>
      <c r="I1696">
        <v>4</v>
      </c>
      <c r="J1696">
        <v>1</v>
      </c>
      <c r="K1696" t="str">
        <f t="shared" si="78"/>
        <v>Mar-2024</v>
      </c>
      <c r="L1696" s="1">
        <f t="shared" ca="1" si="79"/>
        <v>74</v>
      </c>
      <c r="M1696" t="str">
        <f t="shared" si="80"/>
        <v>46+</v>
      </c>
    </row>
    <row r="1697" spans="1:13" x14ac:dyDescent="0.2">
      <c r="A1697" t="s">
        <v>3385</v>
      </c>
      <c r="B1697" t="s">
        <v>3386</v>
      </c>
      <c r="C1697">
        <v>42</v>
      </c>
      <c r="D1697" t="s">
        <v>16</v>
      </c>
      <c r="E1697" t="s">
        <v>13</v>
      </c>
      <c r="F1697" s="1">
        <v>45429</v>
      </c>
      <c r="G1697" s="1">
        <v>46147</v>
      </c>
      <c r="H1697">
        <v>68</v>
      </c>
      <c r="I1697">
        <v>3</v>
      </c>
      <c r="J1697">
        <v>1</v>
      </c>
      <c r="K1697" t="str">
        <f t="shared" si="78"/>
        <v>May-2024</v>
      </c>
      <c r="L1697" s="1">
        <f t="shared" ca="1" si="79"/>
        <v>11</v>
      </c>
      <c r="M1697" t="str">
        <f t="shared" si="80"/>
        <v>36-45</v>
      </c>
    </row>
    <row r="1698" spans="1:13" x14ac:dyDescent="0.2">
      <c r="A1698" t="s">
        <v>3387</v>
      </c>
      <c r="B1698" t="s">
        <v>3388</v>
      </c>
      <c r="C1698">
        <v>20</v>
      </c>
      <c r="D1698" t="s">
        <v>16</v>
      </c>
      <c r="E1698" t="s">
        <v>21</v>
      </c>
      <c r="F1698" s="1">
        <v>45455</v>
      </c>
      <c r="G1698" s="1">
        <v>46130</v>
      </c>
      <c r="H1698">
        <v>67</v>
      </c>
      <c r="I1698">
        <v>7</v>
      </c>
      <c r="J1698">
        <v>1</v>
      </c>
      <c r="K1698" t="str">
        <f t="shared" si="78"/>
        <v>Jun-2024</v>
      </c>
      <c r="L1698" s="1">
        <f t="shared" ca="1" si="79"/>
        <v>28</v>
      </c>
      <c r="M1698" t="str">
        <f t="shared" si="80"/>
        <v>18-25</v>
      </c>
    </row>
    <row r="1699" spans="1:13" x14ac:dyDescent="0.2">
      <c r="A1699" t="s">
        <v>3389</v>
      </c>
      <c r="B1699" t="s">
        <v>3390</v>
      </c>
      <c r="C1699">
        <v>19</v>
      </c>
      <c r="D1699" t="s">
        <v>12</v>
      </c>
      <c r="E1699" t="s">
        <v>13</v>
      </c>
      <c r="F1699" s="1">
        <v>46038</v>
      </c>
      <c r="G1699" s="1">
        <v>46141</v>
      </c>
      <c r="H1699">
        <v>22</v>
      </c>
      <c r="I1699">
        <v>9</v>
      </c>
      <c r="J1699">
        <v>1</v>
      </c>
      <c r="K1699" t="str">
        <f t="shared" si="78"/>
        <v>Jan-2026</v>
      </c>
      <c r="L1699" s="1">
        <f t="shared" ca="1" si="79"/>
        <v>17</v>
      </c>
      <c r="M1699" t="str">
        <f t="shared" si="80"/>
        <v>18-25</v>
      </c>
    </row>
    <row r="1700" spans="1:13" x14ac:dyDescent="0.2">
      <c r="A1700" t="s">
        <v>3391</v>
      </c>
      <c r="B1700" t="s">
        <v>3392</v>
      </c>
      <c r="C1700">
        <v>45</v>
      </c>
      <c r="D1700" t="s">
        <v>12</v>
      </c>
      <c r="E1700" t="s">
        <v>13</v>
      </c>
      <c r="F1700" s="1">
        <v>45990</v>
      </c>
      <c r="G1700" s="1">
        <v>46087</v>
      </c>
      <c r="H1700">
        <v>20</v>
      </c>
      <c r="I1700">
        <v>7</v>
      </c>
      <c r="J1700">
        <v>0</v>
      </c>
      <c r="K1700" t="str">
        <f t="shared" si="78"/>
        <v>Nov-2025</v>
      </c>
      <c r="L1700" s="1">
        <f t="shared" ca="1" si="79"/>
        <v>71</v>
      </c>
      <c r="M1700" t="str">
        <f t="shared" si="80"/>
        <v>36-45</v>
      </c>
    </row>
    <row r="1701" spans="1:13" x14ac:dyDescent="0.2">
      <c r="A1701" t="s">
        <v>3393</v>
      </c>
      <c r="B1701" t="s">
        <v>2750</v>
      </c>
      <c r="C1701">
        <v>36</v>
      </c>
      <c r="D1701" t="s">
        <v>12</v>
      </c>
      <c r="E1701" t="s">
        <v>21</v>
      </c>
      <c r="F1701" s="1">
        <v>45511</v>
      </c>
      <c r="G1701" s="1">
        <v>46138</v>
      </c>
      <c r="H1701">
        <v>64</v>
      </c>
      <c r="I1701">
        <v>2</v>
      </c>
      <c r="J1701">
        <v>1</v>
      </c>
      <c r="K1701" t="str">
        <f t="shared" si="78"/>
        <v>Aug-2024</v>
      </c>
      <c r="L1701" s="1">
        <f t="shared" ca="1" si="79"/>
        <v>20</v>
      </c>
      <c r="M1701" t="str">
        <f t="shared" si="80"/>
        <v>36-45</v>
      </c>
    </row>
    <row r="1702" spans="1:13" x14ac:dyDescent="0.2">
      <c r="A1702" t="s">
        <v>3394</v>
      </c>
      <c r="B1702" t="s">
        <v>3395</v>
      </c>
      <c r="C1702">
        <v>54</v>
      </c>
      <c r="D1702" t="s">
        <v>20</v>
      </c>
      <c r="E1702" t="s">
        <v>21</v>
      </c>
      <c r="F1702" s="1">
        <v>45503</v>
      </c>
      <c r="G1702" s="1">
        <v>46134</v>
      </c>
      <c r="H1702">
        <v>25</v>
      </c>
      <c r="I1702">
        <v>1</v>
      </c>
      <c r="J1702">
        <v>1</v>
      </c>
      <c r="K1702" t="str">
        <f t="shared" si="78"/>
        <v>Jul-2024</v>
      </c>
      <c r="L1702" s="1">
        <f t="shared" ca="1" si="79"/>
        <v>24</v>
      </c>
      <c r="M1702" t="str">
        <f t="shared" si="80"/>
        <v>46+</v>
      </c>
    </row>
    <row r="1703" spans="1:13" x14ac:dyDescent="0.2">
      <c r="A1703" t="s">
        <v>3396</v>
      </c>
      <c r="B1703" t="s">
        <v>3397</v>
      </c>
      <c r="C1703">
        <v>49</v>
      </c>
      <c r="D1703" t="s">
        <v>16</v>
      </c>
      <c r="E1703" t="s">
        <v>21</v>
      </c>
      <c r="F1703" s="1">
        <v>45702</v>
      </c>
      <c r="G1703" s="1">
        <v>46036</v>
      </c>
      <c r="H1703">
        <v>37</v>
      </c>
      <c r="I1703">
        <v>7</v>
      </c>
      <c r="J1703">
        <v>0</v>
      </c>
      <c r="K1703" t="str">
        <f t="shared" si="78"/>
        <v>Feb-2025</v>
      </c>
      <c r="L1703" s="1">
        <f t="shared" ca="1" si="79"/>
        <v>122</v>
      </c>
      <c r="M1703" t="str">
        <f t="shared" si="80"/>
        <v>46+</v>
      </c>
    </row>
    <row r="1704" spans="1:13" x14ac:dyDescent="0.2">
      <c r="A1704" t="s">
        <v>3398</v>
      </c>
      <c r="B1704" t="s">
        <v>3399</v>
      </c>
      <c r="C1704">
        <v>57</v>
      </c>
      <c r="D1704" t="s">
        <v>12</v>
      </c>
      <c r="E1704" t="s">
        <v>13</v>
      </c>
      <c r="F1704" s="1">
        <v>45572</v>
      </c>
      <c r="G1704" s="1">
        <v>46069</v>
      </c>
      <c r="H1704">
        <v>74</v>
      </c>
      <c r="I1704">
        <v>8</v>
      </c>
      <c r="J1704">
        <v>0</v>
      </c>
      <c r="K1704" t="str">
        <f t="shared" si="78"/>
        <v>Oct-2024</v>
      </c>
      <c r="L1704" s="1">
        <f t="shared" ca="1" si="79"/>
        <v>89</v>
      </c>
      <c r="M1704" t="str">
        <f t="shared" si="80"/>
        <v>46+</v>
      </c>
    </row>
    <row r="1705" spans="1:13" x14ac:dyDescent="0.2">
      <c r="A1705" t="s">
        <v>3400</v>
      </c>
      <c r="B1705" t="s">
        <v>3401</v>
      </c>
      <c r="C1705">
        <v>18</v>
      </c>
      <c r="D1705" t="s">
        <v>16</v>
      </c>
      <c r="E1705" t="s">
        <v>13</v>
      </c>
      <c r="F1705" s="1">
        <v>45702</v>
      </c>
      <c r="G1705" s="1">
        <v>46040</v>
      </c>
      <c r="H1705">
        <v>79</v>
      </c>
      <c r="I1705">
        <v>2</v>
      </c>
      <c r="J1705">
        <v>1</v>
      </c>
      <c r="K1705" t="str">
        <f t="shared" si="78"/>
        <v>Feb-2025</v>
      </c>
      <c r="L1705" s="1">
        <f t="shared" ca="1" si="79"/>
        <v>118</v>
      </c>
      <c r="M1705" t="str">
        <f t="shared" si="80"/>
        <v>18-25</v>
      </c>
    </row>
    <row r="1706" spans="1:13" x14ac:dyDescent="0.2">
      <c r="A1706" t="s">
        <v>3402</v>
      </c>
      <c r="B1706" t="s">
        <v>3403</v>
      </c>
      <c r="C1706">
        <v>46</v>
      </c>
      <c r="D1706" t="s">
        <v>20</v>
      </c>
      <c r="E1706" t="s">
        <v>13</v>
      </c>
      <c r="F1706" s="1">
        <v>45421</v>
      </c>
      <c r="G1706" s="1">
        <v>46040</v>
      </c>
      <c r="H1706">
        <v>56</v>
      </c>
      <c r="I1706">
        <v>8</v>
      </c>
      <c r="J1706">
        <v>0</v>
      </c>
      <c r="K1706" t="str">
        <f t="shared" si="78"/>
        <v>May-2024</v>
      </c>
      <c r="L1706" s="1">
        <f t="shared" ca="1" si="79"/>
        <v>118</v>
      </c>
      <c r="M1706" t="str">
        <f t="shared" si="80"/>
        <v>46+</v>
      </c>
    </row>
    <row r="1707" spans="1:13" x14ac:dyDescent="0.2">
      <c r="A1707" t="s">
        <v>3404</v>
      </c>
      <c r="B1707" t="s">
        <v>3405</v>
      </c>
      <c r="C1707">
        <v>56</v>
      </c>
      <c r="D1707" t="s">
        <v>16</v>
      </c>
      <c r="E1707" t="s">
        <v>21</v>
      </c>
      <c r="F1707" s="1">
        <v>45687</v>
      </c>
      <c r="G1707" s="1">
        <v>46146</v>
      </c>
      <c r="H1707">
        <v>0</v>
      </c>
      <c r="I1707">
        <v>8</v>
      </c>
      <c r="J1707">
        <v>0</v>
      </c>
      <c r="K1707" t="str">
        <f t="shared" si="78"/>
        <v>Jan-2025</v>
      </c>
      <c r="L1707" s="1">
        <f t="shared" ca="1" si="79"/>
        <v>12</v>
      </c>
      <c r="M1707" t="str">
        <f t="shared" si="80"/>
        <v>46+</v>
      </c>
    </row>
    <row r="1708" spans="1:13" x14ac:dyDescent="0.2">
      <c r="A1708" t="s">
        <v>3406</v>
      </c>
      <c r="B1708" t="s">
        <v>3407</v>
      </c>
      <c r="C1708">
        <v>48</v>
      </c>
      <c r="D1708" t="s">
        <v>12</v>
      </c>
      <c r="E1708" t="s">
        <v>21</v>
      </c>
      <c r="F1708" s="1">
        <v>45817</v>
      </c>
      <c r="G1708" s="1">
        <v>46083</v>
      </c>
      <c r="H1708">
        <v>77</v>
      </c>
      <c r="I1708">
        <v>6</v>
      </c>
      <c r="J1708">
        <v>0</v>
      </c>
      <c r="K1708" t="str">
        <f t="shared" si="78"/>
        <v>Jun-2025</v>
      </c>
      <c r="L1708" s="1">
        <f t="shared" ca="1" si="79"/>
        <v>75</v>
      </c>
      <c r="M1708" t="str">
        <f t="shared" si="80"/>
        <v>46+</v>
      </c>
    </row>
    <row r="1709" spans="1:13" x14ac:dyDescent="0.2">
      <c r="A1709" t="s">
        <v>3408</v>
      </c>
      <c r="B1709" t="s">
        <v>3409</v>
      </c>
      <c r="C1709">
        <v>50</v>
      </c>
      <c r="D1709" t="s">
        <v>20</v>
      </c>
      <c r="E1709" t="s">
        <v>17</v>
      </c>
      <c r="F1709" s="1">
        <v>46029</v>
      </c>
      <c r="G1709" s="1">
        <v>46058</v>
      </c>
      <c r="H1709">
        <v>43</v>
      </c>
      <c r="I1709">
        <v>2</v>
      </c>
      <c r="J1709">
        <v>1</v>
      </c>
      <c r="K1709" t="str">
        <f t="shared" si="78"/>
        <v>Jan-2026</v>
      </c>
      <c r="L1709" s="1">
        <f t="shared" ca="1" si="79"/>
        <v>100</v>
      </c>
      <c r="M1709" t="str">
        <f t="shared" si="80"/>
        <v>46+</v>
      </c>
    </row>
    <row r="1710" spans="1:13" x14ac:dyDescent="0.2">
      <c r="A1710" t="s">
        <v>3410</v>
      </c>
      <c r="B1710" t="s">
        <v>3411</v>
      </c>
      <c r="C1710">
        <v>18</v>
      </c>
      <c r="D1710" t="s">
        <v>20</v>
      </c>
      <c r="E1710" t="s">
        <v>21</v>
      </c>
      <c r="F1710" s="1">
        <v>45201</v>
      </c>
      <c r="G1710" s="1">
        <v>46069</v>
      </c>
      <c r="H1710">
        <v>50</v>
      </c>
      <c r="I1710">
        <v>4</v>
      </c>
      <c r="J1710">
        <v>1</v>
      </c>
      <c r="K1710" t="str">
        <f t="shared" si="78"/>
        <v>Oct-2023</v>
      </c>
      <c r="L1710" s="1">
        <f t="shared" ca="1" si="79"/>
        <v>89</v>
      </c>
      <c r="M1710" t="str">
        <f t="shared" si="80"/>
        <v>18-25</v>
      </c>
    </row>
    <row r="1711" spans="1:13" x14ac:dyDescent="0.2">
      <c r="A1711" t="s">
        <v>3412</v>
      </c>
      <c r="B1711" t="s">
        <v>3413</v>
      </c>
      <c r="C1711">
        <v>18</v>
      </c>
      <c r="D1711" t="s">
        <v>12</v>
      </c>
      <c r="E1711" t="s">
        <v>13</v>
      </c>
      <c r="F1711" s="1">
        <v>45756</v>
      </c>
      <c r="G1711" s="1">
        <v>46116</v>
      </c>
      <c r="H1711">
        <v>75</v>
      </c>
      <c r="I1711">
        <v>1</v>
      </c>
      <c r="J1711">
        <v>0</v>
      </c>
      <c r="K1711" t="str">
        <f t="shared" si="78"/>
        <v>Apr-2025</v>
      </c>
      <c r="L1711" s="1">
        <f t="shared" ca="1" si="79"/>
        <v>42</v>
      </c>
      <c r="M1711" t="str">
        <f t="shared" si="80"/>
        <v>18-25</v>
      </c>
    </row>
    <row r="1712" spans="1:13" x14ac:dyDescent="0.2">
      <c r="A1712" t="s">
        <v>3414</v>
      </c>
      <c r="B1712" t="s">
        <v>3415</v>
      </c>
      <c r="C1712">
        <v>29</v>
      </c>
      <c r="D1712" t="s">
        <v>20</v>
      </c>
      <c r="E1712" t="s">
        <v>13</v>
      </c>
      <c r="F1712" s="1">
        <v>45279</v>
      </c>
      <c r="G1712" s="1">
        <v>46095</v>
      </c>
      <c r="H1712">
        <v>15</v>
      </c>
      <c r="I1712">
        <v>4</v>
      </c>
      <c r="J1712">
        <v>0</v>
      </c>
      <c r="K1712" t="str">
        <f t="shared" si="78"/>
        <v>Dec-2023</v>
      </c>
      <c r="L1712" s="1">
        <f t="shared" ca="1" si="79"/>
        <v>63</v>
      </c>
      <c r="M1712" t="str">
        <f t="shared" si="80"/>
        <v>26-35</v>
      </c>
    </row>
    <row r="1713" spans="1:13" x14ac:dyDescent="0.2">
      <c r="A1713" t="s">
        <v>3416</v>
      </c>
      <c r="B1713" t="s">
        <v>3417</v>
      </c>
      <c r="C1713">
        <v>45</v>
      </c>
      <c r="D1713" t="s">
        <v>16</v>
      </c>
      <c r="E1713" t="s">
        <v>21</v>
      </c>
      <c r="F1713" s="1">
        <v>45319</v>
      </c>
      <c r="G1713" s="1">
        <v>46143</v>
      </c>
      <c r="H1713">
        <v>6</v>
      </c>
      <c r="I1713">
        <v>1</v>
      </c>
      <c r="J1713">
        <v>0</v>
      </c>
      <c r="K1713" t="str">
        <f t="shared" si="78"/>
        <v>Jan-2024</v>
      </c>
      <c r="L1713" s="1">
        <f t="shared" ca="1" si="79"/>
        <v>15</v>
      </c>
      <c r="M1713" t="str">
        <f t="shared" si="80"/>
        <v>36-45</v>
      </c>
    </row>
    <row r="1714" spans="1:13" x14ac:dyDescent="0.2">
      <c r="A1714" t="s">
        <v>3418</v>
      </c>
      <c r="B1714" t="s">
        <v>3419</v>
      </c>
      <c r="C1714">
        <v>53</v>
      </c>
      <c r="D1714" t="s">
        <v>20</v>
      </c>
      <c r="E1714" t="s">
        <v>17</v>
      </c>
      <c r="F1714" s="1">
        <v>45396</v>
      </c>
      <c r="G1714" s="1">
        <v>46099</v>
      </c>
      <c r="H1714">
        <v>54</v>
      </c>
      <c r="I1714">
        <v>3</v>
      </c>
      <c r="J1714">
        <v>1</v>
      </c>
      <c r="K1714" t="str">
        <f t="shared" si="78"/>
        <v>Apr-2024</v>
      </c>
      <c r="L1714" s="1">
        <f t="shared" ca="1" si="79"/>
        <v>59</v>
      </c>
      <c r="M1714" t="str">
        <f t="shared" si="80"/>
        <v>46+</v>
      </c>
    </row>
    <row r="1715" spans="1:13" x14ac:dyDescent="0.2">
      <c r="A1715" t="s">
        <v>3420</v>
      </c>
      <c r="B1715" t="s">
        <v>3421</v>
      </c>
      <c r="C1715">
        <v>29</v>
      </c>
      <c r="D1715" t="s">
        <v>16</v>
      </c>
      <c r="E1715" t="s">
        <v>13</v>
      </c>
      <c r="F1715" s="1">
        <v>45758</v>
      </c>
      <c r="G1715" s="1">
        <v>46051</v>
      </c>
      <c r="H1715">
        <v>43</v>
      </c>
      <c r="I1715">
        <v>3</v>
      </c>
      <c r="J1715">
        <v>0</v>
      </c>
      <c r="K1715" t="str">
        <f t="shared" si="78"/>
        <v>Apr-2025</v>
      </c>
      <c r="L1715" s="1">
        <f t="shared" ca="1" si="79"/>
        <v>107</v>
      </c>
      <c r="M1715" t="str">
        <f t="shared" si="80"/>
        <v>26-35</v>
      </c>
    </row>
    <row r="1716" spans="1:13" x14ac:dyDescent="0.2">
      <c r="A1716" t="s">
        <v>3422</v>
      </c>
      <c r="B1716" t="s">
        <v>3423</v>
      </c>
      <c r="C1716">
        <v>31</v>
      </c>
      <c r="D1716" t="s">
        <v>12</v>
      </c>
      <c r="E1716" t="s">
        <v>17</v>
      </c>
      <c r="F1716" s="1">
        <v>45484</v>
      </c>
      <c r="G1716" s="1">
        <v>46064</v>
      </c>
      <c r="H1716">
        <v>47</v>
      </c>
      <c r="I1716">
        <v>7</v>
      </c>
      <c r="J1716">
        <v>0</v>
      </c>
      <c r="K1716" t="str">
        <f t="shared" si="78"/>
        <v>Jul-2024</v>
      </c>
      <c r="L1716" s="1">
        <f t="shared" ca="1" si="79"/>
        <v>94</v>
      </c>
      <c r="M1716" t="str">
        <f t="shared" si="80"/>
        <v>26-35</v>
      </c>
    </row>
    <row r="1717" spans="1:13" x14ac:dyDescent="0.2">
      <c r="A1717" t="s">
        <v>3424</v>
      </c>
      <c r="B1717" t="s">
        <v>3425</v>
      </c>
      <c r="C1717">
        <v>46</v>
      </c>
      <c r="D1717" t="s">
        <v>20</v>
      </c>
      <c r="E1717" t="s">
        <v>21</v>
      </c>
      <c r="F1717" s="1">
        <v>45719</v>
      </c>
      <c r="G1717" s="1">
        <v>46086</v>
      </c>
      <c r="H1717">
        <v>30</v>
      </c>
      <c r="I1717">
        <v>2</v>
      </c>
      <c r="J1717">
        <v>0</v>
      </c>
      <c r="K1717" t="str">
        <f t="shared" si="78"/>
        <v>Mar-2025</v>
      </c>
      <c r="L1717" s="1">
        <f t="shared" ca="1" si="79"/>
        <v>72</v>
      </c>
      <c r="M1717" t="str">
        <f t="shared" si="80"/>
        <v>46+</v>
      </c>
    </row>
    <row r="1718" spans="1:13" x14ac:dyDescent="0.2">
      <c r="A1718" t="s">
        <v>3426</v>
      </c>
      <c r="B1718" t="s">
        <v>3427</v>
      </c>
      <c r="C1718">
        <v>20</v>
      </c>
      <c r="D1718" t="s">
        <v>20</v>
      </c>
      <c r="E1718" t="s">
        <v>21</v>
      </c>
      <c r="F1718" s="1">
        <v>45956</v>
      </c>
      <c r="G1718" s="1">
        <v>46079</v>
      </c>
      <c r="H1718">
        <v>25</v>
      </c>
      <c r="I1718">
        <v>9</v>
      </c>
      <c r="J1718">
        <v>1</v>
      </c>
      <c r="K1718" t="str">
        <f t="shared" si="78"/>
        <v>Oct-2025</v>
      </c>
      <c r="L1718" s="1">
        <f t="shared" ca="1" si="79"/>
        <v>79</v>
      </c>
      <c r="M1718" t="str">
        <f t="shared" si="80"/>
        <v>18-25</v>
      </c>
    </row>
    <row r="1719" spans="1:13" x14ac:dyDescent="0.2">
      <c r="A1719" t="s">
        <v>3428</v>
      </c>
      <c r="B1719" t="s">
        <v>3429</v>
      </c>
      <c r="C1719">
        <v>40</v>
      </c>
      <c r="D1719" t="s">
        <v>12</v>
      </c>
      <c r="E1719" t="s">
        <v>21</v>
      </c>
      <c r="F1719" s="1">
        <v>45773</v>
      </c>
      <c r="G1719" s="1">
        <v>46069</v>
      </c>
      <c r="H1719">
        <v>50</v>
      </c>
      <c r="I1719">
        <v>2</v>
      </c>
      <c r="J1719">
        <v>1</v>
      </c>
      <c r="K1719" t="str">
        <f t="shared" si="78"/>
        <v>Apr-2025</v>
      </c>
      <c r="L1719" s="1">
        <f t="shared" ca="1" si="79"/>
        <v>89</v>
      </c>
      <c r="M1719" t="str">
        <f t="shared" si="80"/>
        <v>36-45</v>
      </c>
    </row>
    <row r="1720" spans="1:13" x14ac:dyDescent="0.2">
      <c r="A1720" t="s">
        <v>3430</v>
      </c>
      <c r="B1720" t="s">
        <v>3431</v>
      </c>
      <c r="C1720">
        <v>58</v>
      </c>
      <c r="D1720" t="s">
        <v>16</v>
      </c>
      <c r="E1720" t="s">
        <v>17</v>
      </c>
      <c r="F1720" s="1">
        <v>45242</v>
      </c>
      <c r="G1720" s="1">
        <v>46035</v>
      </c>
      <c r="H1720">
        <v>36</v>
      </c>
      <c r="I1720">
        <v>10</v>
      </c>
      <c r="J1720">
        <v>1</v>
      </c>
      <c r="K1720" t="str">
        <f t="shared" si="78"/>
        <v>Nov-2023</v>
      </c>
      <c r="L1720" s="1">
        <f t="shared" ca="1" si="79"/>
        <v>123</v>
      </c>
      <c r="M1720" t="str">
        <f t="shared" si="80"/>
        <v>46+</v>
      </c>
    </row>
    <row r="1721" spans="1:13" x14ac:dyDescent="0.2">
      <c r="A1721" t="s">
        <v>3432</v>
      </c>
      <c r="B1721" t="s">
        <v>3433</v>
      </c>
      <c r="C1721">
        <v>53</v>
      </c>
      <c r="D1721" t="s">
        <v>20</v>
      </c>
      <c r="E1721" t="s">
        <v>21</v>
      </c>
      <c r="F1721" s="1">
        <v>45690</v>
      </c>
      <c r="G1721" s="1">
        <v>46113</v>
      </c>
      <c r="H1721">
        <v>15</v>
      </c>
      <c r="I1721">
        <v>10</v>
      </c>
      <c r="J1721">
        <v>1</v>
      </c>
      <c r="K1721" t="str">
        <f t="shared" si="78"/>
        <v>Feb-2025</v>
      </c>
      <c r="L1721" s="1">
        <f t="shared" ca="1" si="79"/>
        <v>45</v>
      </c>
      <c r="M1721" t="str">
        <f t="shared" si="80"/>
        <v>46+</v>
      </c>
    </row>
    <row r="1722" spans="1:13" x14ac:dyDescent="0.2">
      <c r="A1722" t="s">
        <v>3434</v>
      </c>
      <c r="B1722" t="s">
        <v>3435</v>
      </c>
      <c r="C1722">
        <v>59</v>
      </c>
      <c r="D1722" t="s">
        <v>16</v>
      </c>
      <c r="E1722" t="s">
        <v>13</v>
      </c>
      <c r="F1722" s="1">
        <v>45659</v>
      </c>
      <c r="G1722" s="1">
        <v>46134</v>
      </c>
      <c r="H1722">
        <v>29</v>
      </c>
      <c r="I1722">
        <v>3</v>
      </c>
      <c r="J1722">
        <v>0</v>
      </c>
      <c r="K1722" t="str">
        <f t="shared" si="78"/>
        <v>Jan-2025</v>
      </c>
      <c r="L1722" s="1">
        <f t="shared" ca="1" si="79"/>
        <v>24</v>
      </c>
      <c r="M1722" t="str">
        <f t="shared" si="80"/>
        <v>46+</v>
      </c>
    </row>
    <row r="1723" spans="1:13" x14ac:dyDescent="0.2">
      <c r="A1723" t="s">
        <v>3436</v>
      </c>
      <c r="B1723" t="s">
        <v>3437</v>
      </c>
      <c r="C1723">
        <v>32</v>
      </c>
      <c r="D1723" t="s">
        <v>20</v>
      </c>
      <c r="E1723" t="s">
        <v>17</v>
      </c>
      <c r="F1723" s="1">
        <v>46119</v>
      </c>
      <c r="G1723" s="1">
        <v>46115</v>
      </c>
      <c r="H1723">
        <v>17</v>
      </c>
      <c r="I1723">
        <v>7</v>
      </c>
      <c r="J1723">
        <v>0</v>
      </c>
      <c r="K1723" t="str">
        <f t="shared" si="78"/>
        <v>Apr-2026</v>
      </c>
      <c r="L1723" s="1">
        <f t="shared" ca="1" si="79"/>
        <v>43</v>
      </c>
      <c r="M1723" t="str">
        <f t="shared" si="80"/>
        <v>26-35</v>
      </c>
    </row>
    <row r="1724" spans="1:13" x14ac:dyDescent="0.2">
      <c r="A1724" t="s">
        <v>3438</v>
      </c>
      <c r="B1724" t="s">
        <v>3439</v>
      </c>
      <c r="C1724">
        <v>52</v>
      </c>
      <c r="D1724" t="s">
        <v>16</v>
      </c>
      <c r="E1724" t="s">
        <v>13</v>
      </c>
      <c r="F1724" s="1">
        <v>46021</v>
      </c>
      <c r="G1724" s="1">
        <v>46039</v>
      </c>
      <c r="H1724">
        <v>69</v>
      </c>
      <c r="I1724">
        <v>9</v>
      </c>
      <c r="J1724">
        <v>0</v>
      </c>
      <c r="K1724" t="str">
        <f t="shared" si="78"/>
        <v>Dec-2025</v>
      </c>
      <c r="L1724" s="1">
        <f t="shared" ca="1" si="79"/>
        <v>119</v>
      </c>
      <c r="M1724" t="str">
        <f t="shared" si="80"/>
        <v>46+</v>
      </c>
    </row>
    <row r="1725" spans="1:13" x14ac:dyDescent="0.2">
      <c r="A1725" t="s">
        <v>3440</v>
      </c>
      <c r="B1725" t="s">
        <v>3441</v>
      </c>
      <c r="C1725">
        <v>38</v>
      </c>
      <c r="D1725" t="s">
        <v>16</v>
      </c>
      <c r="E1725" t="s">
        <v>17</v>
      </c>
      <c r="F1725" s="1">
        <v>45746</v>
      </c>
      <c r="G1725" s="1">
        <v>46113</v>
      </c>
      <c r="H1725">
        <v>76</v>
      </c>
      <c r="I1725">
        <v>6</v>
      </c>
      <c r="J1725">
        <v>0</v>
      </c>
      <c r="K1725" t="str">
        <f t="shared" si="78"/>
        <v>Mar-2025</v>
      </c>
      <c r="L1725" s="1">
        <f t="shared" ca="1" si="79"/>
        <v>45</v>
      </c>
      <c r="M1725" t="str">
        <f t="shared" si="80"/>
        <v>36-45</v>
      </c>
    </row>
    <row r="1726" spans="1:13" x14ac:dyDescent="0.2">
      <c r="A1726" t="s">
        <v>3442</v>
      </c>
      <c r="B1726" t="s">
        <v>3443</v>
      </c>
      <c r="C1726">
        <v>21</v>
      </c>
      <c r="D1726" t="s">
        <v>16</v>
      </c>
      <c r="E1726" t="s">
        <v>13</v>
      </c>
      <c r="F1726" s="1">
        <v>45897</v>
      </c>
      <c r="G1726" s="1">
        <v>46109</v>
      </c>
      <c r="H1726">
        <v>22</v>
      </c>
      <c r="I1726">
        <v>10</v>
      </c>
      <c r="J1726">
        <v>0</v>
      </c>
      <c r="K1726" t="str">
        <f t="shared" si="78"/>
        <v>Aug-2025</v>
      </c>
      <c r="L1726" s="1">
        <f t="shared" ca="1" si="79"/>
        <v>49</v>
      </c>
      <c r="M1726" t="str">
        <f t="shared" si="80"/>
        <v>18-25</v>
      </c>
    </row>
    <row r="1727" spans="1:13" x14ac:dyDescent="0.2">
      <c r="A1727" t="s">
        <v>3444</v>
      </c>
      <c r="B1727" t="s">
        <v>3445</v>
      </c>
      <c r="C1727">
        <v>30</v>
      </c>
      <c r="D1727" t="s">
        <v>16</v>
      </c>
      <c r="E1727" t="s">
        <v>21</v>
      </c>
      <c r="F1727" s="1">
        <v>45777</v>
      </c>
      <c r="G1727" s="1">
        <v>46126</v>
      </c>
      <c r="H1727">
        <v>79</v>
      </c>
      <c r="I1727">
        <v>6</v>
      </c>
      <c r="J1727">
        <v>0</v>
      </c>
      <c r="K1727" t="str">
        <f t="shared" si="78"/>
        <v>Apr-2025</v>
      </c>
      <c r="L1727" s="1">
        <f t="shared" ca="1" si="79"/>
        <v>32</v>
      </c>
      <c r="M1727" t="str">
        <f t="shared" si="80"/>
        <v>26-35</v>
      </c>
    </row>
    <row r="1728" spans="1:13" x14ac:dyDescent="0.2">
      <c r="A1728" t="s">
        <v>3446</v>
      </c>
      <c r="B1728" t="s">
        <v>3447</v>
      </c>
      <c r="C1728">
        <v>29</v>
      </c>
      <c r="D1728" t="s">
        <v>16</v>
      </c>
      <c r="E1728" t="s">
        <v>13</v>
      </c>
      <c r="F1728" s="1">
        <v>45723</v>
      </c>
      <c r="G1728" s="1">
        <v>46041</v>
      </c>
      <c r="H1728">
        <v>54</v>
      </c>
      <c r="I1728">
        <v>10</v>
      </c>
      <c r="J1728">
        <v>0</v>
      </c>
      <c r="K1728" t="str">
        <f t="shared" si="78"/>
        <v>Mar-2025</v>
      </c>
      <c r="L1728" s="1">
        <f t="shared" ca="1" si="79"/>
        <v>117</v>
      </c>
      <c r="M1728" t="str">
        <f t="shared" si="80"/>
        <v>26-35</v>
      </c>
    </row>
    <row r="1729" spans="1:13" x14ac:dyDescent="0.2">
      <c r="A1729" t="s">
        <v>3448</v>
      </c>
      <c r="B1729" t="s">
        <v>3449</v>
      </c>
      <c r="C1729">
        <v>19</v>
      </c>
      <c r="D1729" t="s">
        <v>16</v>
      </c>
      <c r="E1729" t="s">
        <v>21</v>
      </c>
      <c r="F1729" s="1">
        <v>45823</v>
      </c>
      <c r="G1729" s="1">
        <v>46121</v>
      </c>
      <c r="H1729">
        <v>14</v>
      </c>
      <c r="I1729">
        <v>5</v>
      </c>
      <c r="J1729">
        <v>0</v>
      </c>
      <c r="K1729" t="str">
        <f t="shared" si="78"/>
        <v>Jun-2025</v>
      </c>
      <c r="L1729" s="1">
        <f t="shared" ca="1" si="79"/>
        <v>37</v>
      </c>
      <c r="M1729" t="str">
        <f t="shared" si="80"/>
        <v>18-25</v>
      </c>
    </row>
    <row r="1730" spans="1:13" x14ac:dyDescent="0.2">
      <c r="A1730" t="s">
        <v>3450</v>
      </c>
      <c r="B1730" t="s">
        <v>3451</v>
      </c>
      <c r="C1730">
        <v>24</v>
      </c>
      <c r="D1730" t="s">
        <v>16</v>
      </c>
      <c r="E1730" t="s">
        <v>21</v>
      </c>
      <c r="F1730" s="1">
        <v>45560</v>
      </c>
      <c r="G1730" s="1">
        <v>46093</v>
      </c>
      <c r="H1730">
        <v>55</v>
      </c>
      <c r="I1730">
        <v>7</v>
      </c>
      <c r="J1730">
        <v>0</v>
      </c>
      <c r="K1730" t="str">
        <f t="shared" si="78"/>
        <v>Sep-2024</v>
      </c>
      <c r="L1730" s="1">
        <f t="shared" ca="1" si="79"/>
        <v>65</v>
      </c>
      <c r="M1730" t="str">
        <f t="shared" si="80"/>
        <v>18-25</v>
      </c>
    </row>
    <row r="1731" spans="1:13" x14ac:dyDescent="0.2">
      <c r="A1731" t="s">
        <v>3452</v>
      </c>
      <c r="B1731" t="s">
        <v>3453</v>
      </c>
      <c r="C1731">
        <v>51</v>
      </c>
      <c r="D1731" t="s">
        <v>12</v>
      </c>
      <c r="E1731" t="s">
        <v>17</v>
      </c>
      <c r="F1731" s="1">
        <v>45797</v>
      </c>
      <c r="G1731" s="1">
        <v>46119</v>
      </c>
      <c r="H1731">
        <v>65</v>
      </c>
      <c r="I1731">
        <v>1</v>
      </c>
      <c r="J1731">
        <v>0</v>
      </c>
      <c r="K1731" t="str">
        <f t="shared" ref="K1731:K1794" si="81">TEXT(F1731,"MMM-YYYY")</f>
        <v>May-2025</v>
      </c>
      <c r="L1731" s="1">
        <f t="shared" ref="L1731:L1794" ca="1" si="82">TODAY()-G1731</f>
        <v>39</v>
      </c>
      <c r="M1731" t="str">
        <f t="shared" ref="M1731:M1794" si="83">IF(C1731&lt;=25,"18-25",IF(C1731&lt;=35,"26-35",IF(C1731&lt;=45,"36-45","46+")))</f>
        <v>46+</v>
      </c>
    </row>
    <row r="1732" spans="1:13" x14ac:dyDescent="0.2">
      <c r="A1732" t="s">
        <v>3454</v>
      </c>
      <c r="B1732" t="s">
        <v>3455</v>
      </c>
      <c r="C1732">
        <v>30</v>
      </c>
      <c r="D1732" t="s">
        <v>20</v>
      </c>
      <c r="E1732" t="s">
        <v>13</v>
      </c>
      <c r="F1732" s="1">
        <v>45654</v>
      </c>
      <c r="G1732" s="1">
        <v>46045</v>
      </c>
      <c r="H1732">
        <v>56</v>
      </c>
      <c r="I1732">
        <v>8</v>
      </c>
      <c r="J1732">
        <v>1</v>
      </c>
      <c r="K1732" t="str">
        <f t="shared" si="81"/>
        <v>Dec-2024</v>
      </c>
      <c r="L1732" s="1">
        <f t="shared" ca="1" si="82"/>
        <v>113</v>
      </c>
      <c r="M1732" t="str">
        <f t="shared" si="83"/>
        <v>26-35</v>
      </c>
    </row>
    <row r="1733" spans="1:13" x14ac:dyDescent="0.2">
      <c r="A1733" t="s">
        <v>3456</v>
      </c>
      <c r="B1733" t="s">
        <v>3457</v>
      </c>
      <c r="C1733">
        <v>25</v>
      </c>
      <c r="D1733" t="s">
        <v>20</v>
      </c>
      <c r="E1733" t="s">
        <v>21</v>
      </c>
      <c r="F1733" s="1">
        <v>45206</v>
      </c>
      <c r="G1733" s="1">
        <v>46030</v>
      </c>
      <c r="H1733">
        <v>20</v>
      </c>
      <c r="I1733">
        <v>6</v>
      </c>
      <c r="J1733">
        <v>0</v>
      </c>
      <c r="K1733" t="str">
        <f t="shared" si="81"/>
        <v>Oct-2023</v>
      </c>
      <c r="L1733" s="1">
        <f t="shared" ca="1" si="82"/>
        <v>128</v>
      </c>
      <c r="M1733" t="str">
        <f t="shared" si="83"/>
        <v>18-25</v>
      </c>
    </row>
    <row r="1734" spans="1:13" x14ac:dyDescent="0.2">
      <c r="A1734" t="s">
        <v>3458</v>
      </c>
      <c r="B1734" t="s">
        <v>3459</v>
      </c>
      <c r="C1734">
        <v>29</v>
      </c>
      <c r="D1734" t="s">
        <v>12</v>
      </c>
      <c r="E1734" t="s">
        <v>17</v>
      </c>
      <c r="F1734" s="1">
        <v>45560</v>
      </c>
      <c r="G1734" s="1">
        <v>46032</v>
      </c>
      <c r="H1734">
        <v>37</v>
      </c>
      <c r="I1734">
        <v>8</v>
      </c>
      <c r="J1734">
        <v>0</v>
      </c>
      <c r="K1734" t="str">
        <f t="shared" si="81"/>
        <v>Sep-2024</v>
      </c>
      <c r="L1734" s="1">
        <f t="shared" ca="1" si="82"/>
        <v>126</v>
      </c>
      <c r="M1734" t="str">
        <f t="shared" si="83"/>
        <v>26-35</v>
      </c>
    </row>
    <row r="1735" spans="1:13" x14ac:dyDescent="0.2">
      <c r="A1735" t="s">
        <v>3460</v>
      </c>
      <c r="B1735" t="s">
        <v>3461</v>
      </c>
      <c r="C1735">
        <v>57</v>
      </c>
      <c r="D1735" t="s">
        <v>12</v>
      </c>
      <c r="E1735" t="s">
        <v>21</v>
      </c>
      <c r="F1735" s="1">
        <v>45680</v>
      </c>
      <c r="G1735" s="1">
        <v>46048</v>
      </c>
      <c r="H1735">
        <v>17</v>
      </c>
      <c r="I1735">
        <v>4</v>
      </c>
      <c r="J1735">
        <v>1</v>
      </c>
      <c r="K1735" t="str">
        <f t="shared" si="81"/>
        <v>Jan-2025</v>
      </c>
      <c r="L1735" s="1">
        <f t="shared" ca="1" si="82"/>
        <v>110</v>
      </c>
      <c r="M1735" t="str">
        <f t="shared" si="83"/>
        <v>46+</v>
      </c>
    </row>
    <row r="1736" spans="1:13" x14ac:dyDescent="0.2">
      <c r="A1736" t="s">
        <v>3462</v>
      </c>
      <c r="B1736" t="s">
        <v>3463</v>
      </c>
      <c r="C1736">
        <v>57</v>
      </c>
      <c r="D1736" t="s">
        <v>12</v>
      </c>
      <c r="E1736" t="s">
        <v>21</v>
      </c>
      <c r="F1736" s="1">
        <v>45677</v>
      </c>
      <c r="G1736" s="1">
        <v>46117</v>
      </c>
      <c r="H1736">
        <v>50</v>
      </c>
      <c r="I1736">
        <v>3</v>
      </c>
      <c r="J1736">
        <v>0</v>
      </c>
      <c r="K1736" t="str">
        <f t="shared" si="81"/>
        <v>Jan-2025</v>
      </c>
      <c r="L1736" s="1">
        <f t="shared" ca="1" si="82"/>
        <v>41</v>
      </c>
      <c r="M1736" t="str">
        <f t="shared" si="83"/>
        <v>46+</v>
      </c>
    </row>
    <row r="1737" spans="1:13" x14ac:dyDescent="0.2">
      <c r="A1737" t="s">
        <v>3464</v>
      </c>
      <c r="B1737" t="s">
        <v>3465</v>
      </c>
      <c r="C1737">
        <v>51</v>
      </c>
      <c r="D1737" t="s">
        <v>16</v>
      </c>
      <c r="E1737" t="s">
        <v>21</v>
      </c>
      <c r="F1737" s="1">
        <v>45880</v>
      </c>
      <c r="G1737" s="1">
        <v>46096</v>
      </c>
      <c r="H1737">
        <v>22</v>
      </c>
      <c r="I1737">
        <v>2</v>
      </c>
      <c r="J1737">
        <v>1</v>
      </c>
      <c r="K1737" t="str">
        <f t="shared" si="81"/>
        <v>Aug-2025</v>
      </c>
      <c r="L1737" s="1">
        <f t="shared" ca="1" si="82"/>
        <v>62</v>
      </c>
      <c r="M1737" t="str">
        <f t="shared" si="83"/>
        <v>46+</v>
      </c>
    </row>
    <row r="1738" spans="1:13" x14ac:dyDescent="0.2">
      <c r="A1738" t="s">
        <v>3466</v>
      </c>
      <c r="B1738" t="s">
        <v>65</v>
      </c>
      <c r="C1738">
        <v>22</v>
      </c>
      <c r="D1738" t="s">
        <v>12</v>
      </c>
      <c r="E1738" t="s">
        <v>17</v>
      </c>
      <c r="F1738" s="1">
        <v>45947</v>
      </c>
      <c r="G1738" s="1">
        <v>46050</v>
      </c>
      <c r="H1738">
        <v>43</v>
      </c>
      <c r="I1738">
        <v>1</v>
      </c>
      <c r="J1738">
        <v>1</v>
      </c>
      <c r="K1738" t="str">
        <f t="shared" si="81"/>
        <v>Oct-2025</v>
      </c>
      <c r="L1738" s="1">
        <f t="shared" ca="1" si="82"/>
        <v>108</v>
      </c>
      <c r="M1738" t="str">
        <f t="shared" si="83"/>
        <v>18-25</v>
      </c>
    </row>
    <row r="1739" spans="1:13" x14ac:dyDescent="0.2">
      <c r="A1739" t="s">
        <v>3467</v>
      </c>
      <c r="B1739" t="s">
        <v>3468</v>
      </c>
      <c r="C1739">
        <v>34</v>
      </c>
      <c r="D1739" t="s">
        <v>20</v>
      </c>
      <c r="E1739" t="s">
        <v>21</v>
      </c>
      <c r="F1739" s="1">
        <v>45893</v>
      </c>
      <c r="G1739" s="1">
        <v>46143</v>
      </c>
      <c r="H1739">
        <v>26</v>
      </c>
      <c r="I1739">
        <v>6</v>
      </c>
      <c r="J1739">
        <v>0</v>
      </c>
      <c r="K1739" t="str">
        <f t="shared" si="81"/>
        <v>Aug-2025</v>
      </c>
      <c r="L1739" s="1">
        <f t="shared" ca="1" si="82"/>
        <v>15</v>
      </c>
      <c r="M1739" t="str">
        <f t="shared" si="83"/>
        <v>26-35</v>
      </c>
    </row>
    <row r="1740" spans="1:13" x14ac:dyDescent="0.2">
      <c r="A1740" t="s">
        <v>3469</v>
      </c>
      <c r="B1740" t="s">
        <v>3470</v>
      </c>
      <c r="C1740">
        <v>37</v>
      </c>
      <c r="D1740" t="s">
        <v>20</v>
      </c>
      <c r="E1740" t="s">
        <v>13</v>
      </c>
      <c r="F1740" s="1">
        <v>45291</v>
      </c>
      <c r="G1740" s="1">
        <v>46078</v>
      </c>
      <c r="H1740">
        <v>57</v>
      </c>
      <c r="I1740">
        <v>7</v>
      </c>
      <c r="J1740">
        <v>0</v>
      </c>
      <c r="K1740" t="str">
        <f t="shared" si="81"/>
        <v>Dec-2023</v>
      </c>
      <c r="L1740" s="1">
        <f t="shared" ca="1" si="82"/>
        <v>80</v>
      </c>
      <c r="M1740" t="str">
        <f t="shared" si="83"/>
        <v>36-45</v>
      </c>
    </row>
    <row r="1741" spans="1:13" x14ac:dyDescent="0.2">
      <c r="A1741" t="s">
        <v>3471</v>
      </c>
      <c r="B1741" t="s">
        <v>3472</v>
      </c>
      <c r="C1741">
        <v>60</v>
      </c>
      <c r="D1741" t="s">
        <v>16</v>
      </c>
      <c r="E1741" t="s">
        <v>21</v>
      </c>
      <c r="F1741" s="1">
        <v>45873</v>
      </c>
      <c r="G1741" s="1">
        <v>46134</v>
      </c>
      <c r="H1741">
        <v>12</v>
      </c>
      <c r="I1741">
        <v>2</v>
      </c>
      <c r="J1741">
        <v>1</v>
      </c>
      <c r="K1741" t="str">
        <f t="shared" si="81"/>
        <v>Aug-2025</v>
      </c>
      <c r="L1741" s="1">
        <f t="shared" ca="1" si="82"/>
        <v>24</v>
      </c>
      <c r="M1741" t="str">
        <f t="shared" si="83"/>
        <v>46+</v>
      </c>
    </row>
    <row r="1742" spans="1:13" x14ac:dyDescent="0.2">
      <c r="A1742" t="s">
        <v>3473</v>
      </c>
      <c r="B1742" t="s">
        <v>3474</v>
      </c>
      <c r="C1742">
        <v>46</v>
      </c>
      <c r="D1742" t="s">
        <v>16</v>
      </c>
      <c r="E1742" t="s">
        <v>13</v>
      </c>
      <c r="F1742" s="1">
        <v>45317</v>
      </c>
      <c r="G1742" s="1">
        <v>46057</v>
      </c>
      <c r="H1742">
        <v>26</v>
      </c>
      <c r="I1742">
        <v>9</v>
      </c>
      <c r="J1742">
        <v>0</v>
      </c>
      <c r="K1742" t="str">
        <f t="shared" si="81"/>
        <v>Jan-2024</v>
      </c>
      <c r="L1742" s="1">
        <f t="shared" ca="1" si="82"/>
        <v>101</v>
      </c>
      <c r="M1742" t="str">
        <f t="shared" si="83"/>
        <v>46+</v>
      </c>
    </row>
    <row r="1743" spans="1:13" x14ac:dyDescent="0.2">
      <c r="A1743" t="s">
        <v>3475</v>
      </c>
      <c r="B1743" t="s">
        <v>3476</v>
      </c>
      <c r="C1743">
        <v>46</v>
      </c>
      <c r="D1743" t="s">
        <v>20</v>
      </c>
      <c r="E1743" t="s">
        <v>13</v>
      </c>
      <c r="F1743" s="1">
        <v>45616</v>
      </c>
      <c r="G1743" s="1">
        <v>46050</v>
      </c>
      <c r="H1743">
        <v>19</v>
      </c>
      <c r="I1743">
        <v>6</v>
      </c>
      <c r="J1743">
        <v>0</v>
      </c>
      <c r="K1743" t="str">
        <f t="shared" si="81"/>
        <v>Nov-2024</v>
      </c>
      <c r="L1743" s="1">
        <f t="shared" ca="1" si="82"/>
        <v>108</v>
      </c>
      <c r="M1743" t="str">
        <f t="shared" si="83"/>
        <v>46+</v>
      </c>
    </row>
    <row r="1744" spans="1:13" x14ac:dyDescent="0.2">
      <c r="A1744" t="s">
        <v>3477</v>
      </c>
      <c r="B1744" t="s">
        <v>3478</v>
      </c>
      <c r="C1744">
        <v>27</v>
      </c>
      <c r="D1744" t="s">
        <v>20</v>
      </c>
      <c r="E1744" t="s">
        <v>17</v>
      </c>
      <c r="F1744" s="1">
        <v>45949</v>
      </c>
      <c r="G1744" s="1">
        <v>46042</v>
      </c>
      <c r="H1744">
        <v>42</v>
      </c>
      <c r="I1744">
        <v>4</v>
      </c>
      <c r="J1744">
        <v>1</v>
      </c>
      <c r="K1744" t="str">
        <f t="shared" si="81"/>
        <v>Oct-2025</v>
      </c>
      <c r="L1744" s="1">
        <f t="shared" ca="1" si="82"/>
        <v>116</v>
      </c>
      <c r="M1744" t="str">
        <f t="shared" si="83"/>
        <v>26-35</v>
      </c>
    </row>
    <row r="1745" spans="1:13" x14ac:dyDescent="0.2">
      <c r="A1745" t="s">
        <v>3479</v>
      </c>
      <c r="B1745" t="s">
        <v>3480</v>
      </c>
      <c r="C1745">
        <v>48</v>
      </c>
      <c r="D1745" t="s">
        <v>20</v>
      </c>
      <c r="E1745" t="s">
        <v>13</v>
      </c>
      <c r="F1745" s="1">
        <v>45365</v>
      </c>
      <c r="G1745" s="1">
        <v>46109</v>
      </c>
      <c r="H1745">
        <v>50</v>
      </c>
      <c r="I1745">
        <v>2</v>
      </c>
      <c r="J1745">
        <v>1</v>
      </c>
      <c r="K1745" t="str">
        <f t="shared" si="81"/>
        <v>Mar-2024</v>
      </c>
      <c r="L1745" s="1">
        <f t="shared" ca="1" si="82"/>
        <v>49</v>
      </c>
      <c r="M1745" t="str">
        <f t="shared" si="83"/>
        <v>46+</v>
      </c>
    </row>
    <row r="1746" spans="1:13" x14ac:dyDescent="0.2">
      <c r="A1746" t="s">
        <v>3481</v>
      </c>
      <c r="B1746" t="s">
        <v>3482</v>
      </c>
      <c r="C1746">
        <v>52</v>
      </c>
      <c r="D1746" t="s">
        <v>20</v>
      </c>
      <c r="E1746" t="s">
        <v>17</v>
      </c>
      <c r="F1746" s="1">
        <v>46037</v>
      </c>
      <c r="G1746" s="1">
        <v>46083</v>
      </c>
      <c r="H1746">
        <v>71</v>
      </c>
      <c r="I1746">
        <v>10</v>
      </c>
      <c r="J1746">
        <v>0</v>
      </c>
      <c r="K1746" t="str">
        <f t="shared" si="81"/>
        <v>Jan-2026</v>
      </c>
      <c r="L1746" s="1">
        <f t="shared" ca="1" si="82"/>
        <v>75</v>
      </c>
      <c r="M1746" t="str">
        <f t="shared" si="83"/>
        <v>46+</v>
      </c>
    </row>
    <row r="1747" spans="1:13" x14ac:dyDescent="0.2">
      <c r="A1747" t="s">
        <v>3483</v>
      </c>
      <c r="B1747" t="s">
        <v>3484</v>
      </c>
      <c r="C1747">
        <v>33</v>
      </c>
      <c r="D1747" t="s">
        <v>12</v>
      </c>
      <c r="E1747" t="s">
        <v>13</v>
      </c>
      <c r="F1747" s="1">
        <v>45671</v>
      </c>
      <c r="G1747" s="1">
        <v>46081</v>
      </c>
      <c r="H1747">
        <v>32</v>
      </c>
      <c r="I1747">
        <v>6</v>
      </c>
      <c r="J1747">
        <v>0</v>
      </c>
      <c r="K1747" t="str">
        <f t="shared" si="81"/>
        <v>Jan-2025</v>
      </c>
      <c r="L1747" s="1">
        <f t="shared" ca="1" si="82"/>
        <v>77</v>
      </c>
      <c r="M1747" t="str">
        <f t="shared" si="83"/>
        <v>26-35</v>
      </c>
    </row>
    <row r="1748" spans="1:13" x14ac:dyDescent="0.2">
      <c r="A1748" t="s">
        <v>3485</v>
      </c>
      <c r="B1748" t="s">
        <v>3486</v>
      </c>
      <c r="C1748">
        <v>55</v>
      </c>
      <c r="D1748" t="s">
        <v>20</v>
      </c>
      <c r="E1748" t="s">
        <v>17</v>
      </c>
      <c r="F1748" s="1">
        <v>46060</v>
      </c>
      <c r="G1748" s="1">
        <v>46052</v>
      </c>
      <c r="H1748">
        <v>65</v>
      </c>
      <c r="I1748">
        <v>2</v>
      </c>
      <c r="J1748">
        <v>0</v>
      </c>
      <c r="K1748" t="str">
        <f t="shared" si="81"/>
        <v>Feb-2026</v>
      </c>
      <c r="L1748" s="1">
        <f t="shared" ca="1" si="82"/>
        <v>106</v>
      </c>
      <c r="M1748" t="str">
        <f t="shared" si="83"/>
        <v>46+</v>
      </c>
    </row>
    <row r="1749" spans="1:13" x14ac:dyDescent="0.2">
      <c r="A1749" t="s">
        <v>3487</v>
      </c>
      <c r="B1749" t="s">
        <v>3488</v>
      </c>
      <c r="C1749">
        <v>48</v>
      </c>
      <c r="D1749" t="s">
        <v>12</v>
      </c>
      <c r="E1749" t="s">
        <v>21</v>
      </c>
      <c r="F1749" s="1">
        <v>45995</v>
      </c>
      <c r="G1749" s="1">
        <v>46108</v>
      </c>
      <c r="H1749">
        <v>16</v>
      </c>
      <c r="I1749">
        <v>9</v>
      </c>
      <c r="J1749">
        <v>0</v>
      </c>
      <c r="K1749" t="str">
        <f t="shared" si="81"/>
        <v>Dec-2025</v>
      </c>
      <c r="L1749" s="1">
        <f t="shared" ca="1" si="82"/>
        <v>50</v>
      </c>
      <c r="M1749" t="str">
        <f t="shared" si="83"/>
        <v>46+</v>
      </c>
    </row>
    <row r="1750" spans="1:13" x14ac:dyDescent="0.2">
      <c r="A1750" t="s">
        <v>3489</v>
      </c>
      <c r="B1750" t="s">
        <v>3490</v>
      </c>
      <c r="C1750">
        <v>41</v>
      </c>
      <c r="D1750" t="s">
        <v>16</v>
      </c>
      <c r="E1750" t="s">
        <v>21</v>
      </c>
      <c r="F1750" s="1">
        <v>45881</v>
      </c>
      <c r="G1750" s="1">
        <v>46140</v>
      </c>
      <c r="H1750">
        <v>4</v>
      </c>
      <c r="I1750">
        <v>8</v>
      </c>
      <c r="J1750">
        <v>1</v>
      </c>
      <c r="K1750" t="str">
        <f t="shared" si="81"/>
        <v>Aug-2025</v>
      </c>
      <c r="L1750" s="1">
        <f t="shared" ca="1" si="82"/>
        <v>18</v>
      </c>
      <c r="M1750" t="str">
        <f t="shared" si="83"/>
        <v>36-45</v>
      </c>
    </row>
    <row r="1751" spans="1:13" x14ac:dyDescent="0.2">
      <c r="A1751" t="s">
        <v>3491</v>
      </c>
      <c r="B1751" t="s">
        <v>3492</v>
      </c>
      <c r="C1751">
        <v>45</v>
      </c>
      <c r="D1751" t="s">
        <v>20</v>
      </c>
      <c r="E1751" t="s">
        <v>21</v>
      </c>
      <c r="F1751" s="1">
        <v>45814</v>
      </c>
      <c r="G1751" s="1">
        <v>46053</v>
      </c>
      <c r="H1751">
        <v>69</v>
      </c>
      <c r="I1751">
        <v>10</v>
      </c>
      <c r="J1751">
        <v>1</v>
      </c>
      <c r="K1751" t="str">
        <f t="shared" si="81"/>
        <v>Jun-2025</v>
      </c>
      <c r="L1751" s="1">
        <f t="shared" ca="1" si="82"/>
        <v>105</v>
      </c>
      <c r="M1751" t="str">
        <f t="shared" si="83"/>
        <v>36-45</v>
      </c>
    </row>
    <row r="1752" spans="1:13" x14ac:dyDescent="0.2">
      <c r="A1752" t="s">
        <v>3493</v>
      </c>
      <c r="B1752" t="s">
        <v>3494</v>
      </c>
      <c r="C1752">
        <v>26</v>
      </c>
      <c r="D1752" t="s">
        <v>20</v>
      </c>
      <c r="E1752" t="s">
        <v>21</v>
      </c>
      <c r="F1752" s="1">
        <v>45160</v>
      </c>
      <c r="G1752" s="1">
        <v>46145</v>
      </c>
      <c r="H1752">
        <v>46</v>
      </c>
      <c r="I1752">
        <v>8</v>
      </c>
      <c r="J1752">
        <v>0</v>
      </c>
      <c r="K1752" t="str">
        <f t="shared" si="81"/>
        <v>Aug-2023</v>
      </c>
      <c r="L1752" s="1">
        <f t="shared" ca="1" si="82"/>
        <v>13</v>
      </c>
      <c r="M1752" t="str">
        <f t="shared" si="83"/>
        <v>26-35</v>
      </c>
    </row>
    <row r="1753" spans="1:13" x14ac:dyDescent="0.2">
      <c r="A1753" t="s">
        <v>3495</v>
      </c>
      <c r="B1753" t="s">
        <v>3496</v>
      </c>
      <c r="C1753">
        <v>23</v>
      </c>
      <c r="D1753" t="s">
        <v>20</v>
      </c>
      <c r="E1753" t="s">
        <v>17</v>
      </c>
      <c r="F1753" s="1">
        <v>45338</v>
      </c>
      <c r="G1753" s="1">
        <v>46070</v>
      </c>
      <c r="H1753">
        <v>10</v>
      </c>
      <c r="I1753">
        <v>9</v>
      </c>
      <c r="J1753">
        <v>1</v>
      </c>
      <c r="K1753" t="str">
        <f t="shared" si="81"/>
        <v>Feb-2024</v>
      </c>
      <c r="L1753" s="1">
        <f t="shared" ca="1" si="82"/>
        <v>88</v>
      </c>
      <c r="M1753" t="str">
        <f t="shared" si="83"/>
        <v>18-25</v>
      </c>
    </row>
    <row r="1754" spans="1:13" x14ac:dyDescent="0.2">
      <c r="A1754" t="s">
        <v>3497</v>
      </c>
      <c r="B1754" t="s">
        <v>3498</v>
      </c>
      <c r="C1754">
        <v>47</v>
      </c>
      <c r="D1754" t="s">
        <v>16</v>
      </c>
      <c r="E1754" t="s">
        <v>17</v>
      </c>
      <c r="F1754" s="1">
        <v>45295</v>
      </c>
      <c r="G1754" s="1">
        <v>46124</v>
      </c>
      <c r="H1754">
        <v>79</v>
      </c>
      <c r="I1754">
        <v>8</v>
      </c>
      <c r="J1754">
        <v>0</v>
      </c>
      <c r="K1754" t="str">
        <f t="shared" si="81"/>
        <v>Jan-2024</v>
      </c>
      <c r="L1754" s="1">
        <f t="shared" ca="1" si="82"/>
        <v>34</v>
      </c>
      <c r="M1754" t="str">
        <f t="shared" si="83"/>
        <v>46+</v>
      </c>
    </row>
    <row r="1755" spans="1:13" x14ac:dyDescent="0.2">
      <c r="A1755" t="s">
        <v>3499</v>
      </c>
      <c r="B1755" t="s">
        <v>3500</v>
      </c>
      <c r="C1755">
        <v>26</v>
      </c>
      <c r="D1755" t="s">
        <v>16</v>
      </c>
      <c r="E1755" t="s">
        <v>21</v>
      </c>
      <c r="F1755" s="1">
        <v>45400</v>
      </c>
      <c r="G1755" s="1">
        <v>46060</v>
      </c>
      <c r="H1755">
        <v>78</v>
      </c>
      <c r="I1755">
        <v>9</v>
      </c>
      <c r="J1755">
        <v>1</v>
      </c>
      <c r="K1755" t="str">
        <f t="shared" si="81"/>
        <v>Apr-2024</v>
      </c>
      <c r="L1755" s="1">
        <f t="shared" ca="1" si="82"/>
        <v>98</v>
      </c>
      <c r="M1755" t="str">
        <f t="shared" si="83"/>
        <v>26-35</v>
      </c>
    </row>
    <row r="1756" spans="1:13" x14ac:dyDescent="0.2">
      <c r="A1756" t="s">
        <v>3501</v>
      </c>
      <c r="B1756" t="s">
        <v>3502</v>
      </c>
      <c r="C1756">
        <v>38</v>
      </c>
      <c r="D1756" t="s">
        <v>20</v>
      </c>
      <c r="E1756" t="s">
        <v>21</v>
      </c>
      <c r="F1756" s="1">
        <v>45356</v>
      </c>
      <c r="G1756" s="1">
        <v>46115</v>
      </c>
      <c r="H1756">
        <v>63</v>
      </c>
      <c r="I1756">
        <v>9</v>
      </c>
      <c r="J1756">
        <v>1</v>
      </c>
      <c r="K1756" t="str">
        <f t="shared" si="81"/>
        <v>Mar-2024</v>
      </c>
      <c r="L1756" s="1">
        <f t="shared" ca="1" si="82"/>
        <v>43</v>
      </c>
      <c r="M1756" t="str">
        <f t="shared" si="83"/>
        <v>36-45</v>
      </c>
    </row>
    <row r="1757" spans="1:13" x14ac:dyDescent="0.2">
      <c r="A1757" t="s">
        <v>3503</v>
      </c>
      <c r="B1757" t="s">
        <v>3504</v>
      </c>
      <c r="C1757">
        <v>24</v>
      </c>
      <c r="D1757" t="s">
        <v>12</v>
      </c>
      <c r="E1757" t="s">
        <v>13</v>
      </c>
      <c r="F1757" s="1">
        <v>45186</v>
      </c>
      <c r="G1757" s="1">
        <v>46088</v>
      </c>
      <c r="H1757">
        <v>56</v>
      </c>
      <c r="I1757">
        <v>7</v>
      </c>
      <c r="J1757">
        <v>0</v>
      </c>
      <c r="K1757" t="str">
        <f t="shared" si="81"/>
        <v>Sep-2023</v>
      </c>
      <c r="L1757" s="1">
        <f t="shared" ca="1" si="82"/>
        <v>70</v>
      </c>
      <c r="M1757" t="str">
        <f t="shared" si="83"/>
        <v>18-25</v>
      </c>
    </row>
    <row r="1758" spans="1:13" x14ac:dyDescent="0.2">
      <c r="A1758" t="s">
        <v>3505</v>
      </c>
      <c r="B1758" t="s">
        <v>3506</v>
      </c>
      <c r="C1758">
        <v>45</v>
      </c>
      <c r="D1758" t="s">
        <v>16</v>
      </c>
      <c r="E1758" t="s">
        <v>21</v>
      </c>
      <c r="F1758" s="1">
        <v>45929</v>
      </c>
      <c r="G1758" s="1">
        <v>46068</v>
      </c>
      <c r="H1758">
        <v>19</v>
      </c>
      <c r="I1758">
        <v>6</v>
      </c>
      <c r="J1758">
        <v>1</v>
      </c>
      <c r="K1758" t="str">
        <f t="shared" si="81"/>
        <v>Sep-2025</v>
      </c>
      <c r="L1758" s="1">
        <f t="shared" ca="1" si="82"/>
        <v>90</v>
      </c>
      <c r="M1758" t="str">
        <f t="shared" si="83"/>
        <v>36-45</v>
      </c>
    </row>
    <row r="1759" spans="1:13" x14ac:dyDescent="0.2">
      <c r="A1759" t="s">
        <v>3507</v>
      </c>
      <c r="B1759" t="s">
        <v>3508</v>
      </c>
      <c r="C1759">
        <v>24</v>
      </c>
      <c r="D1759" t="s">
        <v>20</v>
      </c>
      <c r="E1759" t="s">
        <v>21</v>
      </c>
      <c r="F1759" s="1">
        <v>45942</v>
      </c>
      <c r="G1759" s="1">
        <v>46104</v>
      </c>
      <c r="H1759">
        <v>77</v>
      </c>
      <c r="I1759">
        <v>3</v>
      </c>
      <c r="J1759">
        <v>1</v>
      </c>
      <c r="K1759" t="str">
        <f t="shared" si="81"/>
        <v>Oct-2025</v>
      </c>
      <c r="L1759" s="1">
        <f t="shared" ca="1" si="82"/>
        <v>54</v>
      </c>
      <c r="M1759" t="str">
        <f t="shared" si="83"/>
        <v>18-25</v>
      </c>
    </row>
    <row r="1760" spans="1:13" x14ac:dyDescent="0.2">
      <c r="A1760" t="s">
        <v>3509</v>
      </c>
      <c r="B1760" t="s">
        <v>3510</v>
      </c>
      <c r="C1760">
        <v>18</v>
      </c>
      <c r="D1760" t="s">
        <v>20</v>
      </c>
      <c r="E1760" t="s">
        <v>17</v>
      </c>
      <c r="F1760" s="1">
        <v>45196</v>
      </c>
      <c r="G1760" s="1">
        <v>46099</v>
      </c>
      <c r="H1760">
        <v>25</v>
      </c>
      <c r="I1760">
        <v>6</v>
      </c>
      <c r="J1760">
        <v>0</v>
      </c>
      <c r="K1760" t="str">
        <f t="shared" si="81"/>
        <v>Sep-2023</v>
      </c>
      <c r="L1760" s="1">
        <f t="shared" ca="1" si="82"/>
        <v>59</v>
      </c>
      <c r="M1760" t="str">
        <f t="shared" si="83"/>
        <v>18-25</v>
      </c>
    </row>
    <row r="1761" spans="1:13" x14ac:dyDescent="0.2">
      <c r="A1761" t="s">
        <v>3511</v>
      </c>
      <c r="B1761" t="s">
        <v>3512</v>
      </c>
      <c r="C1761">
        <v>36</v>
      </c>
      <c r="D1761" t="s">
        <v>20</v>
      </c>
      <c r="E1761" t="s">
        <v>21</v>
      </c>
      <c r="F1761" s="1">
        <v>45235</v>
      </c>
      <c r="G1761" s="1">
        <v>46126</v>
      </c>
      <c r="H1761">
        <v>11</v>
      </c>
      <c r="I1761">
        <v>8</v>
      </c>
      <c r="J1761">
        <v>0</v>
      </c>
      <c r="K1761" t="str">
        <f t="shared" si="81"/>
        <v>Nov-2023</v>
      </c>
      <c r="L1761" s="1">
        <f t="shared" ca="1" si="82"/>
        <v>32</v>
      </c>
      <c r="M1761" t="str">
        <f t="shared" si="83"/>
        <v>36-45</v>
      </c>
    </row>
    <row r="1762" spans="1:13" x14ac:dyDescent="0.2">
      <c r="A1762" t="s">
        <v>3513</v>
      </c>
      <c r="B1762" t="s">
        <v>3514</v>
      </c>
      <c r="C1762">
        <v>25</v>
      </c>
      <c r="D1762" t="s">
        <v>16</v>
      </c>
      <c r="E1762" t="s">
        <v>17</v>
      </c>
      <c r="F1762" s="1">
        <v>45591</v>
      </c>
      <c r="G1762" s="1">
        <v>46036</v>
      </c>
      <c r="H1762">
        <v>6</v>
      </c>
      <c r="I1762">
        <v>2</v>
      </c>
      <c r="J1762">
        <v>1</v>
      </c>
      <c r="K1762" t="str">
        <f t="shared" si="81"/>
        <v>Oct-2024</v>
      </c>
      <c r="L1762" s="1">
        <f t="shared" ca="1" si="82"/>
        <v>122</v>
      </c>
      <c r="M1762" t="str">
        <f t="shared" si="83"/>
        <v>18-25</v>
      </c>
    </row>
    <row r="1763" spans="1:13" x14ac:dyDescent="0.2">
      <c r="A1763" t="s">
        <v>3515</v>
      </c>
      <c r="B1763" t="s">
        <v>3516</v>
      </c>
      <c r="C1763">
        <v>51</v>
      </c>
      <c r="D1763" t="s">
        <v>16</v>
      </c>
      <c r="E1763" t="s">
        <v>21</v>
      </c>
      <c r="F1763" s="1">
        <v>45472</v>
      </c>
      <c r="G1763" s="1">
        <v>46049</v>
      </c>
      <c r="H1763">
        <v>40</v>
      </c>
      <c r="I1763">
        <v>9</v>
      </c>
      <c r="J1763">
        <v>0</v>
      </c>
      <c r="K1763" t="str">
        <f t="shared" si="81"/>
        <v>Jun-2024</v>
      </c>
      <c r="L1763" s="1">
        <f t="shared" ca="1" si="82"/>
        <v>109</v>
      </c>
      <c r="M1763" t="str">
        <f t="shared" si="83"/>
        <v>46+</v>
      </c>
    </row>
    <row r="1764" spans="1:13" x14ac:dyDescent="0.2">
      <c r="A1764" t="s">
        <v>3517</v>
      </c>
      <c r="B1764" t="s">
        <v>3518</v>
      </c>
      <c r="C1764">
        <v>58</v>
      </c>
      <c r="D1764" t="s">
        <v>20</v>
      </c>
      <c r="E1764" t="s">
        <v>17</v>
      </c>
      <c r="F1764" s="1">
        <v>46108</v>
      </c>
      <c r="G1764" s="1">
        <v>46112</v>
      </c>
      <c r="H1764">
        <v>37</v>
      </c>
      <c r="I1764">
        <v>6</v>
      </c>
      <c r="J1764">
        <v>1</v>
      </c>
      <c r="K1764" t="str">
        <f t="shared" si="81"/>
        <v>Mar-2026</v>
      </c>
      <c r="L1764" s="1">
        <f t="shared" ca="1" si="82"/>
        <v>46</v>
      </c>
      <c r="M1764" t="str">
        <f t="shared" si="83"/>
        <v>46+</v>
      </c>
    </row>
    <row r="1765" spans="1:13" x14ac:dyDescent="0.2">
      <c r="A1765" t="s">
        <v>3519</v>
      </c>
      <c r="B1765" t="s">
        <v>3520</v>
      </c>
      <c r="C1765">
        <v>48</v>
      </c>
      <c r="D1765" t="s">
        <v>20</v>
      </c>
      <c r="E1765" t="s">
        <v>17</v>
      </c>
      <c r="F1765" s="1">
        <v>45569</v>
      </c>
      <c r="G1765" s="1">
        <v>46045</v>
      </c>
      <c r="H1765">
        <v>69</v>
      </c>
      <c r="I1765">
        <v>6</v>
      </c>
      <c r="J1765">
        <v>1</v>
      </c>
      <c r="K1765" t="str">
        <f t="shared" si="81"/>
        <v>Oct-2024</v>
      </c>
      <c r="L1765" s="1">
        <f t="shared" ca="1" si="82"/>
        <v>113</v>
      </c>
      <c r="M1765" t="str">
        <f t="shared" si="83"/>
        <v>46+</v>
      </c>
    </row>
    <row r="1766" spans="1:13" x14ac:dyDescent="0.2">
      <c r="A1766" t="s">
        <v>3521</v>
      </c>
      <c r="B1766" t="s">
        <v>3522</v>
      </c>
      <c r="C1766">
        <v>32</v>
      </c>
      <c r="D1766" t="s">
        <v>16</v>
      </c>
      <c r="E1766" t="s">
        <v>17</v>
      </c>
      <c r="F1766" s="1">
        <v>46048</v>
      </c>
      <c r="G1766" s="1">
        <v>46134</v>
      </c>
      <c r="H1766">
        <v>50</v>
      </c>
      <c r="I1766">
        <v>3</v>
      </c>
      <c r="J1766">
        <v>1</v>
      </c>
      <c r="K1766" t="str">
        <f t="shared" si="81"/>
        <v>Jan-2026</v>
      </c>
      <c r="L1766" s="1">
        <f t="shared" ca="1" si="82"/>
        <v>24</v>
      </c>
      <c r="M1766" t="str">
        <f t="shared" si="83"/>
        <v>26-35</v>
      </c>
    </row>
    <row r="1767" spans="1:13" x14ac:dyDescent="0.2">
      <c r="A1767" t="s">
        <v>3523</v>
      </c>
      <c r="B1767" t="s">
        <v>3524</v>
      </c>
      <c r="C1767">
        <v>32</v>
      </c>
      <c r="D1767" t="s">
        <v>16</v>
      </c>
      <c r="E1767" t="s">
        <v>13</v>
      </c>
      <c r="F1767" s="1">
        <v>45525</v>
      </c>
      <c r="G1767" s="1">
        <v>46066</v>
      </c>
      <c r="H1767">
        <v>29</v>
      </c>
      <c r="I1767">
        <v>1</v>
      </c>
      <c r="J1767">
        <v>1</v>
      </c>
      <c r="K1767" t="str">
        <f t="shared" si="81"/>
        <v>Aug-2024</v>
      </c>
      <c r="L1767" s="1">
        <f t="shared" ca="1" si="82"/>
        <v>92</v>
      </c>
      <c r="M1767" t="str">
        <f t="shared" si="83"/>
        <v>26-35</v>
      </c>
    </row>
    <row r="1768" spans="1:13" x14ac:dyDescent="0.2">
      <c r="A1768" t="s">
        <v>3525</v>
      </c>
      <c r="B1768" t="s">
        <v>3526</v>
      </c>
      <c r="C1768">
        <v>60</v>
      </c>
      <c r="D1768" t="s">
        <v>16</v>
      </c>
      <c r="E1768" t="s">
        <v>21</v>
      </c>
      <c r="F1768" s="1">
        <v>45562</v>
      </c>
      <c r="G1768" s="1">
        <v>46103</v>
      </c>
      <c r="H1768">
        <v>19</v>
      </c>
      <c r="I1768">
        <v>9</v>
      </c>
      <c r="J1768">
        <v>0</v>
      </c>
      <c r="K1768" t="str">
        <f t="shared" si="81"/>
        <v>Sep-2024</v>
      </c>
      <c r="L1768" s="1">
        <f t="shared" ca="1" si="82"/>
        <v>55</v>
      </c>
      <c r="M1768" t="str">
        <f t="shared" si="83"/>
        <v>46+</v>
      </c>
    </row>
    <row r="1769" spans="1:13" x14ac:dyDescent="0.2">
      <c r="A1769" t="s">
        <v>3527</v>
      </c>
      <c r="B1769" t="s">
        <v>3528</v>
      </c>
      <c r="C1769">
        <v>41</v>
      </c>
      <c r="D1769" t="s">
        <v>20</v>
      </c>
      <c r="E1769" t="s">
        <v>21</v>
      </c>
      <c r="F1769" s="1">
        <v>45480</v>
      </c>
      <c r="G1769" s="1">
        <v>46092</v>
      </c>
      <c r="H1769">
        <v>30</v>
      </c>
      <c r="I1769">
        <v>5</v>
      </c>
      <c r="J1769">
        <v>0</v>
      </c>
      <c r="K1769" t="str">
        <f t="shared" si="81"/>
        <v>Jul-2024</v>
      </c>
      <c r="L1769" s="1">
        <f t="shared" ca="1" si="82"/>
        <v>66</v>
      </c>
      <c r="M1769" t="str">
        <f t="shared" si="83"/>
        <v>36-45</v>
      </c>
    </row>
    <row r="1770" spans="1:13" x14ac:dyDescent="0.2">
      <c r="A1770" t="s">
        <v>3529</v>
      </c>
      <c r="B1770" t="s">
        <v>3530</v>
      </c>
      <c r="C1770">
        <v>30</v>
      </c>
      <c r="D1770" t="s">
        <v>12</v>
      </c>
      <c r="E1770" t="s">
        <v>21</v>
      </c>
      <c r="F1770" s="1">
        <v>45217</v>
      </c>
      <c r="G1770" s="1">
        <v>46043</v>
      </c>
      <c r="H1770">
        <v>73</v>
      </c>
      <c r="I1770">
        <v>1</v>
      </c>
      <c r="J1770">
        <v>1</v>
      </c>
      <c r="K1770" t="str">
        <f t="shared" si="81"/>
        <v>Oct-2023</v>
      </c>
      <c r="L1770" s="1">
        <f t="shared" ca="1" si="82"/>
        <v>115</v>
      </c>
      <c r="M1770" t="str">
        <f t="shared" si="83"/>
        <v>26-35</v>
      </c>
    </row>
    <row r="1771" spans="1:13" x14ac:dyDescent="0.2">
      <c r="A1771" t="s">
        <v>3531</v>
      </c>
      <c r="B1771" t="s">
        <v>3532</v>
      </c>
      <c r="C1771">
        <v>50</v>
      </c>
      <c r="D1771" t="s">
        <v>16</v>
      </c>
      <c r="E1771" t="s">
        <v>21</v>
      </c>
      <c r="F1771" s="1">
        <v>46070</v>
      </c>
      <c r="G1771" s="1">
        <v>46111</v>
      </c>
      <c r="H1771">
        <v>8</v>
      </c>
      <c r="I1771">
        <v>8</v>
      </c>
      <c r="J1771">
        <v>1</v>
      </c>
      <c r="K1771" t="str">
        <f t="shared" si="81"/>
        <v>Feb-2026</v>
      </c>
      <c r="L1771" s="1">
        <f t="shared" ca="1" si="82"/>
        <v>47</v>
      </c>
      <c r="M1771" t="str">
        <f t="shared" si="83"/>
        <v>46+</v>
      </c>
    </row>
    <row r="1772" spans="1:13" x14ac:dyDescent="0.2">
      <c r="A1772" t="s">
        <v>3533</v>
      </c>
      <c r="B1772" t="s">
        <v>3534</v>
      </c>
      <c r="C1772">
        <v>33</v>
      </c>
      <c r="D1772" t="s">
        <v>12</v>
      </c>
      <c r="E1772" t="s">
        <v>17</v>
      </c>
      <c r="F1772" s="1">
        <v>45548</v>
      </c>
      <c r="G1772" s="1">
        <v>46137</v>
      </c>
      <c r="H1772">
        <v>63</v>
      </c>
      <c r="I1772">
        <v>9</v>
      </c>
      <c r="J1772">
        <v>0</v>
      </c>
      <c r="K1772" t="str">
        <f t="shared" si="81"/>
        <v>Sep-2024</v>
      </c>
      <c r="L1772" s="1">
        <f t="shared" ca="1" si="82"/>
        <v>21</v>
      </c>
      <c r="M1772" t="str">
        <f t="shared" si="83"/>
        <v>26-35</v>
      </c>
    </row>
    <row r="1773" spans="1:13" x14ac:dyDescent="0.2">
      <c r="A1773" t="s">
        <v>3535</v>
      </c>
      <c r="B1773" t="s">
        <v>3536</v>
      </c>
      <c r="C1773">
        <v>52</v>
      </c>
      <c r="D1773" t="s">
        <v>20</v>
      </c>
      <c r="E1773" t="s">
        <v>21</v>
      </c>
      <c r="F1773" s="1">
        <v>45957</v>
      </c>
      <c r="G1773" s="1">
        <v>46146</v>
      </c>
      <c r="H1773">
        <v>59</v>
      </c>
      <c r="I1773">
        <v>3</v>
      </c>
      <c r="J1773">
        <v>1</v>
      </c>
      <c r="K1773" t="str">
        <f t="shared" si="81"/>
        <v>Oct-2025</v>
      </c>
      <c r="L1773" s="1">
        <f t="shared" ca="1" si="82"/>
        <v>12</v>
      </c>
      <c r="M1773" t="str">
        <f t="shared" si="83"/>
        <v>46+</v>
      </c>
    </row>
    <row r="1774" spans="1:13" x14ac:dyDescent="0.2">
      <c r="A1774" t="s">
        <v>3537</v>
      </c>
      <c r="B1774" t="s">
        <v>3538</v>
      </c>
      <c r="C1774">
        <v>25</v>
      </c>
      <c r="D1774" t="s">
        <v>16</v>
      </c>
      <c r="E1774" t="s">
        <v>21</v>
      </c>
      <c r="F1774" s="1">
        <v>45944</v>
      </c>
      <c r="G1774" s="1">
        <v>46036</v>
      </c>
      <c r="H1774">
        <v>13</v>
      </c>
      <c r="I1774">
        <v>3</v>
      </c>
      <c r="J1774">
        <v>1</v>
      </c>
      <c r="K1774" t="str">
        <f t="shared" si="81"/>
        <v>Oct-2025</v>
      </c>
      <c r="L1774" s="1">
        <f t="shared" ca="1" si="82"/>
        <v>122</v>
      </c>
      <c r="M1774" t="str">
        <f t="shared" si="83"/>
        <v>18-25</v>
      </c>
    </row>
    <row r="1775" spans="1:13" x14ac:dyDescent="0.2">
      <c r="A1775" t="s">
        <v>3539</v>
      </c>
      <c r="B1775" t="s">
        <v>3540</v>
      </c>
      <c r="C1775">
        <v>20</v>
      </c>
      <c r="D1775" t="s">
        <v>20</v>
      </c>
      <c r="E1775" t="s">
        <v>17</v>
      </c>
      <c r="F1775" s="1">
        <v>45649</v>
      </c>
      <c r="G1775" s="1">
        <v>46099</v>
      </c>
      <c r="H1775">
        <v>57</v>
      </c>
      <c r="I1775">
        <v>7</v>
      </c>
      <c r="J1775">
        <v>1</v>
      </c>
      <c r="K1775" t="str">
        <f t="shared" si="81"/>
        <v>Dec-2024</v>
      </c>
      <c r="L1775" s="1">
        <f t="shared" ca="1" si="82"/>
        <v>59</v>
      </c>
      <c r="M1775" t="str">
        <f t="shared" si="83"/>
        <v>18-25</v>
      </c>
    </row>
    <row r="1776" spans="1:13" x14ac:dyDescent="0.2">
      <c r="A1776" t="s">
        <v>3541</v>
      </c>
      <c r="B1776" t="s">
        <v>3542</v>
      </c>
      <c r="C1776">
        <v>55</v>
      </c>
      <c r="D1776" t="s">
        <v>12</v>
      </c>
      <c r="E1776" t="s">
        <v>17</v>
      </c>
      <c r="F1776" s="1">
        <v>45743</v>
      </c>
      <c r="G1776" s="1">
        <v>46148</v>
      </c>
      <c r="H1776">
        <v>32</v>
      </c>
      <c r="I1776">
        <v>9</v>
      </c>
      <c r="J1776">
        <v>0</v>
      </c>
      <c r="K1776" t="str">
        <f t="shared" si="81"/>
        <v>Mar-2025</v>
      </c>
      <c r="L1776" s="1">
        <f t="shared" ca="1" si="82"/>
        <v>10</v>
      </c>
      <c r="M1776" t="str">
        <f t="shared" si="83"/>
        <v>46+</v>
      </c>
    </row>
    <row r="1777" spans="1:13" x14ac:dyDescent="0.2">
      <c r="A1777" t="s">
        <v>3543</v>
      </c>
      <c r="B1777" t="s">
        <v>3544</v>
      </c>
      <c r="C1777">
        <v>50</v>
      </c>
      <c r="D1777" t="s">
        <v>20</v>
      </c>
      <c r="E1777" t="s">
        <v>17</v>
      </c>
      <c r="F1777" s="1">
        <v>45262</v>
      </c>
      <c r="G1777" s="1">
        <v>46090</v>
      </c>
      <c r="H1777">
        <v>27</v>
      </c>
      <c r="I1777">
        <v>8</v>
      </c>
      <c r="J1777">
        <v>0</v>
      </c>
      <c r="K1777" t="str">
        <f t="shared" si="81"/>
        <v>Dec-2023</v>
      </c>
      <c r="L1777" s="1">
        <f t="shared" ca="1" si="82"/>
        <v>68</v>
      </c>
      <c r="M1777" t="str">
        <f t="shared" si="83"/>
        <v>46+</v>
      </c>
    </row>
    <row r="1778" spans="1:13" x14ac:dyDescent="0.2">
      <c r="A1778" t="s">
        <v>3545</v>
      </c>
      <c r="B1778" t="s">
        <v>3546</v>
      </c>
      <c r="C1778">
        <v>27</v>
      </c>
      <c r="D1778" t="s">
        <v>20</v>
      </c>
      <c r="E1778" t="s">
        <v>21</v>
      </c>
      <c r="F1778" s="1">
        <v>45963</v>
      </c>
      <c r="G1778" s="1">
        <v>46136</v>
      </c>
      <c r="H1778">
        <v>76</v>
      </c>
      <c r="I1778">
        <v>5</v>
      </c>
      <c r="J1778">
        <v>1</v>
      </c>
      <c r="K1778" t="str">
        <f t="shared" si="81"/>
        <v>Nov-2025</v>
      </c>
      <c r="L1778" s="1">
        <f t="shared" ca="1" si="82"/>
        <v>22</v>
      </c>
      <c r="M1778" t="str">
        <f t="shared" si="83"/>
        <v>26-35</v>
      </c>
    </row>
    <row r="1779" spans="1:13" x14ac:dyDescent="0.2">
      <c r="A1779" t="s">
        <v>3547</v>
      </c>
      <c r="B1779" t="s">
        <v>3548</v>
      </c>
      <c r="C1779">
        <v>59</v>
      </c>
      <c r="D1779" t="s">
        <v>20</v>
      </c>
      <c r="E1779" t="s">
        <v>21</v>
      </c>
      <c r="F1779" s="1">
        <v>45301</v>
      </c>
      <c r="G1779" s="1">
        <v>46057</v>
      </c>
      <c r="H1779">
        <v>73</v>
      </c>
      <c r="I1779">
        <v>5</v>
      </c>
      <c r="J1779">
        <v>0</v>
      </c>
      <c r="K1779" t="str">
        <f t="shared" si="81"/>
        <v>Jan-2024</v>
      </c>
      <c r="L1779" s="1">
        <f t="shared" ca="1" si="82"/>
        <v>101</v>
      </c>
      <c r="M1779" t="str">
        <f t="shared" si="83"/>
        <v>46+</v>
      </c>
    </row>
    <row r="1780" spans="1:13" x14ac:dyDescent="0.2">
      <c r="A1780" t="s">
        <v>3549</v>
      </c>
      <c r="B1780" t="s">
        <v>3550</v>
      </c>
      <c r="C1780">
        <v>46</v>
      </c>
      <c r="D1780" t="s">
        <v>20</v>
      </c>
      <c r="E1780" t="s">
        <v>13</v>
      </c>
      <c r="F1780" s="1">
        <v>45939</v>
      </c>
      <c r="G1780" s="1">
        <v>46085</v>
      </c>
      <c r="H1780">
        <v>20</v>
      </c>
      <c r="I1780">
        <v>5</v>
      </c>
      <c r="J1780">
        <v>0</v>
      </c>
      <c r="K1780" t="str">
        <f t="shared" si="81"/>
        <v>Oct-2025</v>
      </c>
      <c r="L1780" s="1">
        <f t="shared" ca="1" si="82"/>
        <v>73</v>
      </c>
      <c r="M1780" t="str">
        <f t="shared" si="83"/>
        <v>46+</v>
      </c>
    </row>
    <row r="1781" spans="1:13" x14ac:dyDescent="0.2">
      <c r="A1781" t="s">
        <v>3551</v>
      </c>
      <c r="B1781" t="s">
        <v>3552</v>
      </c>
      <c r="C1781">
        <v>31</v>
      </c>
      <c r="D1781" t="s">
        <v>20</v>
      </c>
      <c r="E1781" t="s">
        <v>13</v>
      </c>
      <c r="F1781" s="1">
        <v>45912</v>
      </c>
      <c r="G1781" s="1">
        <v>46119</v>
      </c>
      <c r="H1781">
        <v>48</v>
      </c>
      <c r="I1781">
        <v>7</v>
      </c>
      <c r="J1781">
        <v>0</v>
      </c>
      <c r="K1781" t="str">
        <f t="shared" si="81"/>
        <v>Sep-2025</v>
      </c>
      <c r="L1781" s="1">
        <f t="shared" ca="1" si="82"/>
        <v>39</v>
      </c>
      <c r="M1781" t="str">
        <f t="shared" si="83"/>
        <v>26-35</v>
      </c>
    </row>
    <row r="1782" spans="1:13" x14ac:dyDescent="0.2">
      <c r="A1782" t="s">
        <v>3553</v>
      </c>
      <c r="B1782" t="s">
        <v>3554</v>
      </c>
      <c r="C1782">
        <v>26</v>
      </c>
      <c r="D1782" t="s">
        <v>12</v>
      </c>
      <c r="E1782" t="s">
        <v>21</v>
      </c>
      <c r="F1782" s="1">
        <v>45363</v>
      </c>
      <c r="G1782" s="1">
        <v>46063</v>
      </c>
      <c r="H1782">
        <v>13</v>
      </c>
      <c r="I1782">
        <v>9</v>
      </c>
      <c r="J1782">
        <v>0</v>
      </c>
      <c r="K1782" t="str">
        <f t="shared" si="81"/>
        <v>Mar-2024</v>
      </c>
      <c r="L1782" s="1">
        <f t="shared" ca="1" si="82"/>
        <v>95</v>
      </c>
      <c r="M1782" t="str">
        <f t="shared" si="83"/>
        <v>26-35</v>
      </c>
    </row>
    <row r="1783" spans="1:13" x14ac:dyDescent="0.2">
      <c r="A1783" t="s">
        <v>3555</v>
      </c>
      <c r="B1783" t="s">
        <v>3556</v>
      </c>
      <c r="C1783">
        <v>18</v>
      </c>
      <c r="D1783" t="s">
        <v>12</v>
      </c>
      <c r="E1783" t="s">
        <v>17</v>
      </c>
      <c r="F1783" s="1">
        <v>45396</v>
      </c>
      <c r="G1783" s="1">
        <v>46126</v>
      </c>
      <c r="H1783">
        <v>24</v>
      </c>
      <c r="I1783">
        <v>2</v>
      </c>
      <c r="J1783">
        <v>0</v>
      </c>
      <c r="K1783" t="str">
        <f t="shared" si="81"/>
        <v>Apr-2024</v>
      </c>
      <c r="L1783" s="1">
        <f t="shared" ca="1" si="82"/>
        <v>32</v>
      </c>
      <c r="M1783" t="str">
        <f t="shared" si="83"/>
        <v>18-25</v>
      </c>
    </row>
    <row r="1784" spans="1:13" x14ac:dyDescent="0.2">
      <c r="A1784" t="s">
        <v>3557</v>
      </c>
      <c r="B1784" t="s">
        <v>3558</v>
      </c>
      <c r="C1784">
        <v>29</v>
      </c>
      <c r="D1784" t="s">
        <v>20</v>
      </c>
      <c r="E1784" t="s">
        <v>13</v>
      </c>
      <c r="F1784" s="1">
        <v>45461</v>
      </c>
      <c r="G1784" s="1">
        <v>46069</v>
      </c>
      <c r="H1784">
        <v>20</v>
      </c>
      <c r="I1784">
        <v>5</v>
      </c>
      <c r="J1784">
        <v>0</v>
      </c>
      <c r="K1784" t="str">
        <f t="shared" si="81"/>
        <v>Jun-2024</v>
      </c>
      <c r="L1784" s="1">
        <f t="shared" ca="1" si="82"/>
        <v>89</v>
      </c>
      <c r="M1784" t="str">
        <f t="shared" si="83"/>
        <v>26-35</v>
      </c>
    </row>
    <row r="1785" spans="1:13" x14ac:dyDescent="0.2">
      <c r="A1785" t="s">
        <v>3559</v>
      </c>
      <c r="B1785" t="s">
        <v>3560</v>
      </c>
      <c r="C1785">
        <v>32</v>
      </c>
      <c r="D1785" t="s">
        <v>20</v>
      </c>
      <c r="E1785" t="s">
        <v>21</v>
      </c>
      <c r="F1785" s="1">
        <v>45862</v>
      </c>
      <c r="G1785" s="1">
        <v>46043</v>
      </c>
      <c r="H1785">
        <v>6</v>
      </c>
      <c r="I1785">
        <v>6</v>
      </c>
      <c r="J1785">
        <v>1</v>
      </c>
      <c r="K1785" t="str">
        <f t="shared" si="81"/>
        <v>Jul-2025</v>
      </c>
      <c r="L1785" s="1">
        <f t="shared" ca="1" si="82"/>
        <v>115</v>
      </c>
      <c r="M1785" t="str">
        <f t="shared" si="83"/>
        <v>26-35</v>
      </c>
    </row>
    <row r="1786" spans="1:13" x14ac:dyDescent="0.2">
      <c r="A1786" t="s">
        <v>3561</v>
      </c>
      <c r="B1786" t="s">
        <v>3562</v>
      </c>
      <c r="C1786">
        <v>32</v>
      </c>
      <c r="D1786" t="s">
        <v>12</v>
      </c>
      <c r="E1786" t="s">
        <v>17</v>
      </c>
      <c r="F1786" s="1">
        <v>46085</v>
      </c>
      <c r="G1786" s="1">
        <v>46032</v>
      </c>
      <c r="H1786">
        <v>9</v>
      </c>
      <c r="I1786">
        <v>10</v>
      </c>
      <c r="J1786">
        <v>0</v>
      </c>
      <c r="K1786" t="str">
        <f t="shared" si="81"/>
        <v>Mar-2026</v>
      </c>
      <c r="L1786" s="1">
        <f t="shared" ca="1" si="82"/>
        <v>126</v>
      </c>
      <c r="M1786" t="str">
        <f t="shared" si="83"/>
        <v>26-35</v>
      </c>
    </row>
    <row r="1787" spans="1:13" x14ac:dyDescent="0.2">
      <c r="A1787" t="s">
        <v>3563</v>
      </c>
      <c r="B1787" t="s">
        <v>3564</v>
      </c>
      <c r="C1787">
        <v>44</v>
      </c>
      <c r="D1787" t="s">
        <v>16</v>
      </c>
      <c r="E1787" t="s">
        <v>13</v>
      </c>
      <c r="F1787" s="1">
        <v>45281</v>
      </c>
      <c r="G1787" s="1">
        <v>46091</v>
      </c>
      <c r="H1787">
        <v>44</v>
      </c>
      <c r="I1787">
        <v>4</v>
      </c>
      <c r="J1787">
        <v>0</v>
      </c>
      <c r="K1787" t="str">
        <f t="shared" si="81"/>
        <v>Dec-2023</v>
      </c>
      <c r="L1787" s="1">
        <f t="shared" ca="1" si="82"/>
        <v>67</v>
      </c>
      <c r="M1787" t="str">
        <f t="shared" si="83"/>
        <v>36-45</v>
      </c>
    </row>
    <row r="1788" spans="1:13" x14ac:dyDescent="0.2">
      <c r="A1788" t="s">
        <v>3565</v>
      </c>
      <c r="B1788" t="s">
        <v>3566</v>
      </c>
      <c r="C1788">
        <v>19</v>
      </c>
      <c r="D1788" t="s">
        <v>16</v>
      </c>
      <c r="E1788" t="s">
        <v>17</v>
      </c>
      <c r="F1788" s="1">
        <v>45705</v>
      </c>
      <c r="G1788" s="1">
        <v>46101</v>
      </c>
      <c r="H1788">
        <v>68</v>
      </c>
      <c r="I1788">
        <v>5</v>
      </c>
      <c r="J1788">
        <v>1</v>
      </c>
      <c r="K1788" t="str">
        <f t="shared" si="81"/>
        <v>Feb-2025</v>
      </c>
      <c r="L1788" s="1">
        <f t="shared" ca="1" si="82"/>
        <v>57</v>
      </c>
      <c r="M1788" t="str">
        <f t="shared" si="83"/>
        <v>18-25</v>
      </c>
    </row>
    <row r="1789" spans="1:13" x14ac:dyDescent="0.2">
      <c r="A1789" t="s">
        <v>3567</v>
      </c>
      <c r="B1789" t="s">
        <v>3568</v>
      </c>
      <c r="C1789">
        <v>18</v>
      </c>
      <c r="D1789" t="s">
        <v>12</v>
      </c>
      <c r="E1789" t="s">
        <v>17</v>
      </c>
      <c r="F1789" s="1">
        <v>45442</v>
      </c>
      <c r="G1789" s="1">
        <v>46128</v>
      </c>
      <c r="H1789">
        <v>65</v>
      </c>
      <c r="I1789">
        <v>9</v>
      </c>
      <c r="J1789">
        <v>1</v>
      </c>
      <c r="K1789" t="str">
        <f t="shared" si="81"/>
        <v>May-2024</v>
      </c>
      <c r="L1789" s="1">
        <f t="shared" ca="1" si="82"/>
        <v>30</v>
      </c>
      <c r="M1789" t="str">
        <f t="shared" si="83"/>
        <v>18-25</v>
      </c>
    </row>
    <row r="1790" spans="1:13" x14ac:dyDescent="0.2">
      <c r="A1790" t="s">
        <v>3569</v>
      </c>
      <c r="B1790" t="s">
        <v>3570</v>
      </c>
      <c r="C1790">
        <v>21</v>
      </c>
      <c r="D1790" t="s">
        <v>12</v>
      </c>
      <c r="E1790" t="s">
        <v>17</v>
      </c>
      <c r="F1790" s="1">
        <v>45779</v>
      </c>
      <c r="G1790" s="1">
        <v>46040</v>
      </c>
      <c r="H1790">
        <v>34</v>
      </c>
      <c r="I1790">
        <v>10</v>
      </c>
      <c r="J1790">
        <v>1</v>
      </c>
      <c r="K1790" t="str">
        <f t="shared" si="81"/>
        <v>May-2025</v>
      </c>
      <c r="L1790" s="1">
        <f t="shared" ca="1" si="82"/>
        <v>118</v>
      </c>
      <c r="M1790" t="str">
        <f t="shared" si="83"/>
        <v>18-25</v>
      </c>
    </row>
    <row r="1791" spans="1:13" x14ac:dyDescent="0.2">
      <c r="A1791" t="s">
        <v>3571</v>
      </c>
      <c r="B1791" t="s">
        <v>3572</v>
      </c>
      <c r="C1791">
        <v>24</v>
      </c>
      <c r="D1791" t="s">
        <v>12</v>
      </c>
      <c r="E1791" t="s">
        <v>21</v>
      </c>
      <c r="F1791" s="1">
        <v>45516</v>
      </c>
      <c r="G1791" s="1">
        <v>46107</v>
      </c>
      <c r="H1791">
        <v>79</v>
      </c>
      <c r="I1791">
        <v>10</v>
      </c>
      <c r="J1791">
        <v>0</v>
      </c>
      <c r="K1791" t="str">
        <f t="shared" si="81"/>
        <v>Aug-2024</v>
      </c>
      <c r="L1791" s="1">
        <f t="shared" ca="1" si="82"/>
        <v>51</v>
      </c>
      <c r="M1791" t="str">
        <f t="shared" si="83"/>
        <v>18-25</v>
      </c>
    </row>
    <row r="1792" spans="1:13" x14ac:dyDescent="0.2">
      <c r="A1792" t="s">
        <v>3573</v>
      </c>
      <c r="B1792" t="s">
        <v>3574</v>
      </c>
      <c r="C1792">
        <v>25</v>
      </c>
      <c r="D1792" t="s">
        <v>12</v>
      </c>
      <c r="E1792" t="s">
        <v>17</v>
      </c>
      <c r="F1792" s="1">
        <v>45974</v>
      </c>
      <c r="G1792" s="1">
        <v>46149</v>
      </c>
      <c r="H1792">
        <v>26</v>
      </c>
      <c r="I1792">
        <v>6</v>
      </c>
      <c r="J1792">
        <v>0</v>
      </c>
      <c r="K1792" t="str">
        <f t="shared" si="81"/>
        <v>Nov-2025</v>
      </c>
      <c r="L1792" s="1">
        <f t="shared" ca="1" si="82"/>
        <v>9</v>
      </c>
      <c r="M1792" t="str">
        <f t="shared" si="83"/>
        <v>18-25</v>
      </c>
    </row>
    <row r="1793" spans="1:13" x14ac:dyDescent="0.2">
      <c r="A1793" t="s">
        <v>3575</v>
      </c>
      <c r="B1793" t="s">
        <v>3576</v>
      </c>
      <c r="C1793">
        <v>50</v>
      </c>
      <c r="D1793" t="s">
        <v>12</v>
      </c>
      <c r="E1793" t="s">
        <v>13</v>
      </c>
      <c r="F1793" s="1">
        <v>45683</v>
      </c>
      <c r="G1793" s="1">
        <v>46059</v>
      </c>
      <c r="H1793">
        <v>19</v>
      </c>
      <c r="I1793">
        <v>1</v>
      </c>
      <c r="J1793">
        <v>0</v>
      </c>
      <c r="K1793" t="str">
        <f t="shared" si="81"/>
        <v>Jan-2025</v>
      </c>
      <c r="L1793" s="1">
        <f t="shared" ca="1" si="82"/>
        <v>99</v>
      </c>
      <c r="M1793" t="str">
        <f t="shared" si="83"/>
        <v>46+</v>
      </c>
    </row>
    <row r="1794" spans="1:13" x14ac:dyDescent="0.2">
      <c r="A1794" t="s">
        <v>3577</v>
      </c>
      <c r="B1794" t="s">
        <v>3578</v>
      </c>
      <c r="C1794">
        <v>34</v>
      </c>
      <c r="D1794" t="s">
        <v>20</v>
      </c>
      <c r="E1794" t="s">
        <v>21</v>
      </c>
      <c r="F1794" s="1">
        <v>45511</v>
      </c>
      <c r="G1794" s="1">
        <v>46097</v>
      </c>
      <c r="H1794">
        <v>40</v>
      </c>
      <c r="I1794">
        <v>10</v>
      </c>
      <c r="J1794">
        <v>0</v>
      </c>
      <c r="K1794" t="str">
        <f t="shared" si="81"/>
        <v>Aug-2024</v>
      </c>
      <c r="L1794" s="1">
        <f t="shared" ca="1" si="82"/>
        <v>61</v>
      </c>
      <c r="M1794" t="str">
        <f t="shared" si="83"/>
        <v>26-35</v>
      </c>
    </row>
    <row r="1795" spans="1:13" x14ac:dyDescent="0.2">
      <c r="A1795" t="s">
        <v>3579</v>
      </c>
      <c r="B1795" t="s">
        <v>3580</v>
      </c>
      <c r="C1795">
        <v>25</v>
      </c>
      <c r="D1795" t="s">
        <v>12</v>
      </c>
      <c r="E1795" t="s">
        <v>21</v>
      </c>
      <c r="F1795" s="1">
        <v>45542</v>
      </c>
      <c r="G1795" s="1">
        <v>46131</v>
      </c>
      <c r="H1795">
        <v>55</v>
      </c>
      <c r="I1795">
        <v>8</v>
      </c>
      <c r="J1795">
        <v>0</v>
      </c>
      <c r="K1795" t="str">
        <f t="shared" ref="K1795:K1858" si="84">TEXT(F1795,"MMM-YYYY")</f>
        <v>Sep-2024</v>
      </c>
      <c r="L1795" s="1">
        <f t="shared" ref="L1795:L1858" ca="1" si="85">TODAY()-G1795</f>
        <v>27</v>
      </c>
      <c r="M1795" t="str">
        <f t="shared" ref="M1795:M1858" si="86">IF(C1795&lt;=25,"18-25",IF(C1795&lt;=35,"26-35",IF(C1795&lt;=45,"36-45","46+")))</f>
        <v>18-25</v>
      </c>
    </row>
    <row r="1796" spans="1:13" x14ac:dyDescent="0.2">
      <c r="A1796" t="s">
        <v>3581</v>
      </c>
      <c r="B1796" t="s">
        <v>3582</v>
      </c>
      <c r="C1796">
        <v>33</v>
      </c>
      <c r="D1796" t="s">
        <v>20</v>
      </c>
      <c r="E1796" t="s">
        <v>13</v>
      </c>
      <c r="F1796" s="1">
        <v>46100</v>
      </c>
      <c r="G1796" s="1">
        <v>46063</v>
      </c>
      <c r="H1796">
        <v>46</v>
      </c>
      <c r="I1796">
        <v>2</v>
      </c>
      <c r="J1796">
        <v>1</v>
      </c>
      <c r="K1796" t="str">
        <f t="shared" si="84"/>
        <v>Mar-2026</v>
      </c>
      <c r="L1796" s="1">
        <f t="shared" ca="1" si="85"/>
        <v>95</v>
      </c>
      <c r="M1796" t="str">
        <f t="shared" si="86"/>
        <v>26-35</v>
      </c>
    </row>
    <row r="1797" spans="1:13" x14ac:dyDescent="0.2">
      <c r="A1797" t="s">
        <v>3583</v>
      </c>
      <c r="B1797" t="s">
        <v>3584</v>
      </c>
      <c r="C1797">
        <v>35</v>
      </c>
      <c r="D1797" t="s">
        <v>16</v>
      </c>
      <c r="E1797" t="s">
        <v>21</v>
      </c>
      <c r="F1797" s="1">
        <v>46053</v>
      </c>
      <c r="G1797" s="1">
        <v>46083</v>
      </c>
      <c r="H1797">
        <v>20</v>
      </c>
      <c r="I1797">
        <v>2</v>
      </c>
      <c r="J1797">
        <v>1</v>
      </c>
      <c r="K1797" t="str">
        <f t="shared" si="84"/>
        <v>Jan-2026</v>
      </c>
      <c r="L1797" s="1">
        <f t="shared" ca="1" si="85"/>
        <v>75</v>
      </c>
      <c r="M1797" t="str">
        <f t="shared" si="86"/>
        <v>26-35</v>
      </c>
    </row>
    <row r="1798" spans="1:13" x14ac:dyDescent="0.2">
      <c r="A1798" t="s">
        <v>3585</v>
      </c>
      <c r="B1798" t="s">
        <v>3586</v>
      </c>
      <c r="C1798">
        <v>35</v>
      </c>
      <c r="D1798" t="s">
        <v>12</v>
      </c>
      <c r="E1798" t="s">
        <v>21</v>
      </c>
      <c r="F1798" s="1">
        <v>45824</v>
      </c>
      <c r="G1798" s="1">
        <v>46051</v>
      </c>
      <c r="H1798">
        <v>48</v>
      </c>
      <c r="I1798">
        <v>8</v>
      </c>
      <c r="J1798">
        <v>0</v>
      </c>
      <c r="K1798" t="str">
        <f t="shared" si="84"/>
        <v>Jun-2025</v>
      </c>
      <c r="L1798" s="1">
        <f t="shared" ca="1" si="85"/>
        <v>107</v>
      </c>
      <c r="M1798" t="str">
        <f t="shared" si="86"/>
        <v>26-35</v>
      </c>
    </row>
    <row r="1799" spans="1:13" x14ac:dyDescent="0.2">
      <c r="A1799" t="s">
        <v>3587</v>
      </c>
      <c r="B1799" t="s">
        <v>3588</v>
      </c>
      <c r="C1799">
        <v>58</v>
      </c>
      <c r="D1799" t="s">
        <v>16</v>
      </c>
      <c r="E1799" t="s">
        <v>13</v>
      </c>
      <c r="F1799" s="1">
        <v>45693</v>
      </c>
      <c r="G1799" s="1">
        <v>46050</v>
      </c>
      <c r="H1799">
        <v>9</v>
      </c>
      <c r="I1799">
        <v>1</v>
      </c>
      <c r="J1799">
        <v>0</v>
      </c>
      <c r="K1799" t="str">
        <f t="shared" si="84"/>
        <v>Feb-2025</v>
      </c>
      <c r="L1799" s="1">
        <f t="shared" ca="1" si="85"/>
        <v>108</v>
      </c>
      <c r="M1799" t="str">
        <f t="shared" si="86"/>
        <v>46+</v>
      </c>
    </row>
    <row r="1800" spans="1:13" x14ac:dyDescent="0.2">
      <c r="A1800" t="s">
        <v>3589</v>
      </c>
      <c r="B1800" t="s">
        <v>3590</v>
      </c>
      <c r="C1800">
        <v>26</v>
      </c>
      <c r="D1800" t="s">
        <v>12</v>
      </c>
      <c r="E1800" t="s">
        <v>21</v>
      </c>
      <c r="F1800" s="1">
        <v>45202</v>
      </c>
      <c r="G1800" s="1">
        <v>46130</v>
      </c>
      <c r="H1800">
        <v>18</v>
      </c>
      <c r="I1800">
        <v>6</v>
      </c>
      <c r="J1800">
        <v>1</v>
      </c>
      <c r="K1800" t="str">
        <f t="shared" si="84"/>
        <v>Oct-2023</v>
      </c>
      <c r="L1800" s="1">
        <f t="shared" ca="1" si="85"/>
        <v>28</v>
      </c>
      <c r="M1800" t="str">
        <f t="shared" si="86"/>
        <v>26-35</v>
      </c>
    </row>
    <row r="1801" spans="1:13" x14ac:dyDescent="0.2">
      <c r="A1801" t="s">
        <v>3591</v>
      </c>
      <c r="B1801" t="s">
        <v>3592</v>
      </c>
      <c r="C1801">
        <v>20</v>
      </c>
      <c r="D1801" t="s">
        <v>16</v>
      </c>
      <c r="E1801" t="s">
        <v>21</v>
      </c>
      <c r="F1801" s="1">
        <v>46019</v>
      </c>
      <c r="G1801" s="1">
        <v>46127</v>
      </c>
      <c r="H1801">
        <v>9</v>
      </c>
      <c r="I1801">
        <v>5</v>
      </c>
      <c r="J1801">
        <v>1</v>
      </c>
      <c r="K1801" t="str">
        <f t="shared" si="84"/>
        <v>Dec-2025</v>
      </c>
      <c r="L1801" s="1">
        <f t="shared" ca="1" si="85"/>
        <v>31</v>
      </c>
      <c r="M1801" t="str">
        <f t="shared" si="86"/>
        <v>18-25</v>
      </c>
    </row>
    <row r="1802" spans="1:13" x14ac:dyDescent="0.2">
      <c r="A1802" t="s">
        <v>3593</v>
      </c>
      <c r="B1802" t="s">
        <v>3594</v>
      </c>
      <c r="C1802">
        <v>44</v>
      </c>
      <c r="D1802" t="s">
        <v>12</v>
      </c>
      <c r="E1802" t="s">
        <v>21</v>
      </c>
      <c r="F1802" s="1">
        <v>45928</v>
      </c>
      <c r="G1802" s="1">
        <v>46142</v>
      </c>
      <c r="H1802">
        <v>3</v>
      </c>
      <c r="I1802">
        <v>5</v>
      </c>
      <c r="J1802">
        <v>0</v>
      </c>
      <c r="K1802" t="str">
        <f t="shared" si="84"/>
        <v>Sep-2025</v>
      </c>
      <c r="L1802" s="1">
        <f t="shared" ca="1" si="85"/>
        <v>16</v>
      </c>
      <c r="M1802" t="str">
        <f t="shared" si="86"/>
        <v>36-45</v>
      </c>
    </row>
    <row r="1803" spans="1:13" x14ac:dyDescent="0.2">
      <c r="A1803" t="s">
        <v>3595</v>
      </c>
      <c r="B1803" t="s">
        <v>3596</v>
      </c>
      <c r="C1803">
        <v>29</v>
      </c>
      <c r="D1803" t="s">
        <v>12</v>
      </c>
      <c r="E1803" t="s">
        <v>21</v>
      </c>
      <c r="F1803" s="1">
        <v>45437</v>
      </c>
      <c r="G1803" s="1">
        <v>46057</v>
      </c>
      <c r="H1803">
        <v>41</v>
      </c>
      <c r="I1803">
        <v>7</v>
      </c>
      <c r="J1803">
        <v>0</v>
      </c>
      <c r="K1803" t="str">
        <f t="shared" si="84"/>
        <v>May-2024</v>
      </c>
      <c r="L1803" s="1">
        <f t="shared" ca="1" si="85"/>
        <v>101</v>
      </c>
      <c r="M1803" t="str">
        <f t="shared" si="86"/>
        <v>26-35</v>
      </c>
    </row>
    <row r="1804" spans="1:13" x14ac:dyDescent="0.2">
      <c r="A1804" t="s">
        <v>3597</v>
      </c>
      <c r="B1804" t="s">
        <v>3598</v>
      </c>
      <c r="C1804">
        <v>49</v>
      </c>
      <c r="D1804" t="s">
        <v>12</v>
      </c>
      <c r="E1804" t="s">
        <v>17</v>
      </c>
      <c r="F1804" s="1">
        <v>45525</v>
      </c>
      <c r="G1804" s="1">
        <v>46086</v>
      </c>
      <c r="H1804">
        <v>40</v>
      </c>
      <c r="I1804">
        <v>3</v>
      </c>
      <c r="J1804">
        <v>1</v>
      </c>
      <c r="K1804" t="str">
        <f t="shared" si="84"/>
        <v>Aug-2024</v>
      </c>
      <c r="L1804" s="1">
        <f t="shared" ca="1" si="85"/>
        <v>72</v>
      </c>
      <c r="M1804" t="str">
        <f t="shared" si="86"/>
        <v>46+</v>
      </c>
    </row>
    <row r="1805" spans="1:13" x14ac:dyDescent="0.2">
      <c r="A1805" t="s">
        <v>3599</v>
      </c>
      <c r="B1805" t="s">
        <v>3600</v>
      </c>
      <c r="C1805">
        <v>18</v>
      </c>
      <c r="D1805" t="s">
        <v>16</v>
      </c>
      <c r="E1805" t="s">
        <v>17</v>
      </c>
      <c r="F1805" s="1">
        <v>46092</v>
      </c>
      <c r="G1805" s="1">
        <v>46109</v>
      </c>
      <c r="H1805">
        <v>10</v>
      </c>
      <c r="I1805">
        <v>1</v>
      </c>
      <c r="J1805">
        <v>1</v>
      </c>
      <c r="K1805" t="str">
        <f t="shared" si="84"/>
        <v>Mar-2026</v>
      </c>
      <c r="L1805" s="1">
        <f t="shared" ca="1" si="85"/>
        <v>49</v>
      </c>
      <c r="M1805" t="str">
        <f t="shared" si="86"/>
        <v>18-25</v>
      </c>
    </row>
    <row r="1806" spans="1:13" x14ac:dyDescent="0.2">
      <c r="A1806" t="s">
        <v>3601</v>
      </c>
      <c r="B1806" t="s">
        <v>3602</v>
      </c>
      <c r="C1806">
        <v>23</v>
      </c>
      <c r="D1806" t="s">
        <v>12</v>
      </c>
      <c r="E1806" t="s">
        <v>21</v>
      </c>
      <c r="F1806" s="1">
        <v>45174</v>
      </c>
      <c r="G1806" s="1">
        <v>46098</v>
      </c>
      <c r="H1806">
        <v>2</v>
      </c>
      <c r="I1806">
        <v>2</v>
      </c>
      <c r="J1806">
        <v>1</v>
      </c>
      <c r="K1806" t="str">
        <f t="shared" si="84"/>
        <v>Sep-2023</v>
      </c>
      <c r="L1806" s="1">
        <f t="shared" ca="1" si="85"/>
        <v>60</v>
      </c>
      <c r="M1806" t="str">
        <f t="shared" si="86"/>
        <v>18-25</v>
      </c>
    </row>
    <row r="1807" spans="1:13" x14ac:dyDescent="0.2">
      <c r="A1807" t="s">
        <v>3603</v>
      </c>
      <c r="B1807" t="s">
        <v>3604</v>
      </c>
      <c r="C1807">
        <v>46</v>
      </c>
      <c r="D1807" t="s">
        <v>12</v>
      </c>
      <c r="E1807" t="s">
        <v>17</v>
      </c>
      <c r="F1807" s="1">
        <v>45170</v>
      </c>
      <c r="G1807" s="1">
        <v>46149</v>
      </c>
      <c r="H1807">
        <v>28</v>
      </c>
      <c r="I1807">
        <v>3</v>
      </c>
      <c r="J1807">
        <v>1</v>
      </c>
      <c r="K1807" t="str">
        <f t="shared" si="84"/>
        <v>Sep-2023</v>
      </c>
      <c r="L1807" s="1">
        <f t="shared" ca="1" si="85"/>
        <v>9</v>
      </c>
      <c r="M1807" t="str">
        <f t="shared" si="86"/>
        <v>46+</v>
      </c>
    </row>
    <row r="1808" spans="1:13" x14ac:dyDescent="0.2">
      <c r="A1808" t="s">
        <v>3605</v>
      </c>
      <c r="B1808" t="s">
        <v>3606</v>
      </c>
      <c r="C1808">
        <v>18</v>
      </c>
      <c r="D1808" t="s">
        <v>12</v>
      </c>
      <c r="E1808" t="s">
        <v>21</v>
      </c>
      <c r="F1808" s="1">
        <v>45373</v>
      </c>
      <c r="G1808" s="1">
        <v>46117</v>
      </c>
      <c r="H1808">
        <v>18</v>
      </c>
      <c r="I1808">
        <v>8</v>
      </c>
      <c r="J1808">
        <v>0</v>
      </c>
      <c r="K1808" t="str">
        <f t="shared" si="84"/>
        <v>Mar-2024</v>
      </c>
      <c r="L1808" s="1">
        <f t="shared" ca="1" si="85"/>
        <v>41</v>
      </c>
      <c r="M1808" t="str">
        <f t="shared" si="86"/>
        <v>18-25</v>
      </c>
    </row>
    <row r="1809" spans="1:13" x14ac:dyDescent="0.2">
      <c r="A1809" t="s">
        <v>3607</v>
      </c>
      <c r="B1809" t="s">
        <v>3608</v>
      </c>
      <c r="C1809">
        <v>25</v>
      </c>
      <c r="D1809" t="s">
        <v>16</v>
      </c>
      <c r="E1809" t="s">
        <v>13</v>
      </c>
      <c r="F1809" s="1">
        <v>45456</v>
      </c>
      <c r="G1809" s="1">
        <v>46055</v>
      </c>
      <c r="H1809">
        <v>79</v>
      </c>
      <c r="I1809">
        <v>10</v>
      </c>
      <c r="J1809">
        <v>0</v>
      </c>
      <c r="K1809" t="str">
        <f t="shared" si="84"/>
        <v>Jun-2024</v>
      </c>
      <c r="L1809" s="1">
        <f t="shared" ca="1" si="85"/>
        <v>103</v>
      </c>
      <c r="M1809" t="str">
        <f t="shared" si="86"/>
        <v>18-25</v>
      </c>
    </row>
    <row r="1810" spans="1:13" x14ac:dyDescent="0.2">
      <c r="A1810" t="s">
        <v>3609</v>
      </c>
      <c r="B1810" t="s">
        <v>3610</v>
      </c>
      <c r="C1810">
        <v>45</v>
      </c>
      <c r="D1810" t="s">
        <v>20</v>
      </c>
      <c r="E1810" t="s">
        <v>21</v>
      </c>
      <c r="F1810" s="1">
        <v>45436</v>
      </c>
      <c r="G1810" s="1">
        <v>46080</v>
      </c>
      <c r="H1810">
        <v>63</v>
      </c>
      <c r="I1810">
        <v>4</v>
      </c>
      <c r="J1810">
        <v>1</v>
      </c>
      <c r="K1810" t="str">
        <f t="shared" si="84"/>
        <v>May-2024</v>
      </c>
      <c r="L1810" s="1">
        <f t="shared" ca="1" si="85"/>
        <v>78</v>
      </c>
      <c r="M1810" t="str">
        <f t="shared" si="86"/>
        <v>36-45</v>
      </c>
    </row>
    <row r="1811" spans="1:13" x14ac:dyDescent="0.2">
      <c r="A1811" t="s">
        <v>3611</v>
      </c>
      <c r="B1811" t="s">
        <v>3612</v>
      </c>
      <c r="C1811">
        <v>43</v>
      </c>
      <c r="D1811" t="s">
        <v>20</v>
      </c>
      <c r="E1811" t="s">
        <v>17</v>
      </c>
      <c r="F1811" s="1">
        <v>45484</v>
      </c>
      <c r="G1811" s="1">
        <v>46073</v>
      </c>
      <c r="H1811">
        <v>17</v>
      </c>
      <c r="I1811">
        <v>1</v>
      </c>
      <c r="J1811">
        <v>0</v>
      </c>
      <c r="K1811" t="str">
        <f t="shared" si="84"/>
        <v>Jul-2024</v>
      </c>
      <c r="L1811" s="1">
        <f t="shared" ca="1" si="85"/>
        <v>85</v>
      </c>
      <c r="M1811" t="str">
        <f t="shared" si="86"/>
        <v>36-45</v>
      </c>
    </row>
    <row r="1812" spans="1:13" x14ac:dyDescent="0.2">
      <c r="A1812" t="s">
        <v>3613</v>
      </c>
      <c r="B1812" t="s">
        <v>3614</v>
      </c>
      <c r="C1812">
        <v>45</v>
      </c>
      <c r="D1812" t="s">
        <v>12</v>
      </c>
      <c r="E1812" t="s">
        <v>13</v>
      </c>
      <c r="F1812" s="1">
        <v>45848</v>
      </c>
      <c r="G1812" s="1">
        <v>46105</v>
      </c>
      <c r="H1812">
        <v>12</v>
      </c>
      <c r="I1812">
        <v>7</v>
      </c>
      <c r="J1812">
        <v>0</v>
      </c>
      <c r="K1812" t="str">
        <f t="shared" si="84"/>
        <v>Jul-2025</v>
      </c>
      <c r="L1812" s="1">
        <f t="shared" ca="1" si="85"/>
        <v>53</v>
      </c>
      <c r="M1812" t="str">
        <f t="shared" si="86"/>
        <v>36-45</v>
      </c>
    </row>
    <row r="1813" spans="1:13" x14ac:dyDescent="0.2">
      <c r="A1813" t="s">
        <v>3615</v>
      </c>
      <c r="B1813" t="s">
        <v>3616</v>
      </c>
      <c r="C1813">
        <v>40</v>
      </c>
      <c r="D1813" t="s">
        <v>20</v>
      </c>
      <c r="E1813" t="s">
        <v>13</v>
      </c>
      <c r="F1813" s="1">
        <v>45458</v>
      </c>
      <c r="G1813" s="1">
        <v>46049</v>
      </c>
      <c r="H1813">
        <v>80</v>
      </c>
      <c r="I1813">
        <v>8</v>
      </c>
      <c r="J1813">
        <v>1</v>
      </c>
      <c r="K1813" t="str">
        <f t="shared" si="84"/>
        <v>Jun-2024</v>
      </c>
      <c r="L1813" s="1">
        <f t="shared" ca="1" si="85"/>
        <v>109</v>
      </c>
      <c r="M1813" t="str">
        <f t="shared" si="86"/>
        <v>36-45</v>
      </c>
    </row>
    <row r="1814" spans="1:13" x14ac:dyDescent="0.2">
      <c r="A1814" t="s">
        <v>3617</v>
      </c>
      <c r="B1814" t="s">
        <v>3618</v>
      </c>
      <c r="C1814">
        <v>47</v>
      </c>
      <c r="D1814" t="s">
        <v>16</v>
      </c>
      <c r="E1814" t="s">
        <v>21</v>
      </c>
      <c r="F1814" s="1">
        <v>45537</v>
      </c>
      <c r="G1814" s="1">
        <v>46083</v>
      </c>
      <c r="H1814">
        <v>29</v>
      </c>
      <c r="I1814">
        <v>7</v>
      </c>
      <c r="J1814">
        <v>0</v>
      </c>
      <c r="K1814" t="str">
        <f t="shared" si="84"/>
        <v>Sep-2024</v>
      </c>
      <c r="L1814" s="1">
        <f t="shared" ca="1" si="85"/>
        <v>75</v>
      </c>
      <c r="M1814" t="str">
        <f t="shared" si="86"/>
        <v>46+</v>
      </c>
    </row>
    <row r="1815" spans="1:13" x14ac:dyDescent="0.2">
      <c r="A1815" t="s">
        <v>3619</v>
      </c>
      <c r="B1815" t="s">
        <v>3620</v>
      </c>
      <c r="C1815">
        <v>22</v>
      </c>
      <c r="D1815" t="s">
        <v>12</v>
      </c>
      <c r="E1815" t="s">
        <v>13</v>
      </c>
      <c r="F1815" s="1">
        <v>45914</v>
      </c>
      <c r="G1815" s="1">
        <v>46114</v>
      </c>
      <c r="H1815">
        <v>11</v>
      </c>
      <c r="I1815">
        <v>5</v>
      </c>
      <c r="J1815">
        <v>0</v>
      </c>
      <c r="K1815" t="str">
        <f t="shared" si="84"/>
        <v>Sep-2025</v>
      </c>
      <c r="L1815" s="1">
        <f t="shared" ca="1" si="85"/>
        <v>44</v>
      </c>
      <c r="M1815" t="str">
        <f t="shared" si="86"/>
        <v>18-25</v>
      </c>
    </row>
    <row r="1816" spans="1:13" x14ac:dyDescent="0.2">
      <c r="A1816" t="s">
        <v>3621</v>
      </c>
      <c r="B1816" t="s">
        <v>3622</v>
      </c>
      <c r="C1816">
        <v>38</v>
      </c>
      <c r="D1816" t="s">
        <v>20</v>
      </c>
      <c r="E1816" t="s">
        <v>21</v>
      </c>
      <c r="F1816" s="1">
        <v>45399</v>
      </c>
      <c r="G1816" s="1">
        <v>46110</v>
      </c>
      <c r="H1816">
        <v>18</v>
      </c>
      <c r="I1816">
        <v>1</v>
      </c>
      <c r="J1816">
        <v>0</v>
      </c>
      <c r="K1816" t="str">
        <f t="shared" si="84"/>
        <v>Apr-2024</v>
      </c>
      <c r="L1816" s="1">
        <f t="shared" ca="1" si="85"/>
        <v>48</v>
      </c>
      <c r="M1816" t="str">
        <f t="shared" si="86"/>
        <v>36-45</v>
      </c>
    </row>
    <row r="1817" spans="1:13" x14ac:dyDescent="0.2">
      <c r="A1817" t="s">
        <v>3623</v>
      </c>
      <c r="B1817" t="s">
        <v>3624</v>
      </c>
      <c r="C1817">
        <v>37</v>
      </c>
      <c r="D1817" t="s">
        <v>12</v>
      </c>
      <c r="E1817" t="s">
        <v>17</v>
      </c>
      <c r="F1817" s="1">
        <v>45415</v>
      </c>
      <c r="G1817" s="1">
        <v>46088</v>
      </c>
      <c r="H1817">
        <v>60</v>
      </c>
      <c r="I1817">
        <v>3</v>
      </c>
      <c r="J1817">
        <v>1</v>
      </c>
      <c r="K1817" t="str">
        <f t="shared" si="84"/>
        <v>May-2024</v>
      </c>
      <c r="L1817" s="1">
        <f t="shared" ca="1" si="85"/>
        <v>70</v>
      </c>
      <c r="M1817" t="str">
        <f t="shared" si="86"/>
        <v>36-45</v>
      </c>
    </row>
    <row r="1818" spans="1:13" x14ac:dyDescent="0.2">
      <c r="A1818" t="s">
        <v>3625</v>
      </c>
      <c r="B1818" t="s">
        <v>3626</v>
      </c>
      <c r="C1818">
        <v>27</v>
      </c>
      <c r="D1818" t="s">
        <v>12</v>
      </c>
      <c r="E1818" t="s">
        <v>21</v>
      </c>
      <c r="F1818" s="1">
        <v>45890</v>
      </c>
      <c r="G1818" s="1">
        <v>46066</v>
      </c>
      <c r="H1818">
        <v>51</v>
      </c>
      <c r="I1818">
        <v>7</v>
      </c>
      <c r="J1818">
        <v>0</v>
      </c>
      <c r="K1818" t="str">
        <f t="shared" si="84"/>
        <v>Aug-2025</v>
      </c>
      <c r="L1818" s="1">
        <f t="shared" ca="1" si="85"/>
        <v>92</v>
      </c>
      <c r="M1818" t="str">
        <f t="shared" si="86"/>
        <v>26-35</v>
      </c>
    </row>
    <row r="1819" spans="1:13" x14ac:dyDescent="0.2">
      <c r="A1819" t="s">
        <v>3627</v>
      </c>
      <c r="B1819" t="s">
        <v>3628</v>
      </c>
      <c r="C1819">
        <v>24</v>
      </c>
      <c r="D1819" t="s">
        <v>16</v>
      </c>
      <c r="E1819" t="s">
        <v>17</v>
      </c>
      <c r="F1819" s="1">
        <v>45842</v>
      </c>
      <c r="G1819" s="1">
        <v>46065</v>
      </c>
      <c r="H1819">
        <v>7</v>
      </c>
      <c r="I1819">
        <v>5</v>
      </c>
      <c r="J1819">
        <v>1</v>
      </c>
      <c r="K1819" t="str">
        <f t="shared" si="84"/>
        <v>Jul-2025</v>
      </c>
      <c r="L1819" s="1">
        <f t="shared" ca="1" si="85"/>
        <v>93</v>
      </c>
      <c r="M1819" t="str">
        <f t="shared" si="86"/>
        <v>18-25</v>
      </c>
    </row>
    <row r="1820" spans="1:13" x14ac:dyDescent="0.2">
      <c r="A1820" t="s">
        <v>3629</v>
      </c>
      <c r="B1820" t="s">
        <v>3630</v>
      </c>
      <c r="C1820">
        <v>25</v>
      </c>
      <c r="D1820" t="s">
        <v>16</v>
      </c>
      <c r="E1820" t="s">
        <v>21</v>
      </c>
      <c r="F1820" s="1">
        <v>45673</v>
      </c>
      <c r="G1820" s="1">
        <v>46042</v>
      </c>
      <c r="H1820">
        <v>8</v>
      </c>
      <c r="I1820">
        <v>6</v>
      </c>
      <c r="J1820">
        <v>0</v>
      </c>
      <c r="K1820" t="str">
        <f t="shared" si="84"/>
        <v>Jan-2025</v>
      </c>
      <c r="L1820" s="1">
        <f t="shared" ca="1" si="85"/>
        <v>116</v>
      </c>
      <c r="M1820" t="str">
        <f t="shared" si="86"/>
        <v>18-25</v>
      </c>
    </row>
    <row r="1821" spans="1:13" x14ac:dyDescent="0.2">
      <c r="A1821" t="s">
        <v>3631</v>
      </c>
      <c r="B1821" t="s">
        <v>3632</v>
      </c>
      <c r="C1821">
        <v>35</v>
      </c>
      <c r="D1821" t="s">
        <v>16</v>
      </c>
      <c r="E1821" t="s">
        <v>21</v>
      </c>
      <c r="F1821" s="1">
        <v>46046</v>
      </c>
      <c r="G1821" s="1">
        <v>46099</v>
      </c>
      <c r="H1821">
        <v>61</v>
      </c>
      <c r="I1821">
        <v>2</v>
      </c>
      <c r="J1821">
        <v>0</v>
      </c>
      <c r="K1821" t="str">
        <f t="shared" si="84"/>
        <v>Jan-2026</v>
      </c>
      <c r="L1821" s="1">
        <f t="shared" ca="1" si="85"/>
        <v>59</v>
      </c>
      <c r="M1821" t="str">
        <f t="shared" si="86"/>
        <v>26-35</v>
      </c>
    </row>
    <row r="1822" spans="1:13" x14ac:dyDescent="0.2">
      <c r="A1822" t="s">
        <v>3633</v>
      </c>
      <c r="B1822" t="s">
        <v>3634</v>
      </c>
      <c r="C1822">
        <v>47</v>
      </c>
      <c r="D1822" t="s">
        <v>16</v>
      </c>
      <c r="E1822" t="s">
        <v>21</v>
      </c>
      <c r="F1822" s="1">
        <v>45408</v>
      </c>
      <c r="G1822" s="1">
        <v>46088</v>
      </c>
      <c r="H1822">
        <v>68</v>
      </c>
      <c r="I1822">
        <v>1</v>
      </c>
      <c r="J1822">
        <v>1</v>
      </c>
      <c r="K1822" t="str">
        <f t="shared" si="84"/>
        <v>Apr-2024</v>
      </c>
      <c r="L1822" s="1">
        <f t="shared" ca="1" si="85"/>
        <v>70</v>
      </c>
      <c r="M1822" t="str">
        <f t="shared" si="86"/>
        <v>46+</v>
      </c>
    </row>
    <row r="1823" spans="1:13" x14ac:dyDescent="0.2">
      <c r="A1823" t="s">
        <v>3635</v>
      </c>
      <c r="B1823" t="s">
        <v>3636</v>
      </c>
      <c r="C1823">
        <v>19</v>
      </c>
      <c r="D1823" t="s">
        <v>20</v>
      </c>
      <c r="E1823" t="s">
        <v>21</v>
      </c>
      <c r="F1823" s="1">
        <v>45447</v>
      </c>
      <c r="G1823" s="1">
        <v>46100</v>
      </c>
      <c r="H1823">
        <v>63</v>
      </c>
      <c r="I1823">
        <v>1</v>
      </c>
      <c r="J1823">
        <v>1</v>
      </c>
      <c r="K1823" t="str">
        <f t="shared" si="84"/>
        <v>Jun-2024</v>
      </c>
      <c r="L1823" s="1">
        <f t="shared" ca="1" si="85"/>
        <v>58</v>
      </c>
      <c r="M1823" t="str">
        <f t="shared" si="86"/>
        <v>18-25</v>
      </c>
    </row>
    <row r="1824" spans="1:13" x14ac:dyDescent="0.2">
      <c r="A1824" t="s">
        <v>3637</v>
      </c>
      <c r="B1824" t="s">
        <v>3638</v>
      </c>
      <c r="C1824">
        <v>21</v>
      </c>
      <c r="D1824" t="s">
        <v>20</v>
      </c>
      <c r="E1824" t="s">
        <v>13</v>
      </c>
      <c r="F1824" s="1">
        <v>45909</v>
      </c>
      <c r="G1824" s="1">
        <v>46102</v>
      </c>
      <c r="H1824">
        <v>62</v>
      </c>
      <c r="I1824">
        <v>10</v>
      </c>
      <c r="J1824">
        <v>0</v>
      </c>
      <c r="K1824" t="str">
        <f t="shared" si="84"/>
        <v>Sep-2025</v>
      </c>
      <c r="L1824" s="1">
        <f t="shared" ca="1" si="85"/>
        <v>56</v>
      </c>
      <c r="M1824" t="str">
        <f t="shared" si="86"/>
        <v>18-25</v>
      </c>
    </row>
    <row r="1825" spans="1:13" x14ac:dyDescent="0.2">
      <c r="A1825" t="s">
        <v>3639</v>
      </c>
      <c r="B1825" t="s">
        <v>3640</v>
      </c>
      <c r="C1825">
        <v>39</v>
      </c>
      <c r="D1825" t="s">
        <v>12</v>
      </c>
      <c r="E1825" t="s">
        <v>17</v>
      </c>
      <c r="F1825" s="1">
        <v>45999</v>
      </c>
      <c r="G1825" s="1">
        <v>46058</v>
      </c>
      <c r="H1825">
        <v>33</v>
      </c>
      <c r="I1825">
        <v>7</v>
      </c>
      <c r="J1825">
        <v>1</v>
      </c>
      <c r="K1825" t="str">
        <f t="shared" si="84"/>
        <v>Dec-2025</v>
      </c>
      <c r="L1825" s="1">
        <f t="shared" ca="1" si="85"/>
        <v>100</v>
      </c>
      <c r="M1825" t="str">
        <f t="shared" si="86"/>
        <v>36-45</v>
      </c>
    </row>
    <row r="1826" spans="1:13" x14ac:dyDescent="0.2">
      <c r="A1826" t="s">
        <v>3641</v>
      </c>
      <c r="B1826" t="s">
        <v>3642</v>
      </c>
      <c r="C1826">
        <v>43</v>
      </c>
      <c r="D1826" t="s">
        <v>20</v>
      </c>
      <c r="E1826" t="s">
        <v>13</v>
      </c>
      <c r="F1826" s="1">
        <v>45157</v>
      </c>
      <c r="G1826" s="1">
        <v>46121</v>
      </c>
      <c r="H1826">
        <v>77</v>
      </c>
      <c r="I1826">
        <v>2</v>
      </c>
      <c r="J1826">
        <v>1</v>
      </c>
      <c r="K1826" t="str">
        <f t="shared" si="84"/>
        <v>Aug-2023</v>
      </c>
      <c r="L1826" s="1">
        <f t="shared" ca="1" si="85"/>
        <v>37</v>
      </c>
      <c r="M1826" t="str">
        <f t="shared" si="86"/>
        <v>36-45</v>
      </c>
    </row>
    <row r="1827" spans="1:13" x14ac:dyDescent="0.2">
      <c r="A1827" t="s">
        <v>3643</v>
      </c>
      <c r="B1827" t="s">
        <v>3644</v>
      </c>
      <c r="C1827">
        <v>26</v>
      </c>
      <c r="D1827" t="s">
        <v>12</v>
      </c>
      <c r="E1827" t="s">
        <v>17</v>
      </c>
      <c r="F1827" s="1">
        <v>45929</v>
      </c>
      <c r="G1827" s="1">
        <v>46101</v>
      </c>
      <c r="H1827">
        <v>37</v>
      </c>
      <c r="I1827">
        <v>3</v>
      </c>
      <c r="J1827">
        <v>0</v>
      </c>
      <c r="K1827" t="str">
        <f t="shared" si="84"/>
        <v>Sep-2025</v>
      </c>
      <c r="L1827" s="1">
        <f t="shared" ca="1" si="85"/>
        <v>57</v>
      </c>
      <c r="M1827" t="str">
        <f t="shared" si="86"/>
        <v>26-35</v>
      </c>
    </row>
    <row r="1828" spans="1:13" x14ac:dyDescent="0.2">
      <c r="A1828" t="s">
        <v>3645</v>
      </c>
      <c r="B1828" t="s">
        <v>3646</v>
      </c>
      <c r="C1828">
        <v>18</v>
      </c>
      <c r="D1828" t="s">
        <v>20</v>
      </c>
      <c r="E1828" t="s">
        <v>21</v>
      </c>
      <c r="F1828" s="1">
        <v>45214</v>
      </c>
      <c r="G1828" s="1">
        <v>46110</v>
      </c>
      <c r="H1828">
        <v>31</v>
      </c>
      <c r="I1828">
        <v>8</v>
      </c>
      <c r="J1828">
        <v>1</v>
      </c>
      <c r="K1828" t="str">
        <f t="shared" si="84"/>
        <v>Oct-2023</v>
      </c>
      <c r="L1828" s="1">
        <f t="shared" ca="1" si="85"/>
        <v>48</v>
      </c>
      <c r="M1828" t="str">
        <f t="shared" si="86"/>
        <v>18-25</v>
      </c>
    </row>
    <row r="1829" spans="1:13" x14ac:dyDescent="0.2">
      <c r="A1829" t="s">
        <v>3647</v>
      </c>
      <c r="B1829" t="s">
        <v>3648</v>
      </c>
      <c r="C1829">
        <v>32</v>
      </c>
      <c r="D1829" t="s">
        <v>12</v>
      </c>
      <c r="E1829" t="s">
        <v>21</v>
      </c>
      <c r="F1829" s="1">
        <v>45178</v>
      </c>
      <c r="G1829" s="1">
        <v>46098</v>
      </c>
      <c r="H1829">
        <v>71</v>
      </c>
      <c r="I1829">
        <v>6</v>
      </c>
      <c r="J1829">
        <v>1</v>
      </c>
      <c r="K1829" t="str">
        <f t="shared" si="84"/>
        <v>Sep-2023</v>
      </c>
      <c r="L1829" s="1">
        <f t="shared" ca="1" si="85"/>
        <v>60</v>
      </c>
      <c r="M1829" t="str">
        <f t="shared" si="86"/>
        <v>26-35</v>
      </c>
    </row>
    <row r="1830" spans="1:13" x14ac:dyDescent="0.2">
      <c r="A1830" t="s">
        <v>3649</v>
      </c>
      <c r="B1830" t="s">
        <v>3650</v>
      </c>
      <c r="C1830">
        <v>45</v>
      </c>
      <c r="D1830" t="s">
        <v>16</v>
      </c>
      <c r="E1830" t="s">
        <v>21</v>
      </c>
      <c r="F1830" s="1">
        <v>46100</v>
      </c>
      <c r="G1830" s="1">
        <v>46124</v>
      </c>
      <c r="H1830">
        <v>9</v>
      </c>
      <c r="I1830">
        <v>5</v>
      </c>
      <c r="J1830">
        <v>0</v>
      </c>
      <c r="K1830" t="str">
        <f t="shared" si="84"/>
        <v>Mar-2026</v>
      </c>
      <c r="L1830" s="1">
        <f t="shared" ca="1" si="85"/>
        <v>34</v>
      </c>
      <c r="M1830" t="str">
        <f t="shared" si="86"/>
        <v>36-45</v>
      </c>
    </row>
    <row r="1831" spans="1:13" x14ac:dyDescent="0.2">
      <c r="A1831" t="s">
        <v>3651</v>
      </c>
      <c r="B1831" t="s">
        <v>3652</v>
      </c>
      <c r="C1831">
        <v>46</v>
      </c>
      <c r="D1831" t="s">
        <v>12</v>
      </c>
      <c r="E1831" t="s">
        <v>21</v>
      </c>
      <c r="F1831" s="1">
        <v>45358</v>
      </c>
      <c r="G1831" s="1">
        <v>46131</v>
      </c>
      <c r="H1831">
        <v>64</v>
      </c>
      <c r="I1831">
        <v>5</v>
      </c>
      <c r="J1831">
        <v>0</v>
      </c>
      <c r="K1831" t="str">
        <f t="shared" si="84"/>
        <v>Mar-2024</v>
      </c>
      <c r="L1831" s="1">
        <f t="shared" ca="1" si="85"/>
        <v>27</v>
      </c>
      <c r="M1831" t="str">
        <f t="shared" si="86"/>
        <v>46+</v>
      </c>
    </row>
    <row r="1832" spans="1:13" x14ac:dyDescent="0.2">
      <c r="A1832" t="s">
        <v>3653</v>
      </c>
      <c r="B1832" t="s">
        <v>3654</v>
      </c>
      <c r="C1832">
        <v>31</v>
      </c>
      <c r="D1832" t="s">
        <v>12</v>
      </c>
      <c r="E1832" t="s">
        <v>13</v>
      </c>
      <c r="F1832" s="1">
        <v>45689</v>
      </c>
      <c r="G1832" s="1">
        <v>46079</v>
      </c>
      <c r="H1832">
        <v>13</v>
      </c>
      <c r="I1832">
        <v>2</v>
      </c>
      <c r="J1832">
        <v>1</v>
      </c>
      <c r="K1832" t="str">
        <f t="shared" si="84"/>
        <v>Feb-2025</v>
      </c>
      <c r="L1832" s="1">
        <f t="shared" ca="1" si="85"/>
        <v>79</v>
      </c>
      <c r="M1832" t="str">
        <f t="shared" si="86"/>
        <v>26-35</v>
      </c>
    </row>
    <row r="1833" spans="1:13" x14ac:dyDescent="0.2">
      <c r="A1833" t="s">
        <v>3655</v>
      </c>
      <c r="B1833" t="s">
        <v>3656</v>
      </c>
      <c r="C1833">
        <v>59</v>
      </c>
      <c r="D1833" t="s">
        <v>20</v>
      </c>
      <c r="E1833" t="s">
        <v>21</v>
      </c>
      <c r="F1833" s="1">
        <v>45668</v>
      </c>
      <c r="G1833" s="1">
        <v>46147</v>
      </c>
      <c r="H1833">
        <v>56</v>
      </c>
      <c r="I1833">
        <v>3</v>
      </c>
      <c r="J1833">
        <v>1</v>
      </c>
      <c r="K1833" t="str">
        <f t="shared" si="84"/>
        <v>Jan-2025</v>
      </c>
      <c r="L1833" s="1">
        <f t="shared" ca="1" si="85"/>
        <v>11</v>
      </c>
      <c r="M1833" t="str">
        <f t="shared" si="86"/>
        <v>46+</v>
      </c>
    </row>
    <row r="1834" spans="1:13" x14ac:dyDescent="0.2">
      <c r="A1834" t="s">
        <v>3657</v>
      </c>
      <c r="B1834" t="s">
        <v>3658</v>
      </c>
      <c r="C1834">
        <v>50</v>
      </c>
      <c r="D1834" t="s">
        <v>12</v>
      </c>
      <c r="E1834" t="s">
        <v>17</v>
      </c>
      <c r="F1834" s="1">
        <v>45230</v>
      </c>
      <c r="G1834" s="1">
        <v>46080</v>
      </c>
      <c r="H1834">
        <v>38</v>
      </c>
      <c r="I1834">
        <v>7</v>
      </c>
      <c r="J1834">
        <v>0</v>
      </c>
      <c r="K1834" t="str">
        <f t="shared" si="84"/>
        <v>Oct-2023</v>
      </c>
      <c r="L1834" s="1">
        <f t="shared" ca="1" si="85"/>
        <v>78</v>
      </c>
      <c r="M1834" t="str">
        <f t="shared" si="86"/>
        <v>46+</v>
      </c>
    </row>
    <row r="1835" spans="1:13" x14ac:dyDescent="0.2">
      <c r="A1835" t="s">
        <v>3659</v>
      </c>
      <c r="B1835" t="s">
        <v>3660</v>
      </c>
      <c r="C1835">
        <v>35</v>
      </c>
      <c r="D1835" t="s">
        <v>12</v>
      </c>
      <c r="E1835" t="s">
        <v>21</v>
      </c>
      <c r="F1835" s="1">
        <v>46002</v>
      </c>
      <c r="G1835" s="1">
        <v>46082</v>
      </c>
      <c r="H1835">
        <v>53</v>
      </c>
      <c r="I1835">
        <v>5</v>
      </c>
      <c r="J1835">
        <v>1</v>
      </c>
      <c r="K1835" t="str">
        <f t="shared" si="84"/>
        <v>Dec-2025</v>
      </c>
      <c r="L1835" s="1">
        <f t="shared" ca="1" si="85"/>
        <v>76</v>
      </c>
      <c r="M1835" t="str">
        <f t="shared" si="86"/>
        <v>26-35</v>
      </c>
    </row>
    <row r="1836" spans="1:13" x14ac:dyDescent="0.2">
      <c r="A1836" t="s">
        <v>3661</v>
      </c>
      <c r="B1836" t="s">
        <v>3662</v>
      </c>
      <c r="C1836">
        <v>59</v>
      </c>
      <c r="D1836" t="s">
        <v>12</v>
      </c>
      <c r="E1836" t="s">
        <v>21</v>
      </c>
      <c r="F1836" s="1">
        <v>45622</v>
      </c>
      <c r="G1836" s="1">
        <v>46048</v>
      </c>
      <c r="H1836">
        <v>49</v>
      </c>
      <c r="I1836">
        <v>8</v>
      </c>
      <c r="J1836">
        <v>0</v>
      </c>
      <c r="K1836" t="str">
        <f t="shared" si="84"/>
        <v>Nov-2024</v>
      </c>
      <c r="L1836" s="1">
        <f t="shared" ca="1" si="85"/>
        <v>110</v>
      </c>
      <c r="M1836" t="str">
        <f t="shared" si="86"/>
        <v>46+</v>
      </c>
    </row>
    <row r="1837" spans="1:13" x14ac:dyDescent="0.2">
      <c r="A1837" t="s">
        <v>3663</v>
      </c>
      <c r="B1837" t="s">
        <v>3664</v>
      </c>
      <c r="C1837">
        <v>55</v>
      </c>
      <c r="D1837" t="s">
        <v>12</v>
      </c>
      <c r="E1837" t="s">
        <v>21</v>
      </c>
      <c r="F1837" s="1">
        <v>45754</v>
      </c>
      <c r="G1837" s="1">
        <v>46083</v>
      </c>
      <c r="H1837">
        <v>15</v>
      </c>
      <c r="I1837">
        <v>1</v>
      </c>
      <c r="J1837">
        <v>1</v>
      </c>
      <c r="K1837" t="str">
        <f t="shared" si="84"/>
        <v>Apr-2025</v>
      </c>
      <c r="L1837" s="1">
        <f t="shared" ca="1" si="85"/>
        <v>75</v>
      </c>
      <c r="M1837" t="str">
        <f t="shared" si="86"/>
        <v>46+</v>
      </c>
    </row>
    <row r="1838" spans="1:13" x14ac:dyDescent="0.2">
      <c r="A1838" t="s">
        <v>3665</v>
      </c>
      <c r="B1838" t="s">
        <v>3666</v>
      </c>
      <c r="C1838">
        <v>34</v>
      </c>
      <c r="D1838" t="s">
        <v>12</v>
      </c>
      <c r="E1838" t="s">
        <v>17</v>
      </c>
      <c r="F1838" s="1">
        <v>45166</v>
      </c>
      <c r="G1838" s="1">
        <v>46125</v>
      </c>
      <c r="H1838">
        <v>67</v>
      </c>
      <c r="I1838">
        <v>10</v>
      </c>
      <c r="J1838">
        <v>0</v>
      </c>
      <c r="K1838" t="str">
        <f t="shared" si="84"/>
        <v>Aug-2023</v>
      </c>
      <c r="L1838" s="1">
        <f t="shared" ca="1" si="85"/>
        <v>33</v>
      </c>
      <c r="M1838" t="str">
        <f t="shared" si="86"/>
        <v>26-35</v>
      </c>
    </row>
    <row r="1839" spans="1:13" x14ac:dyDescent="0.2">
      <c r="A1839" t="s">
        <v>3667</v>
      </c>
      <c r="B1839" t="s">
        <v>3668</v>
      </c>
      <c r="C1839">
        <v>56</v>
      </c>
      <c r="D1839" t="s">
        <v>20</v>
      </c>
      <c r="E1839" t="s">
        <v>13</v>
      </c>
      <c r="F1839" s="1">
        <v>45525</v>
      </c>
      <c r="G1839" s="1">
        <v>46148</v>
      </c>
      <c r="H1839">
        <v>16</v>
      </c>
      <c r="I1839">
        <v>6</v>
      </c>
      <c r="J1839">
        <v>0</v>
      </c>
      <c r="K1839" t="str">
        <f t="shared" si="84"/>
        <v>Aug-2024</v>
      </c>
      <c r="L1839" s="1">
        <f t="shared" ca="1" si="85"/>
        <v>10</v>
      </c>
      <c r="M1839" t="str">
        <f t="shared" si="86"/>
        <v>46+</v>
      </c>
    </row>
    <row r="1840" spans="1:13" x14ac:dyDescent="0.2">
      <c r="A1840" t="s">
        <v>3669</v>
      </c>
      <c r="B1840" t="s">
        <v>3670</v>
      </c>
      <c r="C1840">
        <v>41</v>
      </c>
      <c r="D1840" t="s">
        <v>20</v>
      </c>
      <c r="E1840" t="s">
        <v>17</v>
      </c>
      <c r="F1840" s="1">
        <v>45549</v>
      </c>
      <c r="G1840" s="1">
        <v>46030</v>
      </c>
      <c r="H1840">
        <v>41</v>
      </c>
      <c r="I1840">
        <v>7</v>
      </c>
      <c r="J1840">
        <v>0</v>
      </c>
      <c r="K1840" t="str">
        <f t="shared" si="84"/>
        <v>Sep-2024</v>
      </c>
      <c r="L1840" s="1">
        <f t="shared" ca="1" si="85"/>
        <v>128</v>
      </c>
      <c r="M1840" t="str">
        <f t="shared" si="86"/>
        <v>36-45</v>
      </c>
    </row>
    <row r="1841" spans="1:13" x14ac:dyDescent="0.2">
      <c r="A1841" t="s">
        <v>3671</v>
      </c>
      <c r="B1841" t="s">
        <v>3672</v>
      </c>
      <c r="C1841">
        <v>47</v>
      </c>
      <c r="D1841" t="s">
        <v>20</v>
      </c>
      <c r="E1841" t="s">
        <v>13</v>
      </c>
      <c r="F1841" s="1">
        <v>45463</v>
      </c>
      <c r="G1841" s="1">
        <v>46104</v>
      </c>
      <c r="H1841">
        <v>18</v>
      </c>
      <c r="I1841">
        <v>10</v>
      </c>
      <c r="J1841">
        <v>0</v>
      </c>
      <c r="K1841" t="str">
        <f t="shared" si="84"/>
        <v>Jun-2024</v>
      </c>
      <c r="L1841" s="1">
        <f t="shared" ca="1" si="85"/>
        <v>54</v>
      </c>
      <c r="M1841" t="str">
        <f t="shared" si="86"/>
        <v>46+</v>
      </c>
    </row>
    <row r="1842" spans="1:13" x14ac:dyDescent="0.2">
      <c r="A1842" t="s">
        <v>3673</v>
      </c>
      <c r="B1842" t="s">
        <v>3674</v>
      </c>
      <c r="C1842">
        <v>55</v>
      </c>
      <c r="D1842" t="s">
        <v>16</v>
      </c>
      <c r="E1842" t="s">
        <v>21</v>
      </c>
      <c r="F1842" s="1">
        <v>45969</v>
      </c>
      <c r="G1842" s="1">
        <v>46054</v>
      </c>
      <c r="H1842">
        <v>78</v>
      </c>
      <c r="I1842">
        <v>5</v>
      </c>
      <c r="J1842">
        <v>0</v>
      </c>
      <c r="K1842" t="str">
        <f t="shared" si="84"/>
        <v>Nov-2025</v>
      </c>
      <c r="L1842" s="1">
        <f t="shared" ca="1" si="85"/>
        <v>104</v>
      </c>
      <c r="M1842" t="str">
        <f t="shared" si="86"/>
        <v>46+</v>
      </c>
    </row>
    <row r="1843" spans="1:13" x14ac:dyDescent="0.2">
      <c r="A1843" t="s">
        <v>3675</v>
      </c>
      <c r="B1843" t="s">
        <v>3676</v>
      </c>
      <c r="C1843">
        <v>28</v>
      </c>
      <c r="D1843" t="s">
        <v>20</v>
      </c>
      <c r="E1843" t="s">
        <v>13</v>
      </c>
      <c r="F1843" s="1">
        <v>45326</v>
      </c>
      <c r="G1843" s="1">
        <v>46116</v>
      </c>
      <c r="H1843">
        <v>68</v>
      </c>
      <c r="I1843">
        <v>4</v>
      </c>
      <c r="J1843">
        <v>1</v>
      </c>
      <c r="K1843" t="str">
        <f t="shared" si="84"/>
        <v>Feb-2024</v>
      </c>
      <c r="L1843" s="1">
        <f t="shared" ca="1" si="85"/>
        <v>42</v>
      </c>
      <c r="M1843" t="str">
        <f t="shared" si="86"/>
        <v>26-35</v>
      </c>
    </row>
    <row r="1844" spans="1:13" x14ac:dyDescent="0.2">
      <c r="A1844" t="s">
        <v>3677</v>
      </c>
      <c r="B1844" t="s">
        <v>3678</v>
      </c>
      <c r="C1844">
        <v>46</v>
      </c>
      <c r="D1844" t="s">
        <v>16</v>
      </c>
      <c r="E1844" t="s">
        <v>21</v>
      </c>
      <c r="F1844" s="1">
        <v>46076</v>
      </c>
      <c r="G1844" s="1">
        <v>46143</v>
      </c>
      <c r="H1844">
        <v>40</v>
      </c>
      <c r="I1844">
        <v>3</v>
      </c>
      <c r="J1844">
        <v>0</v>
      </c>
      <c r="K1844" t="str">
        <f t="shared" si="84"/>
        <v>Feb-2026</v>
      </c>
      <c r="L1844" s="1">
        <f t="shared" ca="1" si="85"/>
        <v>15</v>
      </c>
      <c r="M1844" t="str">
        <f t="shared" si="86"/>
        <v>46+</v>
      </c>
    </row>
    <row r="1845" spans="1:13" x14ac:dyDescent="0.2">
      <c r="A1845" t="s">
        <v>3679</v>
      </c>
      <c r="B1845" t="s">
        <v>3680</v>
      </c>
      <c r="C1845">
        <v>58</v>
      </c>
      <c r="D1845" t="s">
        <v>20</v>
      </c>
      <c r="E1845" t="s">
        <v>21</v>
      </c>
      <c r="F1845" s="1">
        <v>45813</v>
      </c>
      <c r="G1845" s="1">
        <v>46110</v>
      </c>
      <c r="H1845">
        <v>16</v>
      </c>
      <c r="I1845">
        <v>6</v>
      </c>
      <c r="J1845">
        <v>0</v>
      </c>
      <c r="K1845" t="str">
        <f t="shared" si="84"/>
        <v>Jun-2025</v>
      </c>
      <c r="L1845" s="1">
        <f t="shared" ca="1" si="85"/>
        <v>48</v>
      </c>
      <c r="M1845" t="str">
        <f t="shared" si="86"/>
        <v>46+</v>
      </c>
    </row>
    <row r="1846" spans="1:13" x14ac:dyDescent="0.2">
      <c r="A1846" t="s">
        <v>3681</v>
      </c>
      <c r="B1846" t="s">
        <v>3682</v>
      </c>
      <c r="C1846">
        <v>28</v>
      </c>
      <c r="D1846" t="s">
        <v>16</v>
      </c>
      <c r="E1846" t="s">
        <v>21</v>
      </c>
      <c r="F1846" s="1">
        <v>45543</v>
      </c>
      <c r="G1846" s="1">
        <v>46070</v>
      </c>
      <c r="H1846">
        <v>73</v>
      </c>
      <c r="I1846">
        <v>8</v>
      </c>
      <c r="J1846">
        <v>1</v>
      </c>
      <c r="K1846" t="str">
        <f t="shared" si="84"/>
        <v>Sep-2024</v>
      </c>
      <c r="L1846" s="1">
        <f t="shared" ca="1" si="85"/>
        <v>88</v>
      </c>
      <c r="M1846" t="str">
        <f t="shared" si="86"/>
        <v>26-35</v>
      </c>
    </row>
    <row r="1847" spans="1:13" x14ac:dyDescent="0.2">
      <c r="A1847" t="s">
        <v>3683</v>
      </c>
      <c r="B1847" t="s">
        <v>3684</v>
      </c>
      <c r="C1847">
        <v>39</v>
      </c>
      <c r="D1847" t="s">
        <v>12</v>
      </c>
      <c r="E1847" t="s">
        <v>17</v>
      </c>
      <c r="F1847" s="1">
        <v>46041</v>
      </c>
      <c r="G1847" s="1">
        <v>46055</v>
      </c>
      <c r="H1847">
        <v>55</v>
      </c>
      <c r="I1847">
        <v>5</v>
      </c>
      <c r="J1847">
        <v>0</v>
      </c>
      <c r="K1847" t="str">
        <f t="shared" si="84"/>
        <v>Jan-2026</v>
      </c>
      <c r="L1847" s="1">
        <f t="shared" ca="1" si="85"/>
        <v>103</v>
      </c>
      <c r="M1847" t="str">
        <f t="shared" si="86"/>
        <v>36-45</v>
      </c>
    </row>
    <row r="1848" spans="1:13" x14ac:dyDescent="0.2">
      <c r="A1848" t="s">
        <v>3685</v>
      </c>
      <c r="B1848" t="s">
        <v>3686</v>
      </c>
      <c r="C1848">
        <v>25</v>
      </c>
      <c r="D1848" t="s">
        <v>20</v>
      </c>
      <c r="E1848" t="s">
        <v>21</v>
      </c>
      <c r="F1848" s="1">
        <v>45825</v>
      </c>
      <c r="G1848" s="1">
        <v>46051</v>
      </c>
      <c r="H1848">
        <v>8</v>
      </c>
      <c r="I1848">
        <v>7</v>
      </c>
      <c r="J1848">
        <v>0</v>
      </c>
      <c r="K1848" t="str">
        <f t="shared" si="84"/>
        <v>Jun-2025</v>
      </c>
      <c r="L1848" s="1">
        <f t="shared" ca="1" si="85"/>
        <v>107</v>
      </c>
      <c r="M1848" t="str">
        <f t="shared" si="86"/>
        <v>18-25</v>
      </c>
    </row>
    <row r="1849" spans="1:13" x14ac:dyDescent="0.2">
      <c r="A1849" t="s">
        <v>3687</v>
      </c>
      <c r="B1849" t="s">
        <v>3688</v>
      </c>
      <c r="C1849">
        <v>24</v>
      </c>
      <c r="D1849" t="s">
        <v>20</v>
      </c>
      <c r="E1849" t="s">
        <v>21</v>
      </c>
      <c r="F1849" s="1">
        <v>46055</v>
      </c>
      <c r="G1849" s="1">
        <v>46055</v>
      </c>
      <c r="H1849">
        <v>77</v>
      </c>
      <c r="I1849">
        <v>10</v>
      </c>
      <c r="J1849">
        <v>0</v>
      </c>
      <c r="K1849" t="str">
        <f t="shared" si="84"/>
        <v>Feb-2026</v>
      </c>
      <c r="L1849" s="1">
        <f t="shared" ca="1" si="85"/>
        <v>103</v>
      </c>
      <c r="M1849" t="str">
        <f t="shared" si="86"/>
        <v>18-25</v>
      </c>
    </row>
    <row r="1850" spans="1:13" x14ac:dyDescent="0.2">
      <c r="A1850" t="s">
        <v>3689</v>
      </c>
      <c r="B1850" t="s">
        <v>3690</v>
      </c>
      <c r="C1850">
        <v>19</v>
      </c>
      <c r="D1850" t="s">
        <v>12</v>
      </c>
      <c r="E1850" t="s">
        <v>17</v>
      </c>
      <c r="F1850" s="1">
        <v>45225</v>
      </c>
      <c r="G1850" s="1">
        <v>46091</v>
      </c>
      <c r="H1850">
        <v>7</v>
      </c>
      <c r="I1850">
        <v>1</v>
      </c>
      <c r="J1850">
        <v>1</v>
      </c>
      <c r="K1850" t="str">
        <f t="shared" si="84"/>
        <v>Oct-2023</v>
      </c>
      <c r="L1850" s="1">
        <f t="shared" ca="1" si="85"/>
        <v>67</v>
      </c>
      <c r="M1850" t="str">
        <f t="shared" si="86"/>
        <v>18-25</v>
      </c>
    </row>
    <row r="1851" spans="1:13" x14ac:dyDescent="0.2">
      <c r="A1851" t="s">
        <v>3691</v>
      </c>
      <c r="B1851" t="s">
        <v>3692</v>
      </c>
      <c r="C1851">
        <v>37</v>
      </c>
      <c r="D1851" t="s">
        <v>16</v>
      </c>
      <c r="E1851" t="s">
        <v>13</v>
      </c>
      <c r="F1851" s="1">
        <v>45424</v>
      </c>
      <c r="G1851" s="1">
        <v>46091</v>
      </c>
      <c r="H1851">
        <v>54</v>
      </c>
      <c r="I1851">
        <v>9</v>
      </c>
      <c r="J1851">
        <v>0</v>
      </c>
      <c r="K1851" t="str">
        <f t="shared" si="84"/>
        <v>May-2024</v>
      </c>
      <c r="L1851" s="1">
        <f t="shared" ca="1" si="85"/>
        <v>67</v>
      </c>
      <c r="M1851" t="str">
        <f t="shared" si="86"/>
        <v>36-45</v>
      </c>
    </row>
    <row r="1852" spans="1:13" x14ac:dyDescent="0.2">
      <c r="A1852" t="s">
        <v>3693</v>
      </c>
      <c r="B1852" t="s">
        <v>3694</v>
      </c>
      <c r="C1852">
        <v>56</v>
      </c>
      <c r="D1852" t="s">
        <v>12</v>
      </c>
      <c r="E1852" t="s">
        <v>21</v>
      </c>
      <c r="F1852" s="1">
        <v>45931</v>
      </c>
      <c r="G1852" s="1">
        <v>46084</v>
      </c>
      <c r="H1852">
        <v>4</v>
      </c>
      <c r="I1852">
        <v>2</v>
      </c>
      <c r="J1852">
        <v>1</v>
      </c>
      <c r="K1852" t="str">
        <f t="shared" si="84"/>
        <v>Oct-2025</v>
      </c>
      <c r="L1852" s="1">
        <f t="shared" ca="1" si="85"/>
        <v>74</v>
      </c>
      <c r="M1852" t="str">
        <f t="shared" si="86"/>
        <v>46+</v>
      </c>
    </row>
    <row r="1853" spans="1:13" x14ac:dyDescent="0.2">
      <c r="A1853" t="s">
        <v>3695</v>
      </c>
      <c r="B1853" t="s">
        <v>3696</v>
      </c>
      <c r="C1853">
        <v>37</v>
      </c>
      <c r="D1853" t="s">
        <v>20</v>
      </c>
      <c r="E1853" t="s">
        <v>13</v>
      </c>
      <c r="F1853" s="1">
        <v>45796</v>
      </c>
      <c r="G1853" s="1">
        <v>46045</v>
      </c>
      <c r="H1853">
        <v>53</v>
      </c>
      <c r="I1853">
        <v>9</v>
      </c>
      <c r="J1853">
        <v>0</v>
      </c>
      <c r="K1853" t="str">
        <f t="shared" si="84"/>
        <v>May-2025</v>
      </c>
      <c r="L1853" s="1">
        <f t="shared" ca="1" si="85"/>
        <v>113</v>
      </c>
      <c r="M1853" t="str">
        <f t="shared" si="86"/>
        <v>36-45</v>
      </c>
    </row>
    <row r="1854" spans="1:13" x14ac:dyDescent="0.2">
      <c r="A1854" t="s">
        <v>3697</v>
      </c>
      <c r="B1854" t="s">
        <v>3698</v>
      </c>
      <c r="C1854">
        <v>43</v>
      </c>
      <c r="D1854" t="s">
        <v>20</v>
      </c>
      <c r="E1854" t="s">
        <v>21</v>
      </c>
      <c r="F1854" s="1">
        <v>45304</v>
      </c>
      <c r="G1854" s="1">
        <v>46111</v>
      </c>
      <c r="H1854">
        <v>58</v>
      </c>
      <c r="I1854">
        <v>1</v>
      </c>
      <c r="J1854">
        <v>0</v>
      </c>
      <c r="K1854" t="str">
        <f t="shared" si="84"/>
        <v>Jan-2024</v>
      </c>
      <c r="L1854" s="1">
        <f t="shared" ca="1" si="85"/>
        <v>47</v>
      </c>
      <c r="M1854" t="str">
        <f t="shared" si="86"/>
        <v>36-45</v>
      </c>
    </row>
    <row r="1855" spans="1:13" x14ac:dyDescent="0.2">
      <c r="A1855" t="s">
        <v>3699</v>
      </c>
      <c r="B1855" t="s">
        <v>3700</v>
      </c>
      <c r="C1855">
        <v>25</v>
      </c>
      <c r="D1855" t="s">
        <v>16</v>
      </c>
      <c r="E1855" t="s">
        <v>17</v>
      </c>
      <c r="F1855" s="1">
        <v>45270</v>
      </c>
      <c r="G1855" s="1">
        <v>46145</v>
      </c>
      <c r="H1855">
        <v>40</v>
      </c>
      <c r="I1855">
        <v>9</v>
      </c>
      <c r="J1855">
        <v>0</v>
      </c>
      <c r="K1855" t="str">
        <f t="shared" si="84"/>
        <v>Dec-2023</v>
      </c>
      <c r="L1855" s="1">
        <f t="shared" ca="1" si="85"/>
        <v>13</v>
      </c>
      <c r="M1855" t="str">
        <f t="shared" si="86"/>
        <v>18-25</v>
      </c>
    </row>
    <row r="1856" spans="1:13" x14ac:dyDescent="0.2">
      <c r="A1856" t="s">
        <v>3701</v>
      </c>
      <c r="B1856" t="s">
        <v>3702</v>
      </c>
      <c r="C1856">
        <v>26</v>
      </c>
      <c r="D1856" t="s">
        <v>12</v>
      </c>
      <c r="E1856" t="s">
        <v>13</v>
      </c>
      <c r="F1856" s="1">
        <v>45201</v>
      </c>
      <c r="G1856" s="1">
        <v>46102</v>
      </c>
      <c r="H1856">
        <v>28</v>
      </c>
      <c r="I1856">
        <v>5</v>
      </c>
      <c r="J1856">
        <v>0</v>
      </c>
      <c r="K1856" t="str">
        <f t="shared" si="84"/>
        <v>Oct-2023</v>
      </c>
      <c r="L1856" s="1">
        <f t="shared" ca="1" si="85"/>
        <v>56</v>
      </c>
      <c r="M1856" t="str">
        <f t="shared" si="86"/>
        <v>26-35</v>
      </c>
    </row>
    <row r="1857" spans="1:13" x14ac:dyDescent="0.2">
      <c r="A1857" t="s">
        <v>3703</v>
      </c>
      <c r="B1857" t="s">
        <v>3704</v>
      </c>
      <c r="C1857">
        <v>38</v>
      </c>
      <c r="D1857" t="s">
        <v>20</v>
      </c>
      <c r="E1857" t="s">
        <v>21</v>
      </c>
      <c r="F1857" s="1">
        <v>45310</v>
      </c>
      <c r="G1857" s="1">
        <v>46046</v>
      </c>
      <c r="H1857">
        <v>37</v>
      </c>
      <c r="I1857">
        <v>10</v>
      </c>
      <c r="J1857">
        <v>0</v>
      </c>
      <c r="K1857" t="str">
        <f t="shared" si="84"/>
        <v>Jan-2024</v>
      </c>
      <c r="L1857" s="1">
        <f t="shared" ca="1" si="85"/>
        <v>112</v>
      </c>
      <c r="M1857" t="str">
        <f t="shared" si="86"/>
        <v>36-45</v>
      </c>
    </row>
    <row r="1858" spans="1:13" x14ac:dyDescent="0.2">
      <c r="A1858" t="s">
        <v>3705</v>
      </c>
      <c r="B1858" t="s">
        <v>3706</v>
      </c>
      <c r="C1858">
        <v>60</v>
      </c>
      <c r="D1858" t="s">
        <v>20</v>
      </c>
      <c r="E1858" t="s">
        <v>21</v>
      </c>
      <c r="F1858" s="1">
        <v>45487</v>
      </c>
      <c r="G1858" s="1">
        <v>46106</v>
      </c>
      <c r="H1858">
        <v>17</v>
      </c>
      <c r="I1858">
        <v>10</v>
      </c>
      <c r="J1858">
        <v>1</v>
      </c>
      <c r="K1858" t="str">
        <f t="shared" si="84"/>
        <v>Jul-2024</v>
      </c>
      <c r="L1858" s="1">
        <f t="shared" ca="1" si="85"/>
        <v>52</v>
      </c>
      <c r="M1858" t="str">
        <f t="shared" si="86"/>
        <v>46+</v>
      </c>
    </row>
    <row r="1859" spans="1:13" x14ac:dyDescent="0.2">
      <c r="A1859" t="s">
        <v>3707</v>
      </c>
      <c r="B1859" t="s">
        <v>3708</v>
      </c>
      <c r="C1859">
        <v>39</v>
      </c>
      <c r="D1859" t="s">
        <v>20</v>
      </c>
      <c r="E1859" t="s">
        <v>13</v>
      </c>
      <c r="F1859" s="1">
        <v>45391</v>
      </c>
      <c r="G1859" s="1">
        <v>46141</v>
      </c>
      <c r="H1859">
        <v>57</v>
      </c>
      <c r="I1859">
        <v>4</v>
      </c>
      <c r="J1859">
        <v>0</v>
      </c>
      <c r="K1859" t="str">
        <f t="shared" ref="K1859:K1922" si="87">TEXT(F1859,"MMM-YYYY")</f>
        <v>Apr-2024</v>
      </c>
      <c r="L1859" s="1">
        <f t="shared" ref="L1859:L1922" ca="1" si="88">TODAY()-G1859</f>
        <v>17</v>
      </c>
      <c r="M1859" t="str">
        <f t="shared" ref="M1859:M1922" si="89">IF(C1859&lt;=25,"18-25",IF(C1859&lt;=35,"26-35",IF(C1859&lt;=45,"36-45","46+")))</f>
        <v>36-45</v>
      </c>
    </row>
    <row r="1860" spans="1:13" x14ac:dyDescent="0.2">
      <c r="A1860" t="s">
        <v>3709</v>
      </c>
      <c r="B1860" t="s">
        <v>3710</v>
      </c>
      <c r="C1860">
        <v>41</v>
      </c>
      <c r="D1860" t="s">
        <v>16</v>
      </c>
      <c r="E1860" t="s">
        <v>13</v>
      </c>
      <c r="F1860" s="1">
        <v>45805</v>
      </c>
      <c r="G1860" s="1">
        <v>46113</v>
      </c>
      <c r="H1860">
        <v>78</v>
      </c>
      <c r="I1860">
        <v>8</v>
      </c>
      <c r="J1860">
        <v>0</v>
      </c>
      <c r="K1860" t="str">
        <f t="shared" si="87"/>
        <v>May-2025</v>
      </c>
      <c r="L1860" s="1">
        <f t="shared" ca="1" si="88"/>
        <v>45</v>
      </c>
      <c r="M1860" t="str">
        <f t="shared" si="89"/>
        <v>36-45</v>
      </c>
    </row>
    <row r="1861" spans="1:13" x14ac:dyDescent="0.2">
      <c r="A1861" t="s">
        <v>3711</v>
      </c>
      <c r="B1861" t="s">
        <v>3712</v>
      </c>
      <c r="C1861">
        <v>60</v>
      </c>
      <c r="D1861" t="s">
        <v>20</v>
      </c>
      <c r="E1861" t="s">
        <v>21</v>
      </c>
      <c r="F1861" s="1">
        <v>45561</v>
      </c>
      <c r="G1861" s="1">
        <v>46132</v>
      </c>
      <c r="H1861">
        <v>50</v>
      </c>
      <c r="I1861">
        <v>5</v>
      </c>
      <c r="J1861">
        <v>1</v>
      </c>
      <c r="K1861" t="str">
        <f t="shared" si="87"/>
        <v>Sep-2024</v>
      </c>
      <c r="L1861" s="1">
        <f t="shared" ca="1" si="88"/>
        <v>26</v>
      </c>
      <c r="M1861" t="str">
        <f t="shared" si="89"/>
        <v>46+</v>
      </c>
    </row>
    <row r="1862" spans="1:13" x14ac:dyDescent="0.2">
      <c r="A1862" t="s">
        <v>3713</v>
      </c>
      <c r="B1862" t="s">
        <v>3714</v>
      </c>
      <c r="C1862">
        <v>40</v>
      </c>
      <c r="D1862" t="s">
        <v>16</v>
      </c>
      <c r="E1862" t="s">
        <v>13</v>
      </c>
      <c r="F1862" s="1">
        <v>46082</v>
      </c>
      <c r="G1862" s="1">
        <v>46139</v>
      </c>
      <c r="H1862">
        <v>15</v>
      </c>
      <c r="I1862">
        <v>1</v>
      </c>
      <c r="J1862">
        <v>0</v>
      </c>
      <c r="K1862" t="str">
        <f t="shared" si="87"/>
        <v>Mar-2026</v>
      </c>
      <c r="L1862" s="1">
        <f t="shared" ca="1" si="88"/>
        <v>19</v>
      </c>
      <c r="M1862" t="str">
        <f t="shared" si="89"/>
        <v>36-45</v>
      </c>
    </row>
    <row r="1863" spans="1:13" x14ac:dyDescent="0.2">
      <c r="A1863" t="s">
        <v>3715</v>
      </c>
      <c r="B1863" t="s">
        <v>3716</v>
      </c>
      <c r="C1863">
        <v>32</v>
      </c>
      <c r="D1863" t="s">
        <v>20</v>
      </c>
      <c r="E1863" t="s">
        <v>13</v>
      </c>
      <c r="F1863" s="1">
        <v>45184</v>
      </c>
      <c r="G1863" s="1">
        <v>46077</v>
      </c>
      <c r="H1863">
        <v>0</v>
      </c>
      <c r="I1863">
        <v>8</v>
      </c>
      <c r="J1863">
        <v>1</v>
      </c>
      <c r="K1863" t="str">
        <f t="shared" si="87"/>
        <v>Sep-2023</v>
      </c>
      <c r="L1863" s="1">
        <f t="shared" ca="1" si="88"/>
        <v>81</v>
      </c>
      <c r="M1863" t="str">
        <f t="shared" si="89"/>
        <v>26-35</v>
      </c>
    </row>
    <row r="1864" spans="1:13" x14ac:dyDescent="0.2">
      <c r="A1864" t="s">
        <v>3717</v>
      </c>
      <c r="B1864" t="s">
        <v>3718</v>
      </c>
      <c r="C1864">
        <v>39</v>
      </c>
      <c r="D1864" t="s">
        <v>16</v>
      </c>
      <c r="E1864" t="s">
        <v>21</v>
      </c>
      <c r="F1864" s="1">
        <v>45718</v>
      </c>
      <c r="G1864" s="1">
        <v>46114</v>
      </c>
      <c r="H1864">
        <v>22</v>
      </c>
      <c r="I1864">
        <v>4</v>
      </c>
      <c r="J1864">
        <v>1</v>
      </c>
      <c r="K1864" t="str">
        <f t="shared" si="87"/>
        <v>Mar-2025</v>
      </c>
      <c r="L1864" s="1">
        <f t="shared" ca="1" si="88"/>
        <v>44</v>
      </c>
      <c r="M1864" t="str">
        <f t="shared" si="89"/>
        <v>36-45</v>
      </c>
    </row>
    <row r="1865" spans="1:13" x14ac:dyDescent="0.2">
      <c r="A1865" t="s">
        <v>3719</v>
      </c>
      <c r="B1865" t="s">
        <v>3720</v>
      </c>
      <c r="C1865">
        <v>47</v>
      </c>
      <c r="D1865" t="s">
        <v>16</v>
      </c>
      <c r="E1865" t="s">
        <v>17</v>
      </c>
      <c r="F1865" s="1">
        <v>45172</v>
      </c>
      <c r="G1865" s="1">
        <v>46140</v>
      </c>
      <c r="H1865">
        <v>42</v>
      </c>
      <c r="I1865">
        <v>4</v>
      </c>
      <c r="J1865">
        <v>1</v>
      </c>
      <c r="K1865" t="str">
        <f t="shared" si="87"/>
        <v>Sep-2023</v>
      </c>
      <c r="L1865" s="1">
        <f t="shared" ca="1" si="88"/>
        <v>18</v>
      </c>
      <c r="M1865" t="str">
        <f t="shared" si="89"/>
        <v>46+</v>
      </c>
    </row>
    <row r="1866" spans="1:13" x14ac:dyDescent="0.2">
      <c r="A1866" t="s">
        <v>3721</v>
      </c>
      <c r="B1866" t="s">
        <v>3722</v>
      </c>
      <c r="C1866">
        <v>29</v>
      </c>
      <c r="D1866" t="s">
        <v>20</v>
      </c>
      <c r="E1866" t="s">
        <v>21</v>
      </c>
      <c r="F1866" s="1">
        <v>46009</v>
      </c>
      <c r="G1866" s="1">
        <v>46030</v>
      </c>
      <c r="H1866">
        <v>2</v>
      </c>
      <c r="I1866">
        <v>6</v>
      </c>
      <c r="J1866">
        <v>1</v>
      </c>
      <c r="K1866" t="str">
        <f t="shared" si="87"/>
        <v>Dec-2025</v>
      </c>
      <c r="L1866" s="1">
        <f t="shared" ca="1" si="88"/>
        <v>128</v>
      </c>
      <c r="M1866" t="str">
        <f t="shared" si="89"/>
        <v>26-35</v>
      </c>
    </row>
    <row r="1867" spans="1:13" x14ac:dyDescent="0.2">
      <c r="A1867" t="s">
        <v>3723</v>
      </c>
      <c r="B1867" t="s">
        <v>3724</v>
      </c>
      <c r="C1867">
        <v>31</v>
      </c>
      <c r="D1867" t="s">
        <v>12</v>
      </c>
      <c r="E1867" t="s">
        <v>13</v>
      </c>
      <c r="F1867" s="1">
        <v>45655</v>
      </c>
      <c r="G1867" s="1">
        <v>46139</v>
      </c>
      <c r="H1867">
        <v>61</v>
      </c>
      <c r="I1867">
        <v>3</v>
      </c>
      <c r="J1867">
        <v>1</v>
      </c>
      <c r="K1867" t="str">
        <f t="shared" si="87"/>
        <v>Dec-2024</v>
      </c>
      <c r="L1867" s="1">
        <f t="shared" ca="1" si="88"/>
        <v>19</v>
      </c>
      <c r="M1867" t="str">
        <f t="shared" si="89"/>
        <v>26-35</v>
      </c>
    </row>
    <row r="1868" spans="1:13" x14ac:dyDescent="0.2">
      <c r="A1868" t="s">
        <v>3725</v>
      </c>
      <c r="B1868" t="s">
        <v>3726</v>
      </c>
      <c r="C1868">
        <v>41</v>
      </c>
      <c r="D1868" t="s">
        <v>12</v>
      </c>
      <c r="E1868" t="s">
        <v>21</v>
      </c>
      <c r="F1868" s="1">
        <v>45931</v>
      </c>
      <c r="G1868" s="1">
        <v>46097</v>
      </c>
      <c r="H1868">
        <v>5</v>
      </c>
      <c r="I1868">
        <v>1</v>
      </c>
      <c r="J1868">
        <v>0</v>
      </c>
      <c r="K1868" t="str">
        <f t="shared" si="87"/>
        <v>Oct-2025</v>
      </c>
      <c r="L1868" s="1">
        <f t="shared" ca="1" si="88"/>
        <v>61</v>
      </c>
      <c r="M1868" t="str">
        <f t="shared" si="89"/>
        <v>36-45</v>
      </c>
    </row>
    <row r="1869" spans="1:13" x14ac:dyDescent="0.2">
      <c r="A1869" t="s">
        <v>3727</v>
      </c>
      <c r="B1869" t="s">
        <v>3728</v>
      </c>
      <c r="C1869">
        <v>45</v>
      </c>
      <c r="D1869" t="s">
        <v>12</v>
      </c>
      <c r="E1869" t="s">
        <v>21</v>
      </c>
      <c r="F1869" s="1">
        <v>45534</v>
      </c>
      <c r="G1869" s="1">
        <v>46076</v>
      </c>
      <c r="H1869">
        <v>58</v>
      </c>
      <c r="I1869">
        <v>8</v>
      </c>
      <c r="J1869">
        <v>1</v>
      </c>
      <c r="K1869" t="str">
        <f t="shared" si="87"/>
        <v>Aug-2024</v>
      </c>
      <c r="L1869" s="1">
        <f t="shared" ca="1" si="88"/>
        <v>82</v>
      </c>
      <c r="M1869" t="str">
        <f t="shared" si="89"/>
        <v>36-45</v>
      </c>
    </row>
    <row r="1870" spans="1:13" x14ac:dyDescent="0.2">
      <c r="A1870" t="s">
        <v>3729</v>
      </c>
      <c r="B1870" t="s">
        <v>3730</v>
      </c>
      <c r="C1870">
        <v>41</v>
      </c>
      <c r="D1870" t="s">
        <v>16</v>
      </c>
      <c r="E1870" t="s">
        <v>17</v>
      </c>
      <c r="F1870" s="1">
        <v>45413</v>
      </c>
      <c r="G1870" s="1">
        <v>46058</v>
      </c>
      <c r="H1870">
        <v>15</v>
      </c>
      <c r="I1870">
        <v>7</v>
      </c>
      <c r="J1870">
        <v>1</v>
      </c>
      <c r="K1870" t="str">
        <f t="shared" si="87"/>
        <v>May-2024</v>
      </c>
      <c r="L1870" s="1">
        <f t="shared" ca="1" si="88"/>
        <v>100</v>
      </c>
      <c r="M1870" t="str">
        <f t="shared" si="89"/>
        <v>36-45</v>
      </c>
    </row>
    <row r="1871" spans="1:13" x14ac:dyDescent="0.2">
      <c r="A1871" t="s">
        <v>3731</v>
      </c>
      <c r="B1871" t="s">
        <v>3732</v>
      </c>
      <c r="C1871">
        <v>31</v>
      </c>
      <c r="D1871" t="s">
        <v>16</v>
      </c>
      <c r="E1871" t="s">
        <v>17</v>
      </c>
      <c r="F1871" s="1">
        <v>45959</v>
      </c>
      <c r="G1871" s="1">
        <v>46144</v>
      </c>
      <c r="H1871">
        <v>60</v>
      </c>
      <c r="I1871">
        <v>6</v>
      </c>
      <c r="J1871">
        <v>0</v>
      </c>
      <c r="K1871" t="str">
        <f t="shared" si="87"/>
        <v>Oct-2025</v>
      </c>
      <c r="L1871" s="1">
        <f t="shared" ca="1" si="88"/>
        <v>14</v>
      </c>
      <c r="M1871" t="str">
        <f t="shared" si="89"/>
        <v>26-35</v>
      </c>
    </row>
    <row r="1872" spans="1:13" x14ac:dyDescent="0.2">
      <c r="A1872" t="s">
        <v>3733</v>
      </c>
      <c r="B1872" t="s">
        <v>3734</v>
      </c>
      <c r="C1872">
        <v>59</v>
      </c>
      <c r="D1872" t="s">
        <v>16</v>
      </c>
      <c r="E1872" t="s">
        <v>21</v>
      </c>
      <c r="F1872" s="1">
        <v>45605</v>
      </c>
      <c r="G1872" s="1">
        <v>46125</v>
      </c>
      <c r="H1872">
        <v>17</v>
      </c>
      <c r="I1872">
        <v>8</v>
      </c>
      <c r="J1872">
        <v>0</v>
      </c>
      <c r="K1872" t="str">
        <f t="shared" si="87"/>
        <v>Nov-2024</v>
      </c>
      <c r="L1872" s="1">
        <f t="shared" ca="1" si="88"/>
        <v>33</v>
      </c>
      <c r="M1872" t="str">
        <f t="shared" si="89"/>
        <v>46+</v>
      </c>
    </row>
    <row r="1873" spans="1:13" x14ac:dyDescent="0.2">
      <c r="A1873" t="s">
        <v>3735</v>
      </c>
      <c r="B1873" t="s">
        <v>3736</v>
      </c>
      <c r="C1873">
        <v>52</v>
      </c>
      <c r="D1873" t="s">
        <v>20</v>
      </c>
      <c r="E1873" t="s">
        <v>21</v>
      </c>
      <c r="F1873" s="1">
        <v>45776</v>
      </c>
      <c r="G1873" s="1">
        <v>46104</v>
      </c>
      <c r="H1873">
        <v>69</v>
      </c>
      <c r="I1873">
        <v>1</v>
      </c>
      <c r="J1873">
        <v>0</v>
      </c>
      <c r="K1873" t="str">
        <f t="shared" si="87"/>
        <v>Apr-2025</v>
      </c>
      <c r="L1873" s="1">
        <f t="shared" ca="1" si="88"/>
        <v>54</v>
      </c>
      <c r="M1873" t="str">
        <f t="shared" si="89"/>
        <v>46+</v>
      </c>
    </row>
    <row r="1874" spans="1:13" x14ac:dyDescent="0.2">
      <c r="A1874" t="s">
        <v>3737</v>
      </c>
      <c r="B1874" t="s">
        <v>3738</v>
      </c>
      <c r="C1874">
        <v>47</v>
      </c>
      <c r="D1874" t="s">
        <v>16</v>
      </c>
      <c r="E1874" t="s">
        <v>21</v>
      </c>
      <c r="F1874" s="1">
        <v>45469</v>
      </c>
      <c r="G1874" s="1">
        <v>46035</v>
      </c>
      <c r="H1874">
        <v>70</v>
      </c>
      <c r="I1874">
        <v>6</v>
      </c>
      <c r="J1874">
        <v>0</v>
      </c>
      <c r="K1874" t="str">
        <f t="shared" si="87"/>
        <v>Jun-2024</v>
      </c>
      <c r="L1874" s="1">
        <f t="shared" ca="1" si="88"/>
        <v>123</v>
      </c>
      <c r="M1874" t="str">
        <f t="shared" si="89"/>
        <v>46+</v>
      </c>
    </row>
    <row r="1875" spans="1:13" x14ac:dyDescent="0.2">
      <c r="A1875" t="s">
        <v>3739</v>
      </c>
      <c r="B1875" t="s">
        <v>3740</v>
      </c>
      <c r="C1875">
        <v>25</v>
      </c>
      <c r="D1875" t="s">
        <v>16</v>
      </c>
      <c r="E1875" t="s">
        <v>17</v>
      </c>
      <c r="F1875" s="1">
        <v>45969</v>
      </c>
      <c r="G1875" s="1">
        <v>46148</v>
      </c>
      <c r="H1875">
        <v>11</v>
      </c>
      <c r="I1875">
        <v>5</v>
      </c>
      <c r="J1875">
        <v>0</v>
      </c>
      <c r="K1875" t="str">
        <f t="shared" si="87"/>
        <v>Nov-2025</v>
      </c>
      <c r="L1875" s="1">
        <f t="shared" ca="1" si="88"/>
        <v>10</v>
      </c>
      <c r="M1875" t="str">
        <f t="shared" si="89"/>
        <v>18-25</v>
      </c>
    </row>
    <row r="1876" spans="1:13" x14ac:dyDescent="0.2">
      <c r="A1876" t="s">
        <v>3741</v>
      </c>
      <c r="B1876" t="s">
        <v>3742</v>
      </c>
      <c r="C1876">
        <v>39</v>
      </c>
      <c r="D1876" t="s">
        <v>20</v>
      </c>
      <c r="E1876" t="s">
        <v>13</v>
      </c>
      <c r="F1876" s="1">
        <v>45678</v>
      </c>
      <c r="G1876" s="1">
        <v>46146</v>
      </c>
      <c r="H1876">
        <v>53</v>
      </c>
      <c r="I1876">
        <v>1</v>
      </c>
      <c r="J1876">
        <v>1</v>
      </c>
      <c r="K1876" t="str">
        <f t="shared" si="87"/>
        <v>Jan-2025</v>
      </c>
      <c r="L1876" s="1">
        <f t="shared" ca="1" si="88"/>
        <v>12</v>
      </c>
      <c r="M1876" t="str">
        <f t="shared" si="89"/>
        <v>36-45</v>
      </c>
    </row>
    <row r="1877" spans="1:13" x14ac:dyDescent="0.2">
      <c r="A1877" t="s">
        <v>3743</v>
      </c>
      <c r="B1877" t="s">
        <v>3744</v>
      </c>
      <c r="C1877">
        <v>43</v>
      </c>
      <c r="D1877" t="s">
        <v>12</v>
      </c>
      <c r="E1877" t="s">
        <v>13</v>
      </c>
      <c r="F1877" s="1">
        <v>45442</v>
      </c>
      <c r="G1877" s="1">
        <v>46069</v>
      </c>
      <c r="H1877">
        <v>8</v>
      </c>
      <c r="I1877">
        <v>2</v>
      </c>
      <c r="J1877">
        <v>0</v>
      </c>
      <c r="K1877" t="str">
        <f t="shared" si="87"/>
        <v>May-2024</v>
      </c>
      <c r="L1877" s="1">
        <f t="shared" ca="1" si="88"/>
        <v>89</v>
      </c>
      <c r="M1877" t="str">
        <f t="shared" si="89"/>
        <v>36-45</v>
      </c>
    </row>
    <row r="1878" spans="1:13" x14ac:dyDescent="0.2">
      <c r="A1878" t="s">
        <v>3745</v>
      </c>
      <c r="B1878" t="s">
        <v>3746</v>
      </c>
      <c r="C1878">
        <v>18</v>
      </c>
      <c r="D1878" t="s">
        <v>12</v>
      </c>
      <c r="E1878" t="s">
        <v>21</v>
      </c>
      <c r="F1878" s="1">
        <v>45887</v>
      </c>
      <c r="G1878" s="1">
        <v>46097</v>
      </c>
      <c r="H1878">
        <v>52</v>
      </c>
      <c r="I1878">
        <v>1</v>
      </c>
      <c r="J1878">
        <v>0</v>
      </c>
      <c r="K1878" t="str">
        <f t="shared" si="87"/>
        <v>Aug-2025</v>
      </c>
      <c r="L1878" s="1">
        <f t="shared" ca="1" si="88"/>
        <v>61</v>
      </c>
      <c r="M1878" t="str">
        <f t="shared" si="89"/>
        <v>18-25</v>
      </c>
    </row>
    <row r="1879" spans="1:13" x14ac:dyDescent="0.2">
      <c r="A1879" t="s">
        <v>3747</v>
      </c>
      <c r="B1879" t="s">
        <v>3748</v>
      </c>
      <c r="C1879">
        <v>33</v>
      </c>
      <c r="D1879" t="s">
        <v>20</v>
      </c>
      <c r="E1879" t="s">
        <v>21</v>
      </c>
      <c r="F1879" s="1">
        <v>45237</v>
      </c>
      <c r="G1879" s="1">
        <v>46093</v>
      </c>
      <c r="H1879">
        <v>24</v>
      </c>
      <c r="I1879">
        <v>9</v>
      </c>
      <c r="J1879">
        <v>0</v>
      </c>
      <c r="K1879" t="str">
        <f t="shared" si="87"/>
        <v>Nov-2023</v>
      </c>
      <c r="L1879" s="1">
        <f t="shared" ca="1" si="88"/>
        <v>65</v>
      </c>
      <c r="M1879" t="str">
        <f t="shared" si="89"/>
        <v>26-35</v>
      </c>
    </row>
    <row r="1880" spans="1:13" x14ac:dyDescent="0.2">
      <c r="A1880" t="s">
        <v>3749</v>
      </c>
      <c r="B1880" t="s">
        <v>3750</v>
      </c>
      <c r="C1880">
        <v>60</v>
      </c>
      <c r="D1880" t="s">
        <v>12</v>
      </c>
      <c r="E1880" t="s">
        <v>21</v>
      </c>
      <c r="F1880" s="1">
        <v>46085</v>
      </c>
      <c r="G1880" s="1">
        <v>46109</v>
      </c>
      <c r="H1880">
        <v>43</v>
      </c>
      <c r="I1880">
        <v>6</v>
      </c>
      <c r="J1880">
        <v>1</v>
      </c>
      <c r="K1880" t="str">
        <f t="shared" si="87"/>
        <v>Mar-2026</v>
      </c>
      <c r="L1880" s="1">
        <f t="shared" ca="1" si="88"/>
        <v>49</v>
      </c>
      <c r="M1880" t="str">
        <f t="shared" si="89"/>
        <v>46+</v>
      </c>
    </row>
    <row r="1881" spans="1:13" x14ac:dyDescent="0.2">
      <c r="A1881" t="s">
        <v>3751</v>
      </c>
      <c r="B1881" t="s">
        <v>3752</v>
      </c>
      <c r="C1881">
        <v>57</v>
      </c>
      <c r="D1881" t="s">
        <v>12</v>
      </c>
      <c r="E1881" t="s">
        <v>21</v>
      </c>
      <c r="F1881" s="1">
        <v>45448</v>
      </c>
      <c r="G1881" s="1">
        <v>46035</v>
      </c>
      <c r="H1881">
        <v>27</v>
      </c>
      <c r="I1881">
        <v>3</v>
      </c>
      <c r="J1881">
        <v>1</v>
      </c>
      <c r="K1881" t="str">
        <f t="shared" si="87"/>
        <v>Jun-2024</v>
      </c>
      <c r="L1881" s="1">
        <f t="shared" ca="1" si="88"/>
        <v>123</v>
      </c>
      <c r="M1881" t="str">
        <f t="shared" si="89"/>
        <v>46+</v>
      </c>
    </row>
    <row r="1882" spans="1:13" x14ac:dyDescent="0.2">
      <c r="A1882" t="s">
        <v>3753</v>
      </c>
      <c r="B1882" t="s">
        <v>3754</v>
      </c>
      <c r="C1882">
        <v>59</v>
      </c>
      <c r="D1882" t="s">
        <v>16</v>
      </c>
      <c r="E1882" t="s">
        <v>21</v>
      </c>
      <c r="F1882" s="1">
        <v>45487</v>
      </c>
      <c r="G1882" s="1">
        <v>46076</v>
      </c>
      <c r="H1882">
        <v>72</v>
      </c>
      <c r="I1882">
        <v>5</v>
      </c>
      <c r="J1882">
        <v>0</v>
      </c>
      <c r="K1882" t="str">
        <f t="shared" si="87"/>
        <v>Jul-2024</v>
      </c>
      <c r="L1882" s="1">
        <f t="shared" ca="1" si="88"/>
        <v>82</v>
      </c>
      <c r="M1882" t="str">
        <f t="shared" si="89"/>
        <v>46+</v>
      </c>
    </row>
    <row r="1883" spans="1:13" x14ac:dyDescent="0.2">
      <c r="A1883" t="s">
        <v>3755</v>
      </c>
      <c r="B1883" t="s">
        <v>3756</v>
      </c>
      <c r="C1883">
        <v>22</v>
      </c>
      <c r="D1883" t="s">
        <v>16</v>
      </c>
      <c r="E1883" t="s">
        <v>17</v>
      </c>
      <c r="F1883" s="1">
        <v>45753</v>
      </c>
      <c r="G1883" s="1">
        <v>46119</v>
      </c>
      <c r="H1883">
        <v>17</v>
      </c>
      <c r="I1883">
        <v>1</v>
      </c>
      <c r="J1883">
        <v>1</v>
      </c>
      <c r="K1883" t="str">
        <f t="shared" si="87"/>
        <v>Apr-2025</v>
      </c>
      <c r="L1883" s="1">
        <f t="shared" ca="1" si="88"/>
        <v>39</v>
      </c>
      <c r="M1883" t="str">
        <f t="shared" si="89"/>
        <v>18-25</v>
      </c>
    </row>
    <row r="1884" spans="1:13" x14ac:dyDescent="0.2">
      <c r="A1884" t="s">
        <v>3757</v>
      </c>
      <c r="B1884" t="s">
        <v>3758</v>
      </c>
      <c r="C1884">
        <v>24</v>
      </c>
      <c r="D1884" t="s">
        <v>12</v>
      </c>
      <c r="E1884" t="s">
        <v>21</v>
      </c>
      <c r="F1884" s="1">
        <v>45895</v>
      </c>
      <c r="G1884" s="1">
        <v>46071</v>
      </c>
      <c r="H1884">
        <v>12</v>
      </c>
      <c r="I1884">
        <v>1</v>
      </c>
      <c r="J1884">
        <v>0</v>
      </c>
      <c r="K1884" t="str">
        <f t="shared" si="87"/>
        <v>Aug-2025</v>
      </c>
      <c r="L1884" s="1">
        <f t="shared" ca="1" si="88"/>
        <v>87</v>
      </c>
      <c r="M1884" t="str">
        <f t="shared" si="89"/>
        <v>18-25</v>
      </c>
    </row>
    <row r="1885" spans="1:13" x14ac:dyDescent="0.2">
      <c r="A1885" t="s">
        <v>3759</v>
      </c>
      <c r="B1885" t="s">
        <v>3760</v>
      </c>
      <c r="C1885">
        <v>48</v>
      </c>
      <c r="D1885" t="s">
        <v>20</v>
      </c>
      <c r="E1885" t="s">
        <v>21</v>
      </c>
      <c r="F1885" s="1">
        <v>45818</v>
      </c>
      <c r="G1885" s="1">
        <v>46138</v>
      </c>
      <c r="H1885">
        <v>7</v>
      </c>
      <c r="I1885">
        <v>4</v>
      </c>
      <c r="J1885">
        <v>0</v>
      </c>
      <c r="K1885" t="str">
        <f t="shared" si="87"/>
        <v>Jun-2025</v>
      </c>
      <c r="L1885" s="1">
        <f t="shared" ca="1" si="88"/>
        <v>20</v>
      </c>
      <c r="M1885" t="str">
        <f t="shared" si="89"/>
        <v>46+</v>
      </c>
    </row>
    <row r="1886" spans="1:13" x14ac:dyDescent="0.2">
      <c r="A1886" t="s">
        <v>3761</v>
      </c>
      <c r="B1886" t="s">
        <v>3762</v>
      </c>
      <c r="C1886">
        <v>51</v>
      </c>
      <c r="D1886" t="s">
        <v>16</v>
      </c>
      <c r="E1886" t="s">
        <v>13</v>
      </c>
      <c r="F1886" s="1">
        <v>45940</v>
      </c>
      <c r="G1886" s="1">
        <v>46085</v>
      </c>
      <c r="H1886">
        <v>38</v>
      </c>
      <c r="I1886">
        <v>8</v>
      </c>
      <c r="J1886">
        <v>1</v>
      </c>
      <c r="K1886" t="str">
        <f t="shared" si="87"/>
        <v>Oct-2025</v>
      </c>
      <c r="L1886" s="1">
        <f t="shared" ca="1" si="88"/>
        <v>73</v>
      </c>
      <c r="M1886" t="str">
        <f t="shared" si="89"/>
        <v>46+</v>
      </c>
    </row>
    <row r="1887" spans="1:13" x14ac:dyDescent="0.2">
      <c r="A1887" t="s">
        <v>3763</v>
      </c>
      <c r="B1887" t="s">
        <v>3764</v>
      </c>
      <c r="C1887">
        <v>30</v>
      </c>
      <c r="D1887" t="s">
        <v>20</v>
      </c>
      <c r="E1887" t="s">
        <v>21</v>
      </c>
      <c r="F1887" s="1">
        <v>45230</v>
      </c>
      <c r="G1887" s="1">
        <v>46139</v>
      </c>
      <c r="H1887">
        <v>73</v>
      </c>
      <c r="I1887">
        <v>4</v>
      </c>
      <c r="J1887">
        <v>0</v>
      </c>
      <c r="K1887" t="str">
        <f t="shared" si="87"/>
        <v>Oct-2023</v>
      </c>
      <c r="L1887" s="1">
        <f t="shared" ca="1" si="88"/>
        <v>19</v>
      </c>
      <c r="M1887" t="str">
        <f t="shared" si="89"/>
        <v>26-35</v>
      </c>
    </row>
    <row r="1888" spans="1:13" x14ac:dyDescent="0.2">
      <c r="A1888" t="s">
        <v>3765</v>
      </c>
      <c r="B1888" t="s">
        <v>3766</v>
      </c>
      <c r="C1888">
        <v>36</v>
      </c>
      <c r="D1888" t="s">
        <v>16</v>
      </c>
      <c r="E1888" t="s">
        <v>21</v>
      </c>
      <c r="F1888" s="1">
        <v>46085</v>
      </c>
      <c r="G1888" s="1">
        <v>46042</v>
      </c>
      <c r="H1888">
        <v>6</v>
      </c>
      <c r="I1888">
        <v>10</v>
      </c>
      <c r="J1888">
        <v>1</v>
      </c>
      <c r="K1888" t="str">
        <f t="shared" si="87"/>
        <v>Mar-2026</v>
      </c>
      <c r="L1888" s="1">
        <f t="shared" ca="1" si="88"/>
        <v>116</v>
      </c>
      <c r="M1888" t="str">
        <f t="shared" si="89"/>
        <v>36-45</v>
      </c>
    </row>
    <row r="1889" spans="1:13" x14ac:dyDescent="0.2">
      <c r="A1889" t="s">
        <v>3767</v>
      </c>
      <c r="B1889" t="s">
        <v>3768</v>
      </c>
      <c r="C1889">
        <v>26</v>
      </c>
      <c r="D1889" t="s">
        <v>20</v>
      </c>
      <c r="E1889" t="s">
        <v>13</v>
      </c>
      <c r="F1889" s="1">
        <v>46077</v>
      </c>
      <c r="G1889" s="1">
        <v>46149</v>
      </c>
      <c r="H1889">
        <v>46</v>
      </c>
      <c r="I1889">
        <v>5</v>
      </c>
      <c r="J1889">
        <v>0</v>
      </c>
      <c r="K1889" t="str">
        <f t="shared" si="87"/>
        <v>Feb-2026</v>
      </c>
      <c r="L1889" s="1">
        <f t="shared" ca="1" si="88"/>
        <v>9</v>
      </c>
      <c r="M1889" t="str">
        <f t="shared" si="89"/>
        <v>26-35</v>
      </c>
    </row>
    <row r="1890" spans="1:13" x14ac:dyDescent="0.2">
      <c r="A1890" t="s">
        <v>3769</v>
      </c>
      <c r="B1890" t="s">
        <v>3770</v>
      </c>
      <c r="C1890">
        <v>54</v>
      </c>
      <c r="D1890" t="s">
        <v>12</v>
      </c>
      <c r="E1890" t="s">
        <v>17</v>
      </c>
      <c r="F1890" s="1">
        <v>45409</v>
      </c>
      <c r="G1890" s="1">
        <v>46057</v>
      </c>
      <c r="H1890">
        <v>57</v>
      </c>
      <c r="I1890">
        <v>3</v>
      </c>
      <c r="J1890">
        <v>0</v>
      </c>
      <c r="K1890" t="str">
        <f t="shared" si="87"/>
        <v>Apr-2024</v>
      </c>
      <c r="L1890" s="1">
        <f t="shared" ca="1" si="88"/>
        <v>101</v>
      </c>
      <c r="M1890" t="str">
        <f t="shared" si="89"/>
        <v>46+</v>
      </c>
    </row>
    <row r="1891" spans="1:13" x14ac:dyDescent="0.2">
      <c r="A1891" t="s">
        <v>3771</v>
      </c>
      <c r="B1891" t="s">
        <v>3772</v>
      </c>
      <c r="C1891">
        <v>36</v>
      </c>
      <c r="D1891" t="s">
        <v>20</v>
      </c>
      <c r="E1891" t="s">
        <v>17</v>
      </c>
      <c r="F1891" s="1">
        <v>45852</v>
      </c>
      <c r="G1891" s="1">
        <v>46102</v>
      </c>
      <c r="H1891">
        <v>75</v>
      </c>
      <c r="I1891">
        <v>4</v>
      </c>
      <c r="J1891">
        <v>0</v>
      </c>
      <c r="K1891" t="str">
        <f t="shared" si="87"/>
        <v>Jul-2025</v>
      </c>
      <c r="L1891" s="1">
        <f t="shared" ca="1" si="88"/>
        <v>56</v>
      </c>
      <c r="M1891" t="str">
        <f t="shared" si="89"/>
        <v>36-45</v>
      </c>
    </row>
    <row r="1892" spans="1:13" x14ac:dyDescent="0.2">
      <c r="A1892" t="s">
        <v>3773</v>
      </c>
      <c r="B1892" t="s">
        <v>3774</v>
      </c>
      <c r="C1892">
        <v>45</v>
      </c>
      <c r="D1892" t="s">
        <v>20</v>
      </c>
      <c r="E1892" t="s">
        <v>21</v>
      </c>
      <c r="F1892" s="1">
        <v>45679</v>
      </c>
      <c r="G1892" s="1">
        <v>46108</v>
      </c>
      <c r="H1892">
        <v>64</v>
      </c>
      <c r="I1892">
        <v>2</v>
      </c>
      <c r="J1892">
        <v>0</v>
      </c>
      <c r="K1892" t="str">
        <f t="shared" si="87"/>
        <v>Jan-2025</v>
      </c>
      <c r="L1892" s="1">
        <f t="shared" ca="1" si="88"/>
        <v>50</v>
      </c>
      <c r="M1892" t="str">
        <f t="shared" si="89"/>
        <v>36-45</v>
      </c>
    </row>
    <row r="1893" spans="1:13" x14ac:dyDescent="0.2">
      <c r="A1893" t="s">
        <v>3775</v>
      </c>
      <c r="B1893" t="s">
        <v>852</v>
      </c>
      <c r="C1893">
        <v>28</v>
      </c>
      <c r="D1893" t="s">
        <v>20</v>
      </c>
      <c r="E1893" t="s">
        <v>17</v>
      </c>
      <c r="F1893" s="1">
        <v>45701</v>
      </c>
      <c r="G1893" s="1">
        <v>46081</v>
      </c>
      <c r="H1893">
        <v>62</v>
      </c>
      <c r="I1893">
        <v>9</v>
      </c>
      <c r="J1893">
        <v>0</v>
      </c>
      <c r="K1893" t="str">
        <f t="shared" si="87"/>
        <v>Feb-2025</v>
      </c>
      <c r="L1893" s="1">
        <f t="shared" ca="1" si="88"/>
        <v>77</v>
      </c>
      <c r="M1893" t="str">
        <f t="shared" si="89"/>
        <v>26-35</v>
      </c>
    </row>
    <row r="1894" spans="1:13" x14ac:dyDescent="0.2">
      <c r="A1894" t="s">
        <v>3776</v>
      </c>
      <c r="B1894" t="s">
        <v>3777</v>
      </c>
      <c r="C1894">
        <v>57</v>
      </c>
      <c r="D1894" t="s">
        <v>16</v>
      </c>
      <c r="E1894" t="s">
        <v>13</v>
      </c>
      <c r="F1894" s="1">
        <v>45738</v>
      </c>
      <c r="G1894" s="1">
        <v>46115</v>
      </c>
      <c r="H1894">
        <v>2</v>
      </c>
      <c r="I1894">
        <v>1</v>
      </c>
      <c r="J1894">
        <v>0</v>
      </c>
      <c r="K1894" t="str">
        <f t="shared" si="87"/>
        <v>Mar-2025</v>
      </c>
      <c r="L1894" s="1">
        <f t="shared" ca="1" si="88"/>
        <v>43</v>
      </c>
      <c r="M1894" t="str">
        <f t="shared" si="89"/>
        <v>46+</v>
      </c>
    </row>
    <row r="1895" spans="1:13" x14ac:dyDescent="0.2">
      <c r="A1895" t="s">
        <v>3778</v>
      </c>
      <c r="B1895" t="s">
        <v>3779</v>
      </c>
      <c r="C1895">
        <v>19</v>
      </c>
      <c r="D1895" t="s">
        <v>12</v>
      </c>
      <c r="E1895" t="s">
        <v>13</v>
      </c>
      <c r="F1895" s="1">
        <v>45722</v>
      </c>
      <c r="G1895" s="1">
        <v>46066</v>
      </c>
      <c r="H1895">
        <v>7</v>
      </c>
      <c r="I1895">
        <v>3</v>
      </c>
      <c r="J1895">
        <v>0</v>
      </c>
      <c r="K1895" t="str">
        <f t="shared" si="87"/>
        <v>Mar-2025</v>
      </c>
      <c r="L1895" s="1">
        <f t="shared" ca="1" si="88"/>
        <v>92</v>
      </c>
      <c r="M1895" t="str">
        <f t="shared" si="89"/>
        <v>18-25</v>
      </c>
    </row>
    <row r="1896" spans="1:13" x14ac:dyDescent="0.2">
      <c r="A1896" t="s">
        <v>3780</v>
      </c>
      <c r="B1896" t="s">
        <v>3781</v>
      </c>
      <c r="C1896">
        <v>31</v>
      </c>
      <c r="D1896" t="s">
        <v>16</v>
      </c>
      <c r="E1896" t="s">
        <v>21</v>
      </c>
      <c r="F1896" s="1">
        <v>45491</v>
      </c>
      <c r="G1896" s="1">
        <v>46075</v>
      </c>
      <c r="H1896">
        <v>62</v>
      </c>
      <c r="I1896">
        <v>10</v>
      </c>
      <c r="J1896">
        <v>1</v>
      </c>
      <c r="K1896" t="str">
        <f t="shared" si="87"/>
        <v>Jul-2024</v>
      </c>
      <c r="L1896" s="1">
        <f t="shared" ca="1" si="88"/>
        <v>83</v>
      </c>
      <c r="M1896" t="str">
        <f t="shared" si="89"/>
        <v>26-35</v>
      </c>
    </row>
    <row r="1897" spans="1:13" x14ac:dyDescent="0.2">
      <c r="A1897" t="s">
        <v>3782</v>
      </c>
      <c r="B1897" t="s">
        <v>3783</v>
      </c>
      <c r="C1897">
        <v>21</v>
      </c>
      <c r="D1897" t="s">
        <v>12</v>
      </c>
      <c r="E1897" t="s">
        <v>21</v>
      </c>
      <c r="F1897" s="1">
        <v>45850</v>
      </c>
      <c r="G1897" s="1">
        <v>46095</v>
      </c>
      <c r="H1897">
        <v>1</v>
      </c>
      <c r="I1897">
        <v>2</v>
      </c>
      <c r="J1897">
        <v>1</v>
      </c>
      <c r="K1897" t="str">
        <f t="shared" si="87"/>
        <v>Jul-2025</v>
      </c>
      <c r="L1897" s="1">
        <f t="shared" ca="1" si="88"/>
        <v>63</v>
      </c>
      <c r="M1897" t="str">
        <f t="shared" si="89"/>
        <v>18-25</v>
      </c>
    </row>
    <row r="1898" spans="1:13" x14ac:dyDescent="0.2">
      <c r="A1898" t="s">
        <v>3784</v>
      </c>
      <c r="B1898" t="s">
        <v>3785</v>
      </c>
      <c r="C1898">
        <v>59</v>
      </c>
      <c r="D1898" t="s">
        <v>16</v>
      </c>
      <c r="E1898" t="s">
        <v>21</v>
      </c>
      <c r="F1898" s="1">
        <v>45253</v>
      </c>
      <c r="G1898" s="1">
        <v>46083</v>
      </c>
      <c r="H1898">
        <v>67</v>
      </c>
      <c r="I1898">
        <v>3</v>
      </c>
      <c r="J1898">
        <v>1</v>
      </c>
      <c r="K1898" t="str">
        <f t="shared" si="87"/>
        <v>Nov-2023</v>
      </c>
      <c r="L1898" s="1">
        <f t="shared" ca="1" si="88"/>
        <v>75</v>
      </c>
      <c r="M1898" t="str">
        <f t="shared" si="89"/>
        <v>46+</v>
      </c>
    </row>
    <row r="1899" spans="1:13" x14ac:dyDescent="0.2">
      <c r="A1899" t="s">
        <v>3786</v>
      </c>
      <c r="B1899" t="s">
        <v>3787</v>
      </c>
      <c r="C1899">
        <v>32</v>
      </c>
      <c r="D1899" t="s">
        <v>16</v>
      </c>
      <c r="E1899" t="s">
        <v>17</v>
      </c>
      <c r="F1899" s="1">
        <v>45980</v>
      </c>
      <c r="G1899" s="1">
        <v>46114</v>
      </c>
      <c r="H1899">
        <v>65</v>
      </c>
      <c r="I1899">
        <v>9</v>
      </c>
      <c r="J1899">
        <v>0</v>
      </c>
      <c r="K1899" t="str">
        <f t="shared" si="87"/>
        <v>Nov-2025</v>
      </c>
      <c r="L1899" s="1">
        <f t="shared" ca="1" si="88"/>
        <v>44</v>
      </c>
      <c r="M1899" t="str">
        <f t="shared" si="89"/>
        <v>26-35</v>
      </c>
    </row>
    <row r="1900" spans="1:13" x14ac:dyDescent="0.2">
      <c r="A1900" t="s">
        <v>3788</v>
      </c>
      <c r="B1900" t="s">
        <v>3789</v>
      </c>
      <c r="C1900">
        <v>43</v>
      </c>
      <c r="D1900" t="s">
        <v>16</v>
      </c>
      <c r="E1900" t="s">
        <v>17</v>
      </c>
      <c r="F1900" s="1">
        <v>45854</v>
      </c>
      <c r="G1900" s="1">
        <v>46091</v>
      </c>
      <c r="H1900">
        <v>54</v>
      </c>
      <c r="I1900">
        <v>3</v>
      </c>
      <c r="J1900">
        <v>0</v>
      </c>
      <c r="K1900" t="str">
        <f t="shared" si="87"/>
        <v>Jul-2025</v>
      </c>
      <c r="L1900" s="1">
        <f t="shared" ca="1" si="88"/>
        <v>67</v>
      </c>
      <c r="M1900" t="str">
        <f t="shared" si="89"/>
        <v>36-45</v>
      </c>
    </row>
    <row r="1901" spans="1:13" x14ac:dyDescent="0.2">
      <c r="A1901" t="s">
        <v>3790</v>
      </c>
      <c r="B1901" t="s">
        <v>3791</v>
      </c>
      <c r="C1901">
        <v>34</v>
      </c>
      <c r="D1901" t="s">
        <v>12</v>
      </c>
      <c r="E1901" t="s">
        <v>17</v>
      </c>
      <c r="F1901" s="1">
        <v>45569</v>
      </c>
      <c r="G1901" s="1">
        <v>46073</v>
      </c>
      <c r="H1901">
        <v>66</v>
      </c>
      <c r="I1901">
        <v>1</v>
      </c>
      <c r="J1901">
        <v>0</v>
      </c>
      <c r="K1901" t="str">
        <f t="shared" si="87"/>
        <v>Oct-2024</v>
      </c>
      <c r="L1901" s="1">
        <f t="shared" ca="1" si="88"/>
        <v>85</v>
      </c>
      <c r="M1901" t="str">
        <f t="shared" si="89"/>
        <v>26-35</v>
      </c>
    </row>
    <row r="1902" spans="1:13" x14ac:dyDescent="0.2">
      <c r="A1902" t="s">
        <v>3792</v>
      </c>
      <c r="B1902" t="s">
        <v>3793</v>
      </c>
      <c r="C1902">
        <v>59</v>
      </c>
      <c r="D1902" t="s">
        <v>20</v>
      </c>
      <c r="E1902" t="s">
        <v>21</v>
      </c>
      <c r="F1902" s="1">
        <v>45528</v>
      </c>
      <c r="G1902" s="1">
        <v>46032</v>
      </c>
      <c r="H1902">
        <v>9</v>
      </c>
      <c r="I1902">
        <v>6</v>
      </c>
      <c r="J1902">
        <v>1</v>
      </c>
      <c r="K1902" t="str">
        <f t="shared" si="87"/>
        <v>Aug-2024</v>
      </c>
      <c r="L1902" s="1">
        <f t="shared" ca="1" si="88"/>
        <v>126</v>
      </c>
      <c r="M1902" t="str">
        <f t="shared" si="89"/>
        <v>46+</v>
      </c>
    </row>
    <row r="1903" spans="1:13" x14ac:dyDescent="0.2">
      <c r="A1903" t="s">
        <v>3794</v>
      </c>
      <c r="B1903" t="s">
        <v>3795</v>
      </c>
      <c r="C1903">
        <v>59</v>
      </c>
      <c r="D1903" t="s">
        <v>12</v>
      </c>
      <c r="E1903" t="s">
        <v>17</v>
      </c>
      <c r="F1903" s="1">
        <v>45618</v>
      </c>
      <c r="G1903" s="1">
        <v>46147</v>
      </c>
      <c r="H1903">
        <v>66</v>
      </c>
      <c r="I1903">
        <v>2</v>
      </c>
      <c r="J1903">
        <v>0</v>
      </c>
      <c r="K1903" t="str">
        <f t="shared" si="87"/>
        <v>Nov-2024</v>
      </c>
      <c r="L1903" s="1">
        <f t="shared" ca="1" si="88"/>
        <v>11</v>
      </c>
      <c r="M1903" t="str">
        <f t="shared" si="89"/>
        <v>46+</v>
      </c>
    </row>
    <row r="1904" spans="1:13" x14ac:dyDescent="0.2">
      <c r="A1904" t="s">
        <v>3796</v>
      </c>
      <c r="B1904" t="s">
        <v>1967</v>
      </c>
      <c r="C1904">
        <v>54</v>
      </c>
      <c r="D1904" t="s">
        <v>20</v>
      </c>
      <c r="E1904" t="s">
        <v>13</v>
      </c>
      <c r="F1904" s="1">
        <v>45353</v>
      </c>
      <c r="G1904" s="1">
        <v>46138</v>
      </c>
      <c r="H1904">
        <v>54</v>
      </c>
      <c r="I1904">
        <v>8</v>
      </c>
      <c r="J1904">
        <v>1</v>
      </c>
      <c r="K1904" t="str">
        <f t="shared" si="87"/>
        <v>Mar-2024</v>
      </c>
      <c r="L1904" s="1">
        <f t="shared" ca="1" si="88"/>
        <v>20</v>
      </c>
      <c r="M1904" t="str">
        <f t="shared" si="89"/>
        <v>46+</v>
      </c>
    </row>
    <row r="1905" spans="1:13" x14ac:dyDescent="0.2">
      <c r="A1905" t="s">
        <v>3797</v>
      </c>
      <c r="B1905" t="s">
        <v>3798</v>
      </c>
      <c r="C1905">
        <v>34</v>
      </c>
      <c r="D1905" t="s">
        <v>12</v>
      </c>
      <c r="E1905" t="s">
        <v>17</v>
      </c>
      <c r="F1905" s="1">
        <v>45284</v>
      </c>
      <c r="G1905" s="1">
        <v>46099</v>
      </c>
      <c r="H1905">
        <v>15</v>
      </c>
      <c r="I1905">
        <v>8</v>
      </c>
      <c r="J1905">
        <v>0</v>
      </c>
      <c r="K1905" t="str">
        <f t="shared" si="87"/>
        <v>Dec-2023</v>
      </c>
      <c r="L1905" s="1">
        <f t="shared" ca="1" si="88"/>
        <v>59</v>
      </c>
      <c r="M1905" t="str">
        <f t="shared" si="89"/>
        <v>26-35</v>
      </c>
    </row>
    <row r="1906" spans="1:13" x14ac:dyDescent="0.2">
      <c r="A1906" t="s">
        <v>3799</v>
      </c>
      <c r="B1906" t="s">
        <v>3800</v>
      </c>
      <c r="C1906">
        <v>24</v>
      </c>
      <c r="D1906" t="s">
        <v>20</v>
      </c>
      <c r="E1906" t="s">
        <v>21</v>
      </c>
      <c r="F1906" s="1">
        <v>45692</v>
      </c>
      <c r="G1906" s="1">
        <v>46128</v>
      </c>
      <c r="H1906">
        <v>80</v>
      </c>
      <c r="I1906">
        <v>6</v>
      </c>
      <c r="J1906">
        <v>1</v>
      </c>
      <c r="K1906" t="str">
        <f t="shared" si="87"/>
        <v>Feb-2025</v>
      </c>
      <c r="L1906" s="1">
        <f t="shared" ca="1" si="88"/>
        <v>30</v>
      </c>
      <c r="M1906" t="str">
        <f t="shared" si="89"/>
        <v>18-25</v>
      </c>
    </row>
    <row r="1907" spans="1:13" x14ac:dyDescent="0.2">
      <c r="A1907" t="s">
        <v>3801</v>
      </c>
      <c r="B1907" t="s">
        <v>3802</v>
      </c>
      <c r="C1907">
        <v>57</v>
      </c>
      <c r="D1907" t="s">
        <v>16</v>
      </c>
      <c r="E1907" t="s">
        <v>13</v>
      </c>
      <c r="F1907" s="1">
        <v>46112</v>
      </c>
      <c r="G1907" s="1">
        <v>46076</v>
      </c>
      <c r="H1907">
        <v>75</v>
      </c>
      <c r="I1907">
        <v>9</v>
      </c>
      <c r="J1907">
        <v>0</v>
      </c>
      <c r="K1907" t="str">
        <f t="shared" si="87"/>
        <v>Mar-2026</v>
      </c>
      <c r="L1907" s="1">
        <f t="shared" ca="1" si="88"/>
        <v>82</v>
      </c>
      <c r="M1907" t="str">
        <f t="shared" si="89"/>
        <v>46+</v>
      </c>
    </row>
    <row r="1908" spans="1:13" x14ac:dyDescent="0.2">
      <c r="A1908" t="s">
        <v>3803</v>
      </c>
      <c r="B1908" t="s">
        <v>3804</v>
      </c>
      <c r="C1908">
        <v>29</v>
      </c>
      <c r="D1908" t="s">
        <v>16</v>
      </c>
      <c r="E1908" t="s">
        <v>21</v>
      </c>
      <c r="F1908" s="1">
        <v>45683</v>
      </c>
      <c r="G1908" s="1">
        <v>46097</v>
      </c>
      <c r="H1908">
        <v>70</v>
      </c>
      <c r="I1908">
        <v>8</v>
      </c>
      <c r="J1908">
        <v>1</v>
      </c>
      <c r="K1908" t="str">
        <f t="shared" si="87"/>
        <v>Jan-2025</v>
      </c>
      <c r="L1908" s="1">
        <f t="shared" ca="1" si="88"/>
        <v>61</v>
      </c>
      <c r="M1908" t="str">
        <f t="shared" si="89"/>
        <v>26-35</v>
      </c>
    </row>
    <row r="1909" spans="1:13" x14ac:dyDescent="0.2">
      <c r="A1909" t="s">
        <v>3805</v>
      </c>
      <c r="B1909" t="s">
        <v>3806</v>
      </c>
      <c r="C1909">
        <v>35</v>
      </c>
      <c r="D1909" t="s">
        <v>20</v>
      </c>
      <c r="E1909" t="s">
        <v>17</v>
      </c>
      <c r="F1909" s="1">
        <v>45166</v>
      </c>
      <c r="G1909" s="1">
        <v>46100</v>
      </c>
      <c r="H1909">
        <v>46</v>
      </c>
      <c r="I1909">
        <v>4</v>
      </c>
      <c r="J1909">
        <v>1</v>
      </c>
      <c r="K1909" t="str">
        <f t="shared" si="87"/>
        <v>Aug-2023</v>
      </c>
      <c r="L1909" s="1">
        <f t="shared" ca="1" si="88"/>
        <v>58</v>
      </c>
      <c r="M1909" t="str">
        <f t="shared" si="89"/>
        <v>26-35</v>
      </c>
    </row>
    <row r="1910" spans="1:13" x14ac:dyDescent="0.2">
      <c r="A1910" t="s">
        <v>3807</v>
      </c>
      <c r="B1910" t="s">
        <v>3808</v>
      </c>
      <c r="C1910">
        <v>60</v>
      </c>
      <c r="D1910" t="s">
        <v>20</v>
      </c>
      <c r="E1910" t="s">
        <v>17</v>
      </c>
      <c r="F1910" s="1">
        <v>45754</v>
      </c>
      <c r="G1910" s="1">
        <v>46086</v>
      </c>
      <c r="H1910">
        <v>30</v>
      </c>
      <c r="I1910">
        <v>5</v>
      </c>
      <c r="J1910">
        <v>0</v>
      </c>
      <c r="K1910" t="str">
        <f t="shared" si="87"/>
        <v>Apr-2025</v>
      </c>
      <c r="L1910" s="1">
        <f t="shared" ca="1" si="88"/>
        <v>72</v>
      </c>
      <c r="M1910" t="str">
        <f t="shared" si="89"/>
        <v>46+</v>
      </c>
    </row>
    <row r="1911" spans="1:13" x14ac:dyDescent="0.2">
      <c r="A1911" t="s">
        <v>3809</v>
      </c>
      <c r="B1911" t="s">
        <v>3810</v>
      </c>
      <c r="C1911">
        <v>48</v>
      </c>
      <c r="D1911" t="s">
        <v>16</v>
      </c>
      <c r="E1911" t="s">
        <v>13</v>
      </c>
      <c r="F1911" s="1">
        <v>45954</v>
      </c>
      <c r="G1911" s="1">
        <v>46047</v>
      </c>
      <c r="H1911">
        <v>76</v>
      </c>
      <c r="I1911">
        <v>3</v>
      </c>
      <c r="J1911">
        <v>0</v>
      </c>
      <c r="K1911" t="str">
        <f t="shared" si="87"/>
        <v>Oct-2025</v>
      </c>
      <c r="L1911" s="1">
        <f t="shared" ca="1" si="88"/>
        <v>111</v>
      </c>
      <c r="M1911" t="str">
        <f t="shared" si="89"/>
        <v>46+</v>
      </c>
    </row>
    <row r="1912" spans="1:13" x14ac:dyDescent="0.2">
      <c r="A1912" t="s">
        <v>3811</v>
      </c>
      <c r="B1912" t="s">
        <v>3812</v>
      </c>
      <c r="C1912">
        <v>36</v>
      </c>
      <c r="D1912" t="s">
        <v>16</v>
      </c>
      <c r="E1912" t="s">
        <v>21</v>
      </c>
      <c r="F1912" s="1">
        <v>45665</v>
      </c>
      <c r="G1912" s="1">
        <v>46098</v>
      </c>
      <c r="H1912">
        <v>66</v>
      </c>
      <c r="I1912">
        <v>7</v>
      </c>
      <c r="J1912">
        <v>0</v>
      </c>
      <c r="K1912" t="str">
        <f t="shared" si="87"/>
        <v>Jan-2025</v>
      </c>
      <c r="L1912" s="1">
        <f t="shared" ca="1" si="88"/>
        <v>60</v>
      </c>
      <c r="M1912" t="str">
        <f t="shared" si="89"/>
        <v>36-45</v>
      </c>
    </row>
    <row r="1913" spans="1:13" x14ac:dyDescent="0.2">
      <c r="A1913" t="s">
        <v>3813</v>
      </c>
      <c r="B1913" t="s">
        <v>3814</v>
      </c>
      <c r="C1913">
        <v>39</v>
      </c>
      <c r="D1913" t="s">
        <v>16</v>
      </c>
      <c r="E1913" t="s">
        <v>13</v>
      </c>
      <c r="F1913" s="1">
        <v>45258</v>
      </c>
      <c r="G1913" s="1">
        <v>46121</v>
      </c>
      <c r="H1913">
        <v>14</v>
      </c>
      <c r="I1913">
        <v>10</v>
      </c>
      <c r="J1913">
        <v>0</v>
      </c>
      <c r="K1913" t="str">
        <f t="shared" si="87"/>
        <v>Nov-2023</v>
      </c>
      <c r="L1913" s="1">
        <f t="shared" ca="1" si="88"/>
        <v>37</v>
      </c>
      <c r="M1913" t="str">
        <f t="shared" si="89"/>
        <v>36-45</v>
      </c>
    </row>
    <row r="1914" spans="1:13" x14ac:dyDescent="0.2">
      <c r="A1914" t="s">
        <v>3815</v>
      </c>
      <c r="B1914" t="s">
        <v>3816</v>
      </c>
      <c r="C1914">
        <v>33</v>
      </c>
      <c r="D1914" t="s">
        <v>12</v>
      </c>
      <c r="E1914" t="s">
        <v>21</v>
      </c>
      <c r="F1914" s="1">
        <v>45330</v>
      </c>
      <c r="G1914" s="1">
        <v>46131</v>
      </c>
      <c r="H1914">
        <v>19</v>
      </c>
      <c r="I1914">
        <v>2</v>
      </c>
      <c r="J1914">
        <v>0</v>
      </c>
      <c r="K1914" t="str">
        <f t="shared" si="87"/>
        <v>Feb-2024</v>
      </c>
      <c r="L1914" s="1">
        <f t="shared" ca="1" si="88"/>
        <v>27</v>
      </c>
      <c r="M1914" t="str">
        <f t="shared" si="89"/>
        <v>26-35</v>
      </c>
    </row>
    <row r="1915" spans="1:13" x14ac:dyDescent="0.2">
      <c r="A1915" t="s">
        <v>3817</v>
      </c>
      <c r="B1915" t="s">
        <v>3818</v>
      </c>
      <c r="C1915">
        <v>55</v>
      </c>
      <c r="D1915" t="s">
        <v>16</v>
      </c>
      <c r="E1915" t="s">
        <v>17</v>
      </c>
      <c r="F1915" s="1">
        <v>46018</v>
      </c>
      <c r="G1915" s="1">
        <v>46044</v>
      </c>
      <c r="H1915">
        <v>24</v>
      </c>
      <c r="I1915">
        <v>1</v>
      </c>
      <c r="J1915">
        <v>0</v>
      </c>
      <c r="K1915" t="str">
        <f t="shared" si="87"/>
        <v>Dec-2025</v>
      </c>
      <c r="L1915" s="1">
        <f t="shared" ca="1" si="88"/>
        <v>114</v>
      </c>
      <c r="M1915" t="str">
        <f t="shared" si="89"/>
        <v>46+</v>
      </c>
    </row>
    <row r="1916" spans="1:13" x14ac:dyDescent="0.2">
      <c r="A1916" t="s">
        <v>3819</v>
      </c>
      <c r="B1916" t="s">
        <v>3820</v>
      </c>
      <c r="C1916">
        <v>32</v>
      </c>
      <c r="D1916" t="s">
        <v>20</v>
      </c>
      <c r="E1916" t="s">
        <v>21</v>
      </c>
      <c r="F1916" s="1">
        <v>45962</v>
      </c>
      <c r="G1916" s="1">
        <v>46104</v>
      </c>
      <c r="H1916">
        <v>1</v>
      </c>
      <c r="I1916">
        <v>6</v>
      </c>
      <c r="J1916">
        <v>0</v>
      </c>
      <c r="K1916" t="str">
        <f t="shared" si="87"/>
        <v>Nov-2025</v>
      </c>
      <c r="L1916" s="1">
        <f t="shared" ca="1" si="88"/>
        <v>54</v>
      </c>
      <c r="M1916" t="str">
        <f t="shared" si="89"/>
        <v>26-35</v>
      </c>
    </row>
    <row r="1917" spans="1:13" x14ac:dyDescent="0.2">
      <c r="A1917" t="s">
        <v>3821</v>
      </c>
      <c r="B1917" t="s">
        <v>3822</v>
      </c>
      <c r="C1917">
        <v>20</v>
      </c>
      <c r="D1917" t="s">
        <v>16</v>
      </c>
      <c r="E1917" t="s">
        <v>21</v>
      </c>
      <c r="F1917" s="1">
        <v>45517</v>
      </c>
      <c r="G1917" s="1">
        <v>46106</v>
      </c>
      <c r="H1917">
        <v>71</v>
      </c>
      <c r="I1917">
        <v>6</v>
      </c>
      <c r="J1917">
        <v>0</v>
      </c>
      <c r="K1917" t="str">
        <f t="shared" si="87"/>
        <v>Aug-2024</v>
      </c>
      <c r="L1917" s="1">
        <f t="shared" ca="1" si="88"/>
        <v>52</v>
      </c>
      <c r="M1917" t="str">
        <f t="shared" si="89"/>
        <v>18-25</v>
      </c>
    </row>
    <row r="1918" spans="1:13" x14ac:dyDescent="0.2">
      <c r="A1918" t="s">
        <v>3823</v>
      </c>
      <c r="B1918" t="s">
        <v>3824</v>
      </c>
      <c r="C1918">
        <v>42</v>
      </c>
      <c r="D1918" t="s">
        <v>16</v>
      </c>
      <c r="E1918" t="s">
        <v>21</v>
      </c>
      <c r="F1918" s="1">
        <v>45161</v>
      </c>
      <c r="G1918" s="1">
        <v>46087</v>
      </c>
      <c r="H1918">
        <v>6</v>
      </c>
      <c r="I1918">
        <v>2</v>
      </c>
      <c r="J1918">
        <v>1</v>
      </c>
      <c r="K1918" t="str">
        <f t="shared" si="87"/>
        <v>Aug-2023</v>
      </c>
      <c r="L1918" s="1">
        <f t="shared" ca="1" si="88"/>
        <v>71</v>
      </c>
      <c r="M1918" t="str">
        <f t="shared" si="89"/>
        <v>36-45</v>
      </c>
    </row>
    <row r="1919" spans="1:13" x14ac:dyDescent="0.2">
      <c r="A1919" t="s">
        <v>3825</v>
      </c>
      <c r="B1919" t="s">
        <v>3826</v>
      </c>
      <c r="C1919">
        <v>58</v>
      </c>
      <c r="D1919" t="s">
        <v>12</v>
      </c>
      <c r="E1919" t="s">
        <v>21</v>
      </c>
      <c r="F1919" s="1">
        <v>45243</v>
      </c>
      <c r="G1919" s="1">
        <v>46082</v>
      </c>
      <c r="H1919">
        <v>4</v>
      </c>
      <c r="I1919">
        <v>1</v>
      </c>
      <c r="J1919">
        <v>1</v>
      </c>
      <c r="K1919" t="str">
        <f t="shared" si="87"/>
        <v>Nov-2023</v>
      </c>
      <c r="L1919" s="1">
        <f t="shared" ca="1" si="88"/>
        <v>76</v>
      </c>
      <c r="M1919" t="str">
        <f t="shared" si="89"/>
        <v>46+</v>
      </c>
    </row>
    <row r="1920" spans="1:13" x14ac:dyDescent="0.2">
      <c r="A1920" t="s">
        <v>3827</v>
      </c>
      <c r="B1920" t="s">
        <v>3828</v>
      </c>
      <c r="C1920">
        <v>45</v>
      </c>
      <c r="D1920" t="s">
        <v>20</v>
      </c>
      <c r="E1920" t="s">
        <v>17</v>
      </c>
      <c r="F1920" s="1">
        <v>45708</v>
      </c>
      <c r="G1920" s="1">
        <v>46042</v>
      </c>
      <c r="H1920">
        <v>68</v>
      </c>
      <c r="I1920">
        <v>8</v>
      </c>
      <c r="J1920">
        <v>1</v>
      </c>
      <c r="K1920" t="str">
        <f t="shared" si="87"/>
        <v>Feb-2025</v>
      </c>
      <c r="L1920" s="1">
        <f t="shared" ca="1" si="88"/>
        <v>116</v>
      </c>
      <c r="M1920" t="str">
        <f t="shared" si="89"/>
        <v>36-45</v>
      </c>
    </row>
    <row r="1921" spans="1:13" x14ac:dyDescent="0.2">
      <c r="A1921" t="s">
        <v>3829</v>
      </c>
      <c r="B1921" t="s">
        <v>3830</v>
      </c>
      <c r="C1921">
        <v>22</v>
      </c>
      <c r="D1921" t="s">
        <v>12</v>
      </c>
      <c r="E1921" t="s">
        <v>17</v>
      </c>
      <c r="F1921" s="1">
        <v>45383</v>
      </c>
      <c r="G1921" s="1">
        <v>46070</v>
      </c>
      <c r="H1921">
        <v>60</v>
      </c>
      <c r="I1921">
        <v>2</v>
      </c>
      <c r="J1921">
        <v>1</v>
      </c>
      <c r="K1921" t="str">
        <f t="shared" si="87"/>
        <v>Apr-2024</v>
      </c>
      <c r="L1921" s="1">
        <f t="shared" ca="1" si="88"/>
        <v>88</v>
      </c>
      <c r="M1921" t="str">
        <f t="shared" si="89"/>
        <v>18-25</v>
      </c>
    </row>
    <row r="1922" spans="1:13" x14ac:dyDescent="0.2">
      <c r="A1922" t="s">
        <v>3831</v>
      </c>
      <c r="B1922" t="s">
        <v>3832</v>
      </c>
      <c r="C1922">
        <v>39</v>
      </c>
      <c r="D1922" t="s">
        <v>12</v>
      </c>
      <c r="E1922" t="s">
        <v>13</v>
      </c>
      <c r="F1922" s="1">
        <v>45949</v>
      </c>
      <c r="G1922" s="1">
        <v>46133</v>
      </c>
      <c r="H1922">
        <v>16</v>
      </c>
      <c r="I1922">
        <v>1</v>
      </c>
      <c r="J1922">
        <v>0</v>
      </c>
      <c r="K1922" t="str">
        <f t="shared" si="87"/>
        <v>Oct-2025</v>
      </c>
      <c r="L1922" s="1">
        <f t="shared" ca="1" si="88"/>
        <v>25</v>
      </c>
      <c r="M1922" t="str">
        <f t="shared" si="89"/>
        <v>36-45</v>
      </c>
    </row>
    <row r="1923" spans="1:13" x14ac:dyDescent="0.2">
      <c r="A1923" t="s">
        <v>3833</v>
      </c>
      <c r="B1923" t="s">
        <v>3834</v>
      </c>
      <c r="C1923">
        <v>25</v>
      </c>
      <c r="D1923" t="s">
        <v>12</v>
      </c>
      <c r="E1923" t="s">
        <v>17</v>
      </c>
      <c r="F1923" s="1">
        <v>45639</v>
      </c>
      <c r="G1923" s="1">
        <v>46122</v>
      </c>
      <c r="H1923">
        <v>9</v>
      </c>
      <c r="I1923">
        <v>5</v>
      </c>
      <c r="J1923">
        <v>0</v>
      </c>
      <c r="K1923" t="str">
        <f t="shared" ref="K1923:K1986" si="90">TEXT(F1923,"MMM-YYYY")</f>
        <v>Dec-2024</v>
      </c>
      <c r="L1923" s="1">
        <f t="shared" ref="L1923:L1986" ca="1" si="91">TODAY()-G1923</f>
        <v>36</v>
      </c>
      <c r="M1923" t="str">
        <f t="shared" ref="M1923:M1986" si="92">IF(C1923&lt;=25,"18-25",IF(C1923&lt;=35,"26-35",IF(C1923&lt;=45,"36-45","46+")))</f>
        <v>18-25</v>
      </c>
    </row>
    <row r="1924" spans="1:13" x14ac:dyDescent="0.2">
      <c r="A1924" t="s">
        <v>3835</v>
      </c>
      <c r="B1924" t="s">
        <v>3836</v>
      </c>
      <c r="C1924">
        <v>41</v>
      </c>
      <c r="D1924" t="s">
        <v>20</v>
      </c>
      <c r="E1924" t="s">
        <v>17</v>
      </c>
      <c r="F1924" s="1">
        <v>46102</v>
      </c>
      <c r="G1924" s="1">
        <v>46063</v>
      </c>
      <c r="H1924">
        <v>58</v>
      </c>
      <c r="I1924">
        <v>1</v>
      </c>
      <c r="J1924">
        <v>1</v>
      </c>
      <c r="K1924" t="str">
        <f t="shared" si="90"/>
        <v>Mar-2026</v>
      </c>
      <c r="L1924" s="1">
        <f t="shared" ca="1" si="91"/>
        <v>95</v>
      </c>
      <c r="M1924" t="str">
        <f t="shared" si="92"/>
        <v>36-45</v>
      </c>
    </row>
    <row r="1925" spans="1:13" x14ac:dyDescent="0.2">
      <c r="A1925" t="s">
        <v>3837</v>
      </c>
      <c r="B1925" t="s">
        <v>3838</v>
      </c>
      <c r="C1925">
        <v>60</v>
      </c>
      <c r="D1925" t="s">
        <v>20</v>
      </c>
      <c r="E1925" t="s">
        <v>13</v>
      </c>
      <c r="F1925" s="1">
        <v>45184</v>
      </c>
      <c r="G1925" s="1">
        <v>46065</v>
      </c>
      <c r="H1925">
        <v>17</v>
      </c>
      <c r="I1925">
        <v>10</v>
      </c>
      <c r="J1925">
        <v>0</v>
      </c>
      <c r="K1925" t="str">
        <f t="shared" si="90"/>
        <v>Sep-2023</v>
      </c>
      <c r="L1925" s="1">
        <f t="shared" ca="1" si="91"/>
        <v>93</v>
      </c>
      <c r="M1925" t="str">
        <f t="shared" si="92"/>
        <v>46+</v>
      </c>
    </row>
    <row r="1926" spans="1:13" x14ac:dyDescent="0.2">
      <c r="A1926" t="s">
        <v>3839</v>
      </c>
      <c r="B1926" t="s">
        <v>3840</v>
      </c>
      <c r="C1926">
        <v>31</v>
      </c>
      <c r="D1926" t="s">
        <v>16</v>
      </c>
      <c r="E1926" t="s">
        <v>17</v>
      </c>
      <c r="F1926" s="1">
        <v>45431</v>
      </c>
      <c r="G1926" s="1">
        <v>46067</v>
      </c>
      <c r="H1926">
        <v>28</v>
      </c>
      <c r="I1926">
        <v>1</v>
      </c>
      <c r="J1926">
        <v>1</v>
      </c>
      <c r="K1926" t="str">
        <f t="shared" si="90"/>
        <v>May-2024</v>
      </c>
      <c r="L1926" s="1">
        <f t="shared" ca="1" si="91"/>
        <v>91</v>
      </c>
      <c r="M1926" t="str">
        <f t="shared" si="92"/>
        <v>26-35</v>
      </c>
    </row>
    <row r="1927" spans="1:13" x14ac:dyDescent="0.2">
      <c r="A1927" t="s">
        <v>3841</v>
      </c>
      <c r="B1927" t="s">
        <v>3842</v>
      </c>
      <c r="C1927">
        <v>40</v>
      </c>
      <c r="D1927" t="s">
        <v>16</v>
      </c>
      <c r="E1927" t="s">
        <v>17</v>
      </c>
      <c r="F1927" s="1">
        <v>45401</v>
      </c>
      <c r="G1927" s="1">
        <v>46085</v>
      </c>
      <c r="H1927">
        <v>62</v>
      </c>
      <c r="I1927">
        <v>4</v>
      </c>
      <c r="J1927">
        <v>1</v>
      </c>
      <c r="K1927" t="str">
        <f t="shared" si="90"/>
        <v>Apr-2024</v>
      </c>
      <c r="L1927" s="1">
        <f t="shared" ca="1" si="91"/>
        <v>73</v>
      </c>
      <c r="M1927" t="str">
        <f t="shared" si="92"/>
        <v>36-45</v>
      </c>
    </row>
    <row r="1928" spans="1:13" x14ac:dyDescent="0.2">
      <c r="A1928" t="s">
        <v>3843</v>
      </c>
      <c r="B1928" t="s">
        <v>3844</v>
      </c>
      <c r="C1928">
        <v>27</v>
      </c>
      <c r="D1928" t="s">
        <v>16</v>
      </c>
      <c r="E1928" t="s">
        <v>13</v>
      </c>
      <c r="F1928" s="1">
        <v>45264</v>
      </c>
      <c r="G1928" s="1">
        <v>46067</v>
      </c>
      <c r="H1928">
        <v>14</v>
      </c>
      <c r="I1928">
        <v>7</v>
      </c>
      <c r="J1928">
        <v>0</v>
      </c>
      <c r="K1928" t="str">
        <f t="shared" si="90"/>
        <v>Dec-2023</v>
      </c>
      <c r="L1928" s="1">
        <f t="shared" ca="1" si="91"/>
        <v>91</v>
      </c>
      <c r="M1928" t="str">
        <f t="shared" si="92"/>
        <v>26-35</v>
      </c>
    </row>
    <row r="1929" spans="1:13" x14ac:dyDescent="0.2">
      <c r="A1929" t="s">
        <v>3845</v>
      </c>
      <c r="B1929" t="s">
        <v>3846</v>
      </c>
      <c r="C1929">
        <v>44</v>
      </c>
      <c r="D1929" t="s">
        <v>20</v>
      </c>
      <c r="E1929" t="s">
        <v>21</v>
      </c>
      <c r="F1929" s="1">
        <v>45302</v>
      </c>
      <c r="G1929" s="1">
        <v>46063</v>
      </c>
      <c r="H1929">
        <v>29</v>
      </c>
      <c r="I1929">
        <v>6</v>
      </c>
      <c r="J1929">
        <v>1</v>
      </c>
      <c r="K1929" t="str">
        <f t="shared" si="90"/>
        <v>Jan-2024</v>
      </c>
      <c r="L1929" s="1">
        <f t="shared" ca="1" si="91"/>
        <v>95</v>
      </c>
      <c r="M1929" t="str">
        <f t="shared" si="92"/>
        <v>36-45</v>
      </c>
    </row>
    <row r="1930" spans="1:13" x14ac:dyDescent="0.2">
      <c r="A1930" t="s">
        <v>3847</v>
      </c>
      <c r="B1930" t="s">
        <v>3848</v>
      </c>
      <c r="C1930">
        <v>50</v>
      </c>
      <c r="D1930" t="s">
        <v>20</v>
      </c>
      <c r="E1930" t="s">
        <v>13</v>
      </c>
      <c r="F1930" s="1">
        <v>45919</v>
      </c>
      <c r="G1930" s="1">
        <v>46042</v>
      </c>
      <c r="H1930">
        <v>48</v>
      </c>
      <c r="I1930">
        <v>1</v>
      </c>
      <c r="J1930">
        <v>1</v>
      </c>
      <c r="K1930" t="str">
        <f t="shared" si="90"/>
        <v>Sep-2025</v>
      </c>
      <c r="L1930" s="1">
        <f t="shared" ca="1" si="91"/>
        <v>116</v>
      </c>
      <c r="M1930" t="str">
        <f t="shared" si="92"/>
        <v>46+</v>
      </c>
    </row>
    <row r="1931" spans="1:13" x14ac:dyDescent="0.2">
      <c r="A1931" t="s">
        <v>3849</v>
      </c>
      <c r="B1931" t="s">
        <v>3850</v>
      </c>
      <c r="C1931">
        <v>37</v>
      </c>
      <c r="D1931" t="s">
        <v>12</v>
      </c>
      <c r="E1931" t="s">
        <v>21</v>
      </c>
      <c r="F1931" s="1">
        <v>45791</v>
      </c>
      <c r="G1931" s="1">
        <v>46070</v>
      </c>
      <c r="H1931">
        <v>20</v>
      </c>
      <c r="I1931">
        <v>1</v>
      </c>
      <c r="J1931">
        <v>1</v>
      </c>
      <c r="K1931" t="str">
        <f t="shared" si="90"/>
        <v>May-2025</v>
      </c>
      <c r="L1931" s="1">
        <f t="shared" ca="1" si="91"/>
        <v>88</v>
      </c>
      <c r="M1931" t="str">
        <f t="shared" si="92"/>
        <v>36-45</v>
      </c>
    </row>
    <row r="1932" spans="1:13" x14ac:dyDescent="0.2">
      <c r="A1932" t="s">
        <v>3851</v>
      </c>
      <c r="B1932" t="s">
        <v>3852</v>
      </c>
      <c r="C1932">
        <v>29</v>
      </c>
      <c r="D1932" t="s">
        <v>16</v>
      </c>
      <c r="E1932" t="s">
        <v>17</v>
      </c>
      <c r="F1932" s="1">
        <v>45536</v>
      </c>
      <c r="G1932" s="1">
        <v>46040</v>
      </c>
      <c r="H1932">
        <v>43</v>
      </c>
      <c r="I1932">
        <v>6</v>
      </c>
      <c r="J1932">
        <v>1</v>
      </c>
      <c r="K1932" t="str">
        <f t="shared" si="90"/>
        <v>Sep-2024</v>
      </c>
      <c r="L1932" s="1">
        <f t="shared" ca="1" si="91"/>
        <v>118</v>
      </c>
      <c r="M1932" t="str">
        <f t="shared" si="92"/>
        <v>26-35</v>
      </c>
    </row>
    <row r="1933" spans="1:13" x14ac:dyDescent="0.2">
      <c r="A1933" t="s">
        <v>3853</v>
      </c>
      <c r="B1933" t="s">
        <v>3854</v>
      </c>
      <c r="C1933">
        <v>45</v>
      </c>
      <c r="D1933" t="s">
        <v>16</v>
      </c>
      <c r="E1933" t="s">
        <v>17</v>
      </c>
      <c r="F1933" s="1">
        <v>45297</v>
      </c>
      <c r="G1933" s="1">
        <v>46140</v>
      </c>
      <c r="H1933">
        <v>43</v>
      </c>
      <c r="I1933">
        <v>5</v>
      </c>
      <c r="J1933">
        <v>0</v>
      </c>
      <c r="K1933" t="str">
        <f t="shared" si="90"/>
        <v>Jan-2024</v>
      </c>
      <c r="L1933" s="1">
        <f t="shared" ca="1" si="91"/>
        <v>18</v>
      </c>
      <c r="M1933" t="str">
        <f t="shared" si="92"/>
        <v>36-45</v>
      </c>
    </row>
    <row r="1934" spans="1:13" x14ac:dyDescent="0.2">
      <c r="A1934" t="s">
        <v>3855</v>
      </c>
      <c r="B1934" t="s">
        <v>3856</v>
      </c>
      <c r="C1934">
        <v>18</v>
      </c>
      <c r="D1934" t="s">
        <v>12</v>
      </c>
      <c r="E1934" t="s">
        <v>13</v>
      </c>
      <c r="F1934" s="1">
        <v>45977</v>
      </c>
      <c r="G1934" s="1">
        <v>46088</v>
      </c>
      <c r="H1934">
        <v>62</v>
      </c>
      <c r="I1934">
        <v>5</v>
      </c>
      <c r="J1934">
        <v>1</v>
      </c>
      <c r="K1934" t="str">
        <f t="shared" si="90"/>
        <v>Nov-2025</v>
      </c>
      <c r="L1934" s="1">
        <f t="shared" ca="1" si="91"/>
        <v>70</v>
      </c>
      <c r="M1934" t="str">
        <f t="shared" si="92"/>
        <v>18-25</v>
      </c>
    </row>
    <row r="1935" spans="1:13" x14ac:dyDescent="0.2">
      <c r="A1935" t="s">
        <v>3857</v>
      </c>
      <c r="B1935" t="s">
        <v>3858</v>
      </c>
      <c r="C1935">
        <v>32</v>
      </c>
      <c r="D1935" t="s">
        <v>20</v>
      </c>
      <c r="E1935" t="s">
        <v>13</v>
      </c>
      <c r="F1935" s="1">
        <v>45580</v>
      </c>
      <c r="G1935" s="1">
        <v>46100</v>
      </c>
      <c r="H1935">
        <v>29</v>
      </c>
      <c r="I1935">
        <v>2</v>
      </c>
      <c r="J1935">
        <v>0</v>
      </c>
      <c r="K1935" t="str">
        <f t="shared" si="90"/>
        <v>Oct-2024</v>
      </c>
      <c r="L1935" s="1">
        <f t="shared" ca="1" si="91"/>
        <v>58</v>
      </c>
      <c r="M1935" t="str">
        <f t="shared" si="92"/>
        <v>26-35</v>
      </c>
    </row>
    <row r="1936" spans="1:13" x14ac:dyDescent="0.2">
      <c r="A1936" t="s">
        <v>3859</v>
      </c>
      <c r="B1936" t="s">
        <v>3860</v>
      </c>
      <c r="C1936">
        <v>26</v>
      </c>
      <c r="D1936" t="s">
        <v>16</v>
      </c>
      <c r="E1936" t="s">
        <v>21</v>
      </c>
      <c r="F1936" s="1">
        <v>45185</v>
      </c>
      <c r="G1936" s="1">
        <v>46118</v>
      </c>
      <c r="H1936">
        <v>69</v>
      </c>
      <c r="I1936">
        <v>1</v>
      </c>
      <c r="J1936">
        <v>1</v>
      </c>
      <c r="K1936" t="str">
        <f t="shared" si="90"/>
        <v>Sep-2023</v>
      </c>
      <c r="L1936" s="1">
        <f t="shared" ca="1" si="91"/>
        <v>40</v>
      </c>
      <c r="M1936" t="str">
        <f t="shared" si="92"/>
        <v>26-35</v>
      </c>
    </row>
    <row r="1937" spans="1:13" x14ac:dyDescent="0.2">
      <c r="A1937" t="s">
        <v>3861</v>
      </c>
      <c r="B1937" t="s">
        <v>3862</v>
      </c>
      <c r="C1937">
        <v>35</v>
      </c>
      <c r="D1937" t="s">
        <v>16</v>
      </c>
      <c r="E1937" t="s">
        <v>21</v>
      </c>
      <c r="F1937" s="1">
        <v>46103</v>
      </c>
      <c r="G1937" s="1">
        <v>46039</v>
      </c>
      <c r="H1937">
        <v>2</v>
      </c>
      <c r="I1937">
        <v>10</v>
      </c>
      <c r="J1937">
        <v>1</v>
      </c>
      <c r="K1937" t="str">
        <f t="shared" si="90"/>
        <v>Mar-2026</v>
      </c>
      <c r="L1937" s="1">
        <f t="shared" ca="1" si="91"/>
        <v>119</v>
      </c>
      <c r="M1937" t="str">
        <f t="shared" si="92"/>
        <v>26-35</v>
      </c>
    </row>
    <row r="1938" spans="1:13" x14ac:dyDescent="0.2">
      <c r="A1938" t="s">
        <v>3863</v>
      </c>
      <c r="B1938" t="s">
        <v>3864</v>
      </c>
      <c r="C1938">
        <v>28</v>
      </c>
      <c r="D1938" t="s">
        <v>16</v>
      </c>
      <c r="E1938" t="s">
        <v>21</v>
      </c>
      <c r="F1938" s="1">
        <v>45616</v>
      </c>
      <c r="G1938" s="1">
        <v>46135</v>
      </c>
      <c r="H1938">
        <v>31</v>
      </c>
      <c r="I1938">
        <v>9</v>
      </c>
      <c r="J1938">
        <v>0</v>
      </c>
      <c r="K1938" t="str">
        <f t="shared" si="90"/>
        <v>Nov-2024</v>
      </c>
      <c r="L1938" s="1">
        <f t="shared" ca="1" si="91"/>
        <v>23</v>
      </c>
      <c r="M1938" t="str">
        <f t="shared" si="92"/>
        <v>26-35</v>
      </c>
    </row>
    <row r="1939" spans="1:13" x14ac:dyDescent="0.2">
      <c r="A1939" t="s">
        <v>3865</v>
      </c>
      <c r="B1939" t="s">
        <v>3866</v>
      </c>
      <c r="C1939">
        <v>36</v>
      </c>
      <c r="D1939" t="s">
        <v>20</v>
      </c>
      <c r="E1939" t="s">
        <v>21</v>
      </c>
      <c r="F1939" s="1">
        <v>45367</v>
      </c>
      <c r="G1939" s="1">
        <v>46042</v>
      </c>
      <c r="H1939">
        <v>48</v>
      </c>
      <c r="I1939">
        <v>3</v>
      </c>
      <c r="J1939">
        <v>1</v>
      </c>
      <c r="K1939" t="str">
        <f t="shared" si="90"/>
        <v>Mar-2024</v>
      </c>
      <c r="L1939" s="1">
        <f t="shared" ca="1" si="91"/>
        <v>116</v>
      </c>
      <c r="M1939" t="str">
        <f t="shared" si="92"/>
        <v>36-45</v>
      </c>
    </row>
    <row r="1940" spans="1:13" x14ac:dyDescent="0.2">
      <c r="A1940" t="s">
        <v>3867</v>
      </c>
      <c r="B1940" t="s">
        <v>3868</v>
      </c>
      <c r="C1940">
        <v>43</v>
      </c>
      <c r="D1940" t="s">
        <v>12</v>
      </c>
      <c r="E1940" t="s">
        <v>21</v>
      </c>
      <c r="F1940" s="1">
        <v>45453</v>
      </c>
      <c r="G1940" s="1">
        <v>46141</v>
      </c>
      <c r="H1940">
        <v>71</v>
      </c>
      <c r="I1940">
        <v>9</v>
      </c>
      <c r="J1940">
        <v>0</v>
      </c>
      <c r="K1940" t="str">
        <f t="shared" si="90"/>
        <v>Jun-2024</v>
      </c>
      <c r="L1940" s="1">
        <f t="shared" ca="1" si="91"/>
        <v>17</v>
      </c>
      <c r="M1940" t="str">
        <f t="shared" si="92"/>
        <v>36-45</v>
      </c>
    </row>
    <row r="1941" spans="1:13" x14ac:dyDescent="0.2">
      <c r="A1941" t="s">
        <v>3869</v>
      </c>
      <c r="B1941" t="s">
        <v>3870</v>
      </c>
      <c r="C1941">
        <v>57</v>
      </c>
      <c r="D1941" t="s">
        <v>12</v>
      </c>
      <c r="E1941" t="s">
        <v>17</v>
      </c>
      <c r="F1941" s="1">
        <v>45175</v>
      </c>
      <c r="G1941" s="1">
        <v>46089</v>
      </c>
      <c r="H1941">
        <v>61</v>
      </c>
      <c r="I1941">
        <v>10</v>
      </c>
      <c r="J1941">
        <v>0</v>
      </c>
      <c r="K1941" t="str">
        <f t="shared" si="90"/>
        <v>Sep-2023</v>
      </c>
      <c r="L1941" s="1">
        <f t="shared" ca="1" si="91"/>
        <v>69</v>
      </c>
      <c r="M1941" t="str">
        <f t="shared" si="92"/>
        <v>46+</v>
      </c>
    </row>
    <row r="1942" spans="1:13" x14ac:dyDescent="0.2">
      <c r="A1942" t="s">
        <v>3871</v>
      </c>
      <c r="B1942" t="s">
        <v>3872</v>
      </c>
      <c r="C1942">
        <v>23</v>
      </c>
      <c r="D1942" t="s">
        <v>20</v>
      </c>
      <c r="E1942" t="s">
        <v>21</v>
      </c>
      <c r="F1942" s="1">
        <v>45205</v>
      </c>
      <c r="G1942" s="1">
        <v>46143</v>
      </c>
      <c r="H1942">
        <v>38</v>
      </c>
      <c r="I1942">
        <v>6</v>
      </c>
      <c r="J1942">
        <v>1</v>
      </c>
      <c r="K1942" t="str">
        <f t="shared" si="90"/>
        <v>Oct-2023</v>
      </c>
      <c r="L1942" s="1">
        <f t="shared" ca="1" si="91"/>
        <v>15</v>
      </c>
      <c r="M1942" t="str">
        <f t="shared" si="92"/>
        <v>18-25</v>
      </c>
    </row>
    <row r="1943" spans="1:13" x14ac:dyDescent="0.2">
      <c r="A1943" t="s">
        <v>3873</v>
      </c>
      <c r="B1943" t="s">
        <v>3874</v>
      </c>
      <c r="C1943">
        <v>51</v>
      </c>
      <c r="D1943" t="s">
        <v>20</v>
      </c>
      <c r="E1943" t="s">
        <v>13</v>
      </c>
      <c r="F1943" s="1">
        <v>45356</v>
      </c>
      <c r="G1943" s="1">
        <v>46131</v>
      </c>
      <c r="H1943">
        <v>56</v>
      </c>
      <c r="I1943">
        <v>10</v>
      </c>
      <c r="J1943">
        <v>0</v>
      </c>
      <c r="K1943" t="str">
        <f t="shared" si="90"/>
        <v>Mar-2024</v>
      </c>
      <c r="L1943" s="1">
        <f t="shared" ca="1" si="91"/>
        <v>27</v>
      </c>
      <c r="M1943" t="str">
        <f t="shared" si="92"/>
        <v>46+</v>
      </c>
    </row>
    <row r="1944" spans="1:13" x14ac:dyDescent="0.2">
      <c r="A1944" t="s">
        <v>3875</v>
      </c>
      <c r="B1944" t="s">
        <v>3876</v>
      </c>
      <c r="C1944">
        <v>28</v>
      </c>
      <c r="D1944" t="s">
        <v>12</v>
      </c>
      <c r="E1944" t="s">
        <v>13</v>
      </c>
      <c r="F1944" s="1">
        <v>45820</v>
      </c>
      <c r="G1944" s="1">
        <v>46145</v>
      </c>
      <c r="H1944">
        <v>25</v>
      </c>
      <c r="I1944">
        <v>6</v>
      </c>
      <c r="J1944">
        <v>0</v>
      </c>
      <c r="K1944" t="str">
        <f t="shared" si="90"/>
        <v>Jun-2025</v>
      </c>
      <c r="L1944" s="1">
        <f t="shared" ca="1" si="91"/>
        <v>13</v>
      </c>
      <c r="M1944" t="str">
        <f t="shared" si="92"/>
        <v>26-35</v>
      </c>
    </row>
    <row r="1945" spans="1:13" x14ac:dyDescent="0.2">
      <c r="A1945" t="s">
        <v>3877</v>
      </c>
      <c r="B1945" t="s">
        <v>3878</v>
      </c>
      <c r="C1945">
        <v>48</v>
      </c>
      <c r="D1945" t="s">
        <v>16</v>
      </c>
      <c r="E1945" t="s">
        <v>21</v>
      </c>
      <c r="F1945" s="1">
        <v>45283</v>
      </c>
      <c r="G1945" s="1">
        <v>46130</v>
      </c>
      <c r="H1945">
        <v>7</v>
      </c>
      <c r="I1945">
        <v>10</v>
      </c>
      <c r="J1945">
        <v>1</v>
      </c>
      <c r="K1945" t="str">
        <f t="shared" si="90"/>
        <v>Dec-2023</v>
      </c>
      <c r="L1945" s="1">
        <f t="shared" ca="1" si="91"/>
        <v>28</v>
      </c>
      <c r="M1945" t="str">
        <f t="shared" si="92"/>
        <v>46+</v>
      </c>
    </row>
    <row r="1946" spans="1:13" x14ac:dyDescent="0.2">
      <c r="A1946" t="s">
        <v>3879</v>
      </c>
      <c r="B1946" t="s">
        <v>3880</v>
      </c>
      <c r="C1946">
        <v>40</v>
      </c>
      <c r="D1946" t="s">
        <v>16</v>
      </c>
      <c r="E1946" t="s">
        <v>21</v>
      </c>
      <c r="F1946" s="1">
        <v>45965</v>
      </c>
      <c r="G1946" s="1">
        <v>46134</v>
      </c>
      <c r="H1946">
        <v>64</v>
      </c>
      <c r="I1946">
        <v>2</v>
      </c>
      <c r="J1946">
        <v>1</v>
      </c>
      <c r="K1946" t="str">
        <f t="shared" si="90"/>
        <v>Nov-2025</v>
      </c>
      <c r="L1946" s="1">
        <f t="shared" ca="1" si="91"/>
        <v>24</v>
      </c>
      <c r="M1946" t="str">
        <f t="shared" si="92"/>
        <v>36-45</v>
      </c>
    </row>
    <row r="1947" spans="1:13" x14ac:dyDescent="0.2">
      <c r="A1947" t="s">
        <v>3881</v>
      </c>
      <c r="B1947" t="s">
        <v>3882</v>
      </c>
      <c r="C1947">
        <v>31</v>
      </c>
      <c r="D1947" t="s">
        <v>20</v>
      </c>
      <c r="E1947" t="s">
        <v>13</v>
      </c>
      <c r="F1947" s="1">
        <v>45737</v>
      </c>
      <c r="G1947" s="1">
        <v>46075</v>
      </c>
      <c r="H1947">
        <v>48</v>
      </c>
      <c r="I1947">
        <v>2</v>
      </c>
      <c r="J1947">
        <v>1</v>
      </c>
      <c r="K1947" t="str">
        <f t="shared" si="90"/>
        <v>Mar-2025</v>
      </c>
      <c r="L1947" s="1">
        <f t="shared" ca="1" si="91"/>
        <v>83</v>
      </c>
      <c r="M1947" t="str">
        <f t="shared" si="92"/>
        <v>26-35</v>
      </c>
    </row>
    <row r="1948" spans="1:13" x14ac:dyDescent="0.2">
      <c r="A1948" t="s">
        <v>3883</v>
      </c>
      <c r="B1948" t="s">
        <v>3884</v>
      </c>
      <c r="C1948">
        <v>40</v>
      </c>
      <c r="D1948" t="s">
        <v>20</v>
      </c>
      <c r="E1948" t="s">
        <v>21</v>
      </c>
      <c r="F1948" s="1">
        <v>45386</v>
      </c>
      <c r="G1948" s="1">
        <v>46053</v>
      </c>
      <c r="H1948">
        <v>50</v>
      </c>
      <c r="I1948">
        <v>8</v>
      </c>
      <c r="J1948">
        <v>0</v>
      </c>
      <c r="K1948" t="str">
        <f t="shared" si="90"/>
        <v>Apr-2024</v>
      </c>
      <c r="L1948" s="1">
        <f t="shared" ca="1" si="91"/>
        <v>105</v>
      </c>
      <c r="M1948" t="str">
        <f t="shared" si="92"/>
        <v>36-45</v>
      </c>
    </row>
    <row r="1949" spans="1:13" x14ac:dyDescent="0.2">
      <c r="A1949" t="s">
        <v>3885</v>
      </c>
      <c r="B1949" t="s">
        <v>3886</v>
      </c>
      <c r="C1949">
        <v>37</v>
      </c>
      <c r="D1949" t="s">
        <v>12</v>
      </c>
      <c r="E1949" t="s">
        <v>17</v>
      </c>
      <c r="F1949" s="1">
        <v>45622</v>
      </c>
      <c r="G1949" s="1">
        <v>46128</v>
      </c>
      <c r="H1949">
        <v>13</v>
      </c>
      <c r="I1949">
        <v>4</v>
      </c>
      <c r="J1949">
        <v>1</v>
      </c>
      <c r="K1949" t="str">
        <f t="shared" si="90"/>
        <v>Nov-2024</v>
      </c>
      <c r="L1949" s="1">
        <f t="shared" ca="1" si="91"/>
        <v>30</v>
      </c>
      <c r="M1949" t="str">
        <f t="shared" si="92"/>
        <v>36-45</v>
      </c>
    </row>
    <row r="1950" spans="1:13" x14ac:dyDescent="0.2">
      <c r="A1950" t="s">
        <v>3887</v>
      </c>
      <c r="B1950" t="s">
        <v>3888</v>
      </c>
      <c r="C1950">
        <v>47</v>
      </c>
      <c r="D1950" t="s">
        <v>16</v>
      </c>
      <c r="E1950" t="s">
        <v>17</v>
      </c>
      <c r="F1950" s="1">
        <v>45266</v>
      </c>
      <c r="G1950" s="1">
        <v>46034</v>
      </c>
      <c r="H1950">
        <v>14</v>
      </c>
      <c r="I1950">
        <v>2</v>
      </c>
      <c r="J1950">
        <v>0</v>
      </c>
      <c r="K1950" t="str">
        <f t="shared" si="90"/>
        <v>Dec-2023</v>
      </c>
      <c r="L1950" s="1">
        <f t="shared" ca="1" si="91"/>
        <v>124</v>
      </c>
      <c r="M1950" t="str">
        <f t="shared" si="92"/>
        <v>46+</v>
      </c>
    </row>
    <row r="1951" spans="1:13" x14ac:dyDescent="0.2">
      <c r="A1951" t="s">
        <v>3889</v>
      </c>
      <c r="B1951" t="s">
        <v>3890</v>
      </c>
      <c r="C1951">
        <v>48</v>
      </c>
      <c r="D1951" t="s">
        <v>12</v>
      </c>
      <c r="E1951" t="s">
        <v>21</v>
      </c>
      <c r="F1951" s="1">
        <v>45587</v>
      </c>
      <c r="G1951" s="1">
        <v>46137</v>
      </c>
      <c r="H1951">
        <v>6</v>
      </c>
      <c r="I1951">
        <v>9</v>
      </c>
      <c r="J1951">
        <v>0</v>
      </c>
      <c r="K1951" t="str">
        <f t="shared" si="90"/>
        <v>Oct-2024</v>
      </c>
      <c r="L1951" s="1">
        <f t="shared" ca="1" si="91"/>
        <v>21</v>
      </c>
      <c r="M1951" t="str">
        <f t="shared" si="92"/>
        <v>46+</v>
      </c>
    </row>
    <row r="1952" spans="1:13" x14ac:dyDescent="0.2">
      <c r="A1952" t="s">
        <v>3891</v>
      </c>
      <c r="B1952" t="s">
        <v>3892</v>
      </c>
      <c r="C1952">
        <v>31</v>
      </c>
      <c r="D1952" t="s">
        <v>16</v>
      </c>
      <c r="E1952" t="s">
        <v>21</v>
      </c>
      <c r="F1952" s="1">
        <v>45437</v>
      </c>
      <c r="G1952" s="1">
        <v>46117</v>
      </c>
      <c r="H1952">
        <v>70</v>
      </c>
      <c r="I1952">
        <v>4</v>
      </c>
      <c r="J1952">
        <v>0</v>
      </c>
      <c r="K1952" t="str">
        <f t="shared" si="90"/>
        <v>May-2024</v>
      </c>
      <c r="L1952" s="1">
        <f t="shared" ca="1" si="91"/>
        <v>41</v>
      </c>
      <c r="M1952" t="str">
        <f t="shared" si="92"/>
        <v>26-35</v>
      </c>
    </row>
    <row r="1953" spans="1:13" x14ac:dyDescent="0.2">
      <c r="A1953" t="s">
        <v>3893</v>
      </c>
      <c r="B1953" t="s">
        <v>3894</v>
      </c>
      <c r="C1953">
        <v>39</v>
      </c>
      <c r="D1953" t="s">
        <v>16</v>
      </c>
      <c r="E1953" t="s">
        <v>17</v>
      </c>
      <c r="F1953" s="1">
        <v>45293</v>
      </c>
      <c r="G1953" s="1">
        <v>46069</v>
      </c>
      <c r="H1953">
        <v>17</v>
      </c>
      <c r="I1953">
        <v>5</v>
      </c>
      <c r="J1953">
        <v>0</v>
      </c>
      <c r="K1953" t="str">
        <f t="shared" si="90"/>
        <v>Jan-2024</v>
      </c>
      <c r="L1953" s="1">
        <f t="shared" ca="1" si="91"/>
        <v>89</v>
      </c>
      <c r="M1953" t="str">
        <f t="shared" si="92"/>
        <v>36-45</v>
      </c>
    </row>
    <row r="1954" spans="1:13" x14ac:dyDescent="0.2">
      <c r="A1954" t="s">
        <v>3895</v>
      </c>
      <c r="B1954" t="s">
        <v>3896</v>
      </c>
      <c r="C1954">
        <v>48</v>
      </c>
      <c r="D1954" t="s">
        <v>12</v>
      </c>
      <c r="E1954" t="s">
        <v>17</v>
      </c>
      <c r="F1954" s="1">
        <v>45919</v>
      </c>
      <c r="G1954" s="1">
        <v>46126</v>
      </c>
      <c r="H1954">
        <v>67</v>
      </c>
      <c r="I1954">
        <v>4</v>
      </c>
      <c r="J1954">
        <v>0</v>
      </c>
      <c r="K1954" t="str">
        <f t="shared" si="90"/>
        <v>Sep-2025</v>
      </c>
      <c r="L1954" s="1">
        <f t="shared" ca="1" si="91"/>
        <v>32</v>
      </c>
      <c r="M1954" t="str">
        <f t="shared" si="92"/>
        <v>46+</v>
      </c>
    </row>
    <row r="1955" spans="1:13" x14ac:dyDescent="0.2">
      <c r="A1955" t="s">
        <v>3897</v>
      </c>
      <c r="B1955" t="s">
        <v>3898</v>
      </c>
      <c r="C1955">
        <v>21</v>
      </c>
      <c r="D1955" t="s">
        <v>20</v>
      </c>
      <c r="E1955" t="s">
        <v>17</v>
      </c>
      <c r="F1955" s="1">
        <v>45427</v>
      </c>
      <c r="G1955" s="1">
        <v>46076</v>
      </c>
      <c r="H1955">
        <v>37</v>
      </c>
      <c r="I1955">
        <v>2</v>
      </c>
      <c r="J1955">
        <v>1</v>
      </c>
      <c r="K1955" t="str">
        <f t="shared" si="90"/>
        <v>May-2024</v>
      </c>
      <c r="L1955" s="1">
        <f t="shared" ca="1" si="91"/>
        <v>82</v>
      </c>
      <c r="M1955" t="str">
        <f t="shared" si="92"/>
        <v>18-25</v>
      </c>
    </row>
    <row r="1956" spans="1:13" x14ac:dyDescent="0.2">
      <c r="A1956" t="s">
        <v>3899</v>
      </c>
      <c r="B1956" t="s">
        <v>3900</v>
      </c>
      <c r="C1956">
        <v>44</v>
      </c>
      <c r="D1956" t="s">
        <v>12</v>
      </c>
      <c r="E1956" t="s">
        <v>21</v>
      </c>
      <c r="F1956" s="1">
        <v>45276</v>
      </c>
      <c r="G1956" s="1">
        <v>46148</v>
      </c>
      <c r="H1956">
        <v>0</v>
      </c>
      <c r="I1956">
        <v>8</v>
      </c>
      <c r="J1956">
        <v>1</v>
      </c>
      <c r="K1956" t="str">
        <f t="shared" si="90"/>
        <v>Dec-2023</v>
      </c>
      <c r="L1956" s="1">
        <f t="shared" ca="1" si="91"/>
        <v>10</v>
      </c>
      <c r="M1956" t="str">
        <f t="shared" si="92"/>
        <v>36-45</v>
      </c>
    </row>
    <row r="1957" spans="1:13" x14ac:dyDescent="0.2">
      <c r="A1957" t="s">
        <v>3901</v>
      </c>
      <c r="B1957" t="s">
        <v>3902</v>
      </c>
      <c r="C1957">
        <v>26</v>
      </c>
      <c r="D1957" t="s">
        <v>16</v>
      </c>
      <c r="E1957" t="s">
        <v>13</v>
      </c>
      <c r="F1957" s="1">
        <v>46009</v>
      </c>
      <c r="G1957" s="1">
        <v>46117</v>
      </c>
      <c r="H1957">
        <v>13</v>
      </c>
      <c r="I1957">
        <v>3</v>
      </c>
      <c r="J1957">
        <v>0</v>
      </c>
      <c r="K1957" t="str">
        <f t="shared" si="90"/>
        <v>Dec-2025</v>
      </c>
      <c r="L1957" s="1">
        <f t="shared" ca="1" si="91"/>
        <v>41</v>
      </c>
      <c r="M1957" t="str">
        <f t="shared" si="92"/>
        <v>26-35</v>
      </c>
    </row>
    <row r="1958" spans="1:13" x14ac:dyDescent="0.2">
      <c r="A1958" t="s">
        <v>3903</v>
      </c>
      <c r="B1958" t="s">
        <v>3904</v>
      </c>
      <c r="C1958">
        <v>21</v>
      </c>
      <c r="D1958" t="s">
        <v>12</v>
      </c>
      <c r="E1958" t="s">
        <v>21</v>
      </c>
      <c r="F1958" s="1">
        <v>45249</v>
      </c>
      <c r="G1958" s="1">
        <v>46110</v>
      </c>
      <c r="H1958">
        <v>12</v>
      </c>
      <c r="I1958">
        <v>9</v>
      </c>
      <c r="J1958">
        <v>0</v>
      </c>
      <c r="K1958" t="str">
        <f t="shared" si="90"/>
        <v>Nov-2023</v>
      </c>
      <c r="L1958" s="1">
        <f t="shared" ca="1" si="91"/>
        <v>48</v>
      </c>
      <c r="M1958" t="str">
        <f t="shared" si="92"/>
        <v>18-25</v>
      </c>
    </row>
    <row r="1959" spans="1:13" x14ac:dyDescent="0.2">
      <c r="A1959" t="s">
        <v>3905</v>
      </c>
      <c r="B1959" t="s">
        <v>3906</v>
      </c>
      <c r="C1959">
        <v>54</v>
      </c>
      <c r="D1959" t="s">
        <v>12</v>
      </c>
      <c r="E1959" t="s">
        <v>21</v>
      </c>
      <c r="F1959" s="1">
        <v>45607</v>
      </c>
      <c r="G1959" s="1">
        <v>46117</v>
      </c>
      <c r="H1959">
        <v>48</v>
      </c>
      <c r="I1959">
        <v>3</v>
      </c>
      <c r="J1959">
        <v>0</v>
      </c>
      <c r="K1959" t="str">
        <f t="shared" si="90"/>
        <v>Nov-2024</v>
      </c>
      <c r="L1959" s="1">
        <f t="shared" ca="1" si="91"/>
        <v>41</v>
      </c>
      <c r="M1959" t="str">
        <f t="shared" si="92"/>
        <v>46+</v>
      </c>
    </row>
    <row r="1960" spans="1:13" x14ac:dyDescent="0.2">
      <c r="A1960" t="s">
        <v>3907</v>
      </c>
      <c r="B1960" t="s">
        <v>3908</v>
      </c>
      <c r="C1960">
        <v>37</v>
      </c>
      <c r="D1960" t="s">
        <v>20</v>
      </c>
      <c r="E1960" t="s">
        <v>21</v>
      </c>
      <c r="F1960" s="1">
        <v>45850</v>
      </c>
      <c r="G1960" s="1">
        <v>46087</v>
      </c>
      <c r="H1960">
        <v>35</v>
      </c>
      <c r="I1960">
        <v>9</v>
      </c>
      <c r="J1960">
        <v>0</v>
      </c>
      <c r="K1960" t="str">
        <f t="shared" si="90"/>
        <v>Jul-2025</v>
      </c>
      <c r="L1960" s="1">
        <f t="shared" ca="1" si="91"/>
        <v>71</v>
      </c>
      <c r="M1960" t="str">
        <f t="shared" si="92"/>
        <v>36-45</v>
      </c>
    </row>
    <row r="1961" spans="1:13" x14ac:dyDescent="0.2">
      <c r="A1961" t="s">
        <v>3909</v>
      </c>
      <c r="B1961" t="s">
        <v>3910</v>
      </c>
      <c r="C1961">
        <v>32</v>
      </c>
      <c r="D1961" t="s">
        <v>20</v>
      </c>
      <c r="E1961" t="s">
        <v>21</v>
      </c>
      <c r="F1961" s="1">
        <v>45384</v>
      </c>
      <c r="G1961" s="1">
        <v>46084</v>
      </c>
      <c r="H1961">
        <v>59</v>
      </c>
      <c r="I1961">
        <v>1</v>
      </c>
      <c r="J1961">
        <v>0</v>
      </c>
      <c r="K1961" t="str">
        <f t="shared" si="90"/>
        <v>Apr-2024</v>
      </c>
      <c r="L1961" s="1">
        <f t="shared" ca="1" si="91"/>
        <v>74</v>
      </c>
      <c r="M1961" t="str">
        <f t="shared" si="92"/>
        <v>26-35</v>
      </c>
    </row>
    <row r="1962" spans="1:13" x14ac:dyDescent="0.2">
      <c r="A1962" t="s">
        <v>3911</v>
      </c>
      <c r="B1962" t="s">
        <v>3912</v>
      </c>
      <c r="C1962">
        <v>34</v>
      </c>
      <c r="D1962" t="s">
        <v>20</v>
      </c>
      <c r="E1962" t="s">
        <v>17</v>
      </c>
      <c r="F1962" s="1">
        <v>45903</v>
      </c>
      <c r="G1962" s="1">
        <v>46149</v>
      </c>
      <c r="H1962">
        <v>32</v>
      </c>
      <c r="I1962">
        <v>3</v>
      </c>
      <c r="J1962">
        <v>0</v>
      </c>
      <c r="K1962" t="str">
        <f t="shared" si="90"/>
        <v>Sep-2025</v>
      </c>
      <c r="L1962" s="1">
        <f t="shared" ca="1" si="91"/>
        <v>9</v>
      </c>
      <c r="M1962" t="str">
        <f t="shared" si="92"/>
        <v>26-35</v>
      </c>
    </row>
    <row r="1963" spans="1:13" x14ac:dyDescent="0.2">
      <c r="A1963" t="s">
        <v>3913</v>
      </c>
      <c r="B1963" t="s">
        <v>3914</v>
      </c>
      <c r="C1963">
        <v>20</v>
      </c>
      <c r="D1963" t="s">
        <v>16</v>
      </c>
      <c r="E1963" t="s">
        <v>13</v>
      </c>
      <c r="F1963" s="1">
        <v>45683</v>
      </c>
      <c r="G1963" s="1">
        <v>46053</v>
      </c>
      <c r="H1963">
        <v>22</v>
      </c>
      <c r="I1963">
        <v>3</v>
      </c>
      <c r="J1963">
        <v>0</v>
      </c>
      <c r="K1963" t="str">
        <f t="shared" si="90"/>
        <v>Jan-2025</v>
      </c>
      <c r="L1963" s="1">
        <f t="shared" ca="1" si="91"/>
        <v>105</v>
      </c>
      <c r="M1963" t="str">
        <f t="shared" si="92"/>
        <v>18-25</v>
      </c>
    </row>
    <row r="1964" spans="1:13" x14ac:dyDescent="0.2">
      <c r="A1964" t="s">
        <v>3915</v>
      </c>
      <c r="B1964" t="s">
        <v>3916</v>
      </c>
      <c r="C1964">
        <v>34</v>
      </c>
      <c r="D1964" t="s">
        <v>12</v>
      </c>
      <c r="E1964" t="s">
        <v>21</v>
      </c>
      <c r="F1964" s="1">
        <v>46008</v>
      </c>
      <c r="G1964" s="1">
        <v>46104</v>
      </c>
      <c r="H1964">
        <v>54</v>
      </c>
      <c r="I1964">
        <v>9</v>
      </c>
      <c r="J1964">
        <v>1</v>
      </c>
      <c r="K1964" t="str">
        <f t="shared" si="90"/>
        <v>Dec-2025</v>
      </c>
      <c r="L1964" s="1">
        <f t="shared" ca="1" si="91"/>
        <v>54</v>
      </c>
      <c r="M1964" t="str">
        <f t="shared" si="92"/>
        <v>26-35</v>
      </c>
    </row>
    <row r="1965" spans="1:13" x14ac:dyDescent="0.2">
      <c r="A1965" t="s">
        <v>3917</v>
      </c>
      <c r="B1965" t="s">
        <v>3918</v>
      </c>
      <c r="C1965">
        <v>30</v>
      </c>
      <c r="D1965" t="s">
        <v>20</v>
      </c>
      <c r="E1965" t="s">
        <v>21</v>
      </c>
      <c r="F1965" s="1">
        <v>45737</v>
      </c>
      <c r="G1965" s="1">
        <v>46045</v>
      </c>
      <c r="H1965">
        <v>59</v>
      </c>
      <c r="I1965">
        <v>7</v>
      </c>
      <c r="J1965">
        <v>0</v>
      </c>
      <c r="K1965" t="str">
        <f t="shared" si="90"/>
        <v>Mar-2025</v>
      </c>
      <c r="L1965" s="1">
        <f t="shared" ca="1" si="91"/>
        <v>113</v>
      </c>
      <c r="M1965" t="str">
        <f t="shared" si="92"/>
        <v>26-35</v>
      </c>
    </row>
    <row r="1966" spans="1:13" x14ac:dyDescent="0.2">
      <c r="A1966" t="s">
        <v>3919</v>
      </c>
      <c r="B1966" t="s">
        <v>3920</v>
      </c>
      <c r="C1966">
        <v>54</v>
      </c>
      <c r="D1966" t="s">
        <v>16</v>
      </c>
      <c r="E1966" t="s">
        <v>13</v>
      </c>
      <c r="F1966" s="1">
        <v>45287</v>
      </c>
      <c r="G1966" s="1">
        <v>46111</v>
      </c>
      <c r="H1966">
        <v>9</v>
      </c>
      <c r="I1966">
        <v>4</v>
      </c>
      <c r="J1966">
        <v>1</v>
      </c>
      <c r="K1966" t="str">
        <f t="shared" si="90"/>
        <v>Dec-2023</v>
      </c>
      <c r="L1966" s="1">
        <f t="shared" ca="1" si="91"/>
        <v>47</v>
      </c>
      <c r="M1966" t="str">
        <f t="shared" si="92"/>
        <v>46+</v>
      </c>
    </row>
    <row r="1967" spans="1:13" x14ac:dyDescent="0.2">
      <c r="A1967" t="s">
        <v>3921</v>
      </c>
      <c r="B1967" t="s">
        <v>3922</v>
      </c>
      <c r="C1967">
        <v>31</v>
      </c>
      <c r="D1967" t="s">
        <v>12</v>
      </c>
      <c r="E1967" t="s">
        <v>17</v>
      </c>
      <c r="F1967" s="1">
        <v>46018</v>
      </c>
      <c r="G1967" s="1">
        <v>46116</v>
      </c>
      <c r="H1967">
        <v>53</v>
      </c>
      <c r="I1967">
        <v>6</v>
      </c>
      <c r="J1967">
        <v>0</v>
      </c>
      <c r="K1967" t="str">
        <f t="shared" si="90"/>
        <v>Dec-2025</v>
      </c>
      <c r="L1967" s="1">
        <f t="shared" ca="1" si="91"/>
        <v>42</v>
      </c>
      <c r="M1967" t="str">
        <f t="shared" si="92"/>
        <v>26-35</v>
      </c>
    </row>
    <row r="1968" spans="1:13" x14ac:dyDescent="0.2">
      <c r="A1968" t="s">
        <v>3923</v>
      </c>
      <c r="B1968" t="s">
        <v>3924</v>
      </c>
      <c r="C1968">
        <v>58</v>
      </c>
      <c r="D1968" t="s">
        <v>16</v>
      </c>
      <c r="E1968" t="s">
        <v>17</v>
      </c>
      <c r="F1968" s="1">
        <v>45510</v>
      </c>
      <c r="G1968" s="1">
        <v>46103</v>
      </c>
      <c r="H1968">
        <v>19</v>
      </c>
      <c r="I1968">
        <v>6</v>
      </c>
      <c r="J1968">
        <v>0</v>
      </c>
      <c r="K1968" t="str">
        <f t="shared" si="90"/>
        <v>Aug-2024</v>
      </c>
      <c r="L1968" s="1">
        <f t="shared" ca="1" si="91"/>
        <v>55</v>
      </c>
      <c r="M1968" t="str">
        <f t="shared" si="92"/>
        <v>46+</v>
      </c>
    </row>
    <row r="1969" spans="1:13" x14ac:dyDescent="0.2">
      <c r="A1969" t="s">
        <v>3925</v>
      </c>
      <c r="B1969" t="s">
        <v>3926</v>
      </c>
      <c r="C1969">
        <v>43</v>
      </c>
      <c r="D1969" t="s">
        <v>20</v>
      </c>
      <c r="E1969" t="s">
        <v>17</v>
      </c>
      <c r="F1969" s="1">
        <v>45496</v>
      </c>
      <c r="G1969" s="1">
        <v>46108</v>
      </c>
      <c r="H1969">
        <v>44</v>
      </c>
      <c r="I1969">
        <v>2</v>
      </c>
      <c r="J1969">
        <v>1</v>
      </c>
      <c r="K1969" t="str">
        <f t="shared" si="90"/>
        <v>Jul-2024</v>
      </c>
      <c r="L1969" s="1">
        <f t="shared" ca="1" si="91"/>
        <v>50</v>
      </c>
      <c r="M1969" t="str">
        <f t="shared" si="92"/>
        <v>36-45</v>
      </c>
    </row>
    <row r="1970" spans="1:13" x14ac:dyDescent="0.2">
      <c r="A1970" t="s">
        <v>3927</v>
      </c>
      <c r="B1970" t="s">
        <v>3928</v>
      </c>
      <c r="C1970">
        <v>23</v>
      </c>
      <c r="D1970" t="s">
        <v>12</v>
      </c>
      <c r="E1970" t="s">
        <v>21</v>
      </c>
      <c r="F1970" s="1">
        <v>45829</v>
      </c>
      <c r="G1970" s="1">
        <v>46134</v>
      </c>
      <c r="H1970">
        <v>60</v>
      </c>
      <c r="I1970">
        <v>5</v>
      </c>
      <c r="J1970">
        <v>0</v>
      </c>
      <c r="K1970" t="str">
        <f t="shared" si="90"/>
        <v>Jun-2025</v>
      </c>
      <c r="L1970" s="1">
        <f t="shared" ca="1" si="91"/>
        <v>24</v>
      </c>
      <c r="M1970" t="str">
        <f t="shared" si="92"/>
        <v>18-25</v>
      </c>
    </row>
    <row r="1971" spans="1:13" x14ac:dyDescent="0.2">
      <c r="A1971" t="s">
        <v>3929</v>
      </c>
      <c r="B1971" t="s">
        <v>3930</v>
      </c>
      <c r="C1971">
        <v>60</v>
      </c>
      <c r="D1971" t="s">
        <v>16</v>
      </c>
      <c r="E1971" t="s">
        <v>21</v>
      </c>
      <c r="F1971" s="1">
        <v>45447</v>
      </c>
      <c r="G1971" s="1">
        <v>46085</v>
      </c>
      <c r="H1971">
        <v>35</v>
      </c>
      <c r="I1971">
        <v>10</v>
      </c>
      <c r="J1971">
        <v>0</v>
      </c>
      <c r="K1971" t="str">
        <f t="shared" si="90"/>
        <v>Jun-2024</v>
      </c>
      <c r="L1971" s="1">
        <f t="shared" ca="1" si="91"/>
        <v>73</v>
      </c>
      <c r="M1971" t="str">
        <f t="shared" si="92"/>
        <v>46+</v>
      </c>
    </row>
    <row r="1972" spans="1:13" x14ac:dyDescent="0.2">
      <c r="A1972" t="s">
        <v>3931</v>
      </c>
      <c r="B1972" t="s">
        <v>3932</v>
      </c>
      <c r="C1972">
        <v>26</v>
      </c>
      <c r="D1972" t="s">
        <v>12</v>
      </c>
      <c r="E1972" t="s">
        <v>13</v>
      </c>
      <c r="F1972" s="1">
        <v>45692</v>
      </c>
      <c r="G1972" s="1">
        <v>46032</v>
      </c>
      <c r="H1972">
        <v>58</v>
      </c>
      <c r="I1972">
        <v>9</v>
      </c>
      <c r="J1972">
        <v>0</v>
      </c>
      <c r="K1972" t="str">
        <f t="shared" si="90"/>
        <v>Feb-2025</v>
      </c>
      <c r="L1972" s="1">
        <f t="shared" ca="1" si="91"/>
        <v>126</v>
      </c>
      <c r="M1972" t="str">
        <f t="shared" si="92"/>
        <v>26-35</v>
      </c>
    </row>
    <row r="1973" spans="1:13" x14ac:dyDescent="0.2">
      <c r="A1973" t="s">
        <v>3933</v>
      </c>
      <c r="B1973" t="s">
        <v>3934</v>
      </c>
      <c r="C1973">
        <v>55</v>
      </c>
      <c r="D1973" t="s">
        <v>16</v>
      </c>
      <c r="E1973" t="s">
        <v>17</v>
      </c>
      <c r="F1973" s="1">
        <v>45173</v>
      </c>
      <c r="G1973" s="1">
        <v>46043</v>
      </c>
      <c r="H1973">
        <v>46</v>
      </c>
      <c r="I1973">
        <v>8</v>
      </c>
      <c r="J1973">
        <v>1</v>
      </c>
      <c r="K1973" t="str">
        <f t="shared" si="90"/>
        <v>Sep-2023</v>
      </c>
      <c r="L1973" s="1">
        <f t="shared" ca="1" si="91"/>
        <v>115</v>
      </c>
      <c r="M1973" t="str">
        <f t="shared" si="92"/>
        <v>46+</v>
      </c>
    </row>
    <row r="1974" spans="1:13" x14ac:dyDescent="0.2">
      <c r="A1974" t="s">
        <v>3935</v>
      </c>
      <c r="B1974" t="s">
        <v>3936</v>
      </c>
      <c r="C1974">
        <v>27</v>
      </c>
      <c r="D1974" t="s">
        <v>12</v>
      </c>
      <c r="E1974" t="s">
        <v>17</v>
      </c>
      <c r="F1974" s="1">
        <v>45537</v>
      </c>
      <c r="G1974" s="1">
        <v>46121</v>
      </c>
      <c r="H1974">
        <v>64</v>
      </c>
      <c r="I1974">
        <v>1</v>
      </c>
      <c r="J1974">
        <v>0</v>
      </c>
      <c r="K1974" t="str">
        <f t="shared" si="90"/>
        <v>Sep-2024</v>
      </c>
      <c r="L1974" s="1">
        <f t="shared" ca="1" si="91"/>
        <v>37</v>
      </c>
      <c r="M1974" t="str">
        <f t="shared" si="92"/>
        <v>26-35</v>
      </c>
    </row>
    <row r="1975" spans="1:13" x14ac:dyDescent="0.2">
      <c r="A1975" t="s">
        <v>3937</v>
      </c>
      <c r="B1975" t="s">
        <v>3938</v>
      </c>
      <c r="C1975">
        <v>59</v>
      </c>
      <c r="D1975" t="s">
        <v>16</v>
      </c>
      <c r="E1975" t="s">
        <v>21</v>
      </c>
      <c r="F1975" s="1">
        <v>46052</v>
      </c>
      <c r="G1975" s="1">
        <v>46131</v>
      </c>
      <c r="H1975">
        <v>74</v>
      </c>
      <c r="I1975">
        <v>7</v>
      </c>
      <c r="J1975">
        <v>0</v>
      </c>
      <c r="K1975" t="str">
        <f t="shared" si="90"/>
        <v>Jan-2026</v>
      </c>
      <c r="L1975" s="1">
        <f t="shared" ca="1" si="91"/>
        <v>27</v>
      </c>
      <c r="M1975" t="str">
        <f t="shared" si="92"/>
        <v>46+</v>
      </c>
    </row>
    <row r="1976" spans="1:13" x14ac:dyDescent="0.2">
      <c r="A1976" t="s">
        <v>3939</v>
      </c>
      <c r="B1976" t="s">
        <v>3940</v>
      </c>
      <c r="C1976">
        <v>46</v>
      </c>
      <c r="D1976" t="s">
        <v>12</v>
      </c>
      <c r="E1976" t="s">
        <v>21</v>
      </c>
      <c r="F1976" s="1">
        <v>45871</v>
      </c>
      <c r="G1976" s="1">
        <v>46030</v>
      </c>
      <c r="H1976">
        <v>35</v>
      </c>
      <c r="I1976">
        <v>6</v>
      </c>
      <c r="J1976">
        <v>1</v>
      </c>
      <c r="K1976" t="str">
        <f t="shared" si="90"/>
        <v>Aug-2025</v>
      </c>
      <c r="L1976" s="1">
        <f t="shared" ca="1" si="91"/>
        <v>128</v>
      </c>
      <c r="M1976" t="str">
        <f t="shared" si="92"/>
        <v>46+</v>
      </c>
    </row>
    <row r="1977" spans="1:13" x14ac:dyDescent="0.2">
      <c r="A1977" t="s">
        <v>3941</v>
      </c>
      <c r="B1977" t="s">
        <v>3942</v>
      </c>
      <c r="C1977">
        <v>32</v>
      </c>
      <c r="D1977" t="s">
        <v>16</v>
      </c>
      <c r="E1977" t="s">
        <v>21</v>
      </c>
      <c r="F1977" s="1">
        <v>45322</v>
      </c>
      <c r="G1977" s="1">
        <v>46050</v>
      </c>
      <c r="H1977">
        <v>67</v>
      </c>
      <c r="I1977">
        <v>4</v>
      </c>
      <c r="J1977">
        <v>1</v>
      </c>
      <c r="K1977" t="str">
        <f t="shared" si="90"/>
        <v>Jan-2024</v>
      </c>
      <c r="L1977" s="1">
        <f t="shared" ca="1" si="91"/>
        <v>108</v>
      </c>
      <c r="M1977" t="str">
        <f t="shared" si="92"/>
        <v>26-35</v>
      </c>
    </row>
    <row r="1978" spans="1:13" x14ac:dyDescent="0.2">
      <c r="A1978" t="s">
        <v>3943</v>
      </c>
      <c r="B1978" t="s">
        <v>3944</v>
      </c>
      <c r="C1978">
        <v>49</v>
      </c>
      <c r="D1978" t="s">
        <v>20</v>
      </c>
      <c r="E1978" t="s">
        <v>13</v>
      </c>
      <c r="F1978" s="1">
        <v>45825</v>
      </c>
      <c r="G1978" s="1">
        <v>46097</v>
      </c>
      <c r="H1978">
        <v>71</v>
      </c>
      <c r="I1978">
        <v>1</v>
      </c>
      <c r="J1978">
        <v>0</v>
      </c>
      <c r="K1978" t="str">
        <f t="shared" si="90"/>
        <v>Jun-2025</v>
      </c>
      <c r="L1978" s="1">
        <f t="shared" ca="1" si="91"/>
        <v>61</v>
      </c>
      <c r="M1978" t="str">
        <f t="shared" si="92"/>
        <v>46+</v>
      </c>
    </row>
    <row r="1979" spans="1:13" x14ac:dyDescent="0.2">
      <c r="A1979" t="s">
        <v>3945</v>
      </c>
      <c r="B1979" t="s">
        <v>3946</v>
      </c>
      <c r="C1979">
        <v>44</v>
      </c>
      <c r="D1979" t="s">
        <v>20</v>
      </c>
      <c r="E1979" t="s">
        <v>21</v>
      </c>
      <c r="F1979" s="1">
        <v>46034</v>
      </c>
      <c r="G1979" s="1">
        <v>46082</v>
      </c>
      <c r="H1979">
        <v>42</v>
      </c>
      <c r="I1979">
        <v>5</v>
      </c>
      <c r="J1979">
        <v>0</v>
      </c>
      <c r="K1979" t="str">
        <f t="shared" si="90"/>
        <v>Jan-2026</v>
      </c>
      <c r="L1979" s="1">
        <f t="shared" ca="1" si="91"/>
        <v>76</v>
      </c>
      <c r="M1979" t="str">
        <f t="shared" si="92"/>
        <v>36-45</v>
      </c>
    </row>
    <row r="1980" spans="1:13" x14ac:dyDescent="0.2">
      <c r="A1980" t="s">
        <v>3947</v>
      </c>
      <c r="B1980" t="s">
        <v>3948</v>
      </c>
      <c r="C1980">
        <v>58</v>
      </c>
      <c r="D1980" t="s">
        <v>12</v>
      </c>
      <c r="E1980" t="s">
        <v>21</v>
      </c>
      <c r="F1980" s="1">
        <v>45218</v>
      </c>
      <c r="G1980" s="1">
        <v>46114</v>
      </c>
      <c r="H1980">
        <v>61</v>
      </c>
      <c r="I1980">
        <v>3</v>
      </c>
      <c r="J1980">
        <v>0</v>
      </c>
      <c r="K1980" t="str">
        <f t="shared" si="90"/>
        <v>Oct-2023</v>
      </c>
      <c r="L1980" s="1">
        <f t="shared" ca="1" si="91"/>
        <v>44</v>
      </c>
      <c r="M1980" t="str">
        <f t="shared" si="92"/>
        <v>46+</v>
      </c>
    </row>
    <row r="1981" spans="1:13" x14ac:dyDescent="0.2">
      <c r="A1981" t="s">
        <v>3949</v>
      </c>
      <c r="B1981" t="s">
        <v>3950</v>
      </c>
      <c r="C1981">
        <v>37</v>
      </c>
      <c r="D1981" t="s">
        <v>12</v>
      </c>
      <c r="E1981" t="s">
        <v>21</v>
      </c>
      <c r="F1981" s="1">
        <v>46090</v>
      </c>
      <c r="G1981" s="1">
        <v>46137</v>
      </c>
      <c r="H1981">
        <v>27</v>
      </c>
      <c r="I1981">
        <v>9</v>
      </c>
      <c r="J1981">
        <v>0</v>
      </c>
      <c r="K1981" t="str">
        <f t="shared" si="90"/>
        <v>Mar-2026</v>
      </c>
      <c r="L1981" s="1">
        <f t="shared" ca="1" si="91"/>
        <v>21</v>
      </c>
      <c r="M1981" t="str">
        <f t="shared" si="92"/>
        <v>36-45</v>
      </c>
    </row>
    <row r="1982" spans="1:13" x14ac:dyDescent="0.2">
      <c r="A1982" t="s">
        <v>3951</v>
      </c>
      <c r="B1982" t="s">
        <v>3952</v>
      </c>
      <c r="C1982">
        <v>31</v>
      </c>
      <c r="D1982" t="s">
        <v>16</v>
      </c>
      <c r="E1982" t="s">
        <v>13</v>
      </c>
      <c r="F1982" s="1">
        <v>45312</v>
      </c>
      <c r="G1982" s="1">
        <v>46140</v>
      </c>
      <c r="H1982">
        <v>80</v>
      </c>
      <c r="I1982">
        <v>10</v>
      </c>
      <c r="J1982">
        <v>0</v>
      </c>
      <c r="K1982" t="str">
        <f t="shared" si="90"/>
        <v>Jan-2024</v>
      </c>
      <c r="L1982" s="1">
        <f t="shared" ca="1" si="91"/>
        <v>18</v>
      </c>
      <c r="M1982" t="str">
        <f t="shared" si="92"/>
        <v>26-35</v>
      </c>
    </row>
    <row r="1983" spans="1:13" x14ac:dyDescent="0.2">
      <c r="A1983" t="s">
        <v>3953</v>
      </c>
      <c r="B1983" t="s">
        <v>3954</v>
      </c>
      <c r="C1983">
        <v>40</v>
      </c>
      <c r="D1983" t="s">
        <v>20</v>
      </c>
      <c r="E1983" t="s">
        <v>21</v>
      </c>
      <c r="F1983" s="1">
        <v>45984</v>
      </c>
      <c r="G1983" s="1">
        <v>46064</v>
      </c>
      <c r="H1983">
        <v>21</v>
      </c>
      <c r="I1983">
        <v>2</v>
      </c>
      <c r="J1983">
        <v>0</v>
      </c>
      <c r="K1983" t="str">
        <f t="shared" si="90"/>
        <v>Nov-2025</v>
      </c>
      <c r="L1983" s="1">
        <f t="shared" ca="1" si="91"/>
        <v>94</v>
      </c>
      <c r="M1983" t="str">
        <f t="shared" si="92"/>
        <v>36-45</v>
      </c>
    </row>
    <row r="1984" spans="1:13" x14ac:dyDescent="0.2">
      <c r="A1984" t="s">
        <v>3955</v>
      </c>
      <c r="B1984" t="s">
        <v>3956</v>
      </c>
      <c r="C1984">
        <v>46</v>
      </c>
      <c r="D1984" t="s">
        <v>20</v>
      </c>
      <c r="E1984" t="s">
        <v>17</v>
      </c>
      <c r="F1984" s="1">
        <v>45191</v>
      </c>
      <c r="G1984" s="1">
        <v>46037</v>
      </c>
      <c r="H1984">
        <v>47</v>
      </c>
      <c r="I1984">
        <v>5</v>
      </c>
      <c r="J1984">
        <v>1</v>
      </c>
      <c r="K1984" t="str">
        <f t="shared" si="90"/>
        <v>Sep-2023</v>
      </c>
      <c r="L1984" s="1">
        <f t="shared" ca="1" si="91"/>
        <v>121</v>
      </c>
      <c r="M1984" t="str">
        <f t="shared" si="92"/>
        <v>46+</v>
      </c>
    </row>
    <row r="1985" spans="1:13" x14ac:dyDescent="0.2">
      <c r="A1985" t="s">
        <v>3957</v>
      </c>
      <c r="B1985" t="s">
        <v>3958</v>
      </c>
      <c r="C1985">
        <v>45</v>
      </c>
      <c r="D1985" t="s">
        <v>20</v>
      </c>
      <c r="E1985" t="s">
        <v>21</v>
      </c>
      <c r="F1985" s="1">
        <v>45433</v>
      </c>
      <c r="G1985" s="1">
        <v>46150</v>
      </c>
      <c r="H1985">
        <v>51</v>
      </c>
      <c r="I1985">
        <v>2</v>
      </c>
      <c r="J1985">
        <v>1</v>
      </c>
      <c r="K1985" t="str">
        <f t="shared" si="90"/>
        <v>May-2024</v>
      </c>
      <c r="L1985" s="1">
        <f t="shared" ca="1" si="91"/>
        <v>8</v>
      </c>
      <c r="M1985" t="str">
        <f t="shared" si="92"/>
        <v>36-45</v>
      </c>
    </row>
    <row r="1986" spans="1:13" x14ac:dyDescent="0.2">
      <c r="A1986" t="s">
        <v>3959</v>
      </c>
      <c r="B1986" t="s">
        <v>3960</v>
      </c>
      <c r="C1986">
        <v>59</v>
      </c>
      <c r="D1986" t="s">
        <v>12</v>
      </c>
      <c r="E1986" t="s">
        <v>13</v>
      </c>
      <c r="F1986" s="1">
        <v>45849</v>
      </c>
      <c r="G1986" s="1">
        <v>46150</v>
      </c>
      <c r="H1986">
        <v>30</v>
      </c>
      <c r="I1986">
        <v>8</v>
      </c>
      <c r="J1986">
        <v>1</v>
      </c>
      <c r="K1986" t="str">
        <f t="shared" si="90"/>
        <v>Jul-2025</v>
      </c>
      <c r="L1986" s="1">
        <f t="shared" ca="1" si="91"/>
        <v>8</v>
      </c>
      <c r="M1986" t="str">
        <f t="shared" si="92"/>
        <v>46+</v>
      </c>
    </row>
    <row r="1987" spans="1:13" x14ac:dyDescent="0.2">
      <c r="A1987" t="s">
        <v>3961</v>
      </c>
      <c r="B1987" t="s">
        <v>3962</v>
      </c>
      <c r="C1987">
        <v>19</v>
      </c>
      <c r="D1987" t="s">
        <v>16</v>
      </c>
      <c r="E1987" t="s">
        <v>21</v>
      </c>
      <c r="F1987" s="1">
        <v>45701</v>
      </c>
      <c r="G1987" s="1">
        <v>46035</v>
      </c>
      <c r="H1987">
        <v>36</v>
      </c>
      <c r="I1987">
        <v>5</v>
      </c>
      <c r="J1987">
        <v>1</v>
      </c>
      <c r="K1987" t="str">
        <f t="shared" ref="K1987:K2001" si="93">TEXT(F1987,"MMM-YYYY")</f>
        <v>Feb-2025</v>
      </c>
      <c r="L1987" s="1">
        <f t="shared" ref="L1987:L2001" ca="1" si="94">TODAY()-G1987</f>
        <v>123</v>
      </c>
      <c r="M1987" t="str">
        <f t="shared" ref="M1987:M2001" si="95">IF(C1987&lt;=25,"18-25",IF(C1987&lt;=35,"26-35",IF(C1987&lt;=45,"36-45","46+")))</f>
        <v>18-25</v>
      </c>
    </row>
    <row r="1988" spans="1:13" x14ac:dyDescent="0.2">
      <c r="A1988" t="s">
        <v>3963</v>
      </c>
      <c r="B1988" t="s">
        <v>3964</v>
      </c>
      <c r="C1988">
        <v>20</v>
      </c>
      <c r="D1988" t="s">
        <v>16</v>
      </c>
      <c r="E1988" t="s">
        <v>17</v>
      </c>
      <c r="F1988" s="1">
        <v>45573</v>
      </c>
      <c r="G1988" s="1">
        <v>46131</v>
      </c>
      <c r="H1988">
        <v>33</v>
      </c>
      <c r="I1988">
        <v>8</v>
      </c>
      <c r="J1988">
        <v>0</v>
      </c>
      <c r="K1988" t="str">
        <f t="shared" si="93"/>
        <v>Oct-2024</v>
      </c>
      <c r="L1988" s="1">
        <f t="shared" ca="1" si="94"/>
        <v>27</v>
      </c>
      <c r="M1988" t="str">
        <f t="shared" si="95"/>
        <v>18-25</v>
      </c>
    </row>
    <row r="1989" spans="1:13" x14ac:dyDescent="0.2">
      <c r="A1989" t="s">
        <v>3965</v>
      </c>
      <c r="B1989" t="s">
        <v>3966</v>
      </c>
      <c r="C1989">
        <v>33</v>
      </c>
      <c r="D1989" t="s">
        <v>20</v>
      </c>
      <c r="E1989" t="s">
        <v>21</v>
      </c>
      <c r="F1989" s="1">
        <v>45394</v>
      </c>
      <c r="G1989" s="1">
        <v>46120</v>
      </c>
      <c r="H1989">
        <v>14</v>
      </c>
      <c r="I1989">
        <v>7</v>
      </c>
      <c r="J1989">
        <v>0</v>
      </c>
      <c r="K1989" t="str">
        <f t="shared" si="93"/>
        <v>Apr-2024</v>
      </c>
      <c r="L1989" s="1">
        <f t="shared" ca="1" si="94"/>
        <v>38</v>
      </c>
      <c r="M1989" t="str">
        <f t="shared" si="95"/>
        <v>26-35</v>
      </c>
    </row>
    <row r="1990" spans="1:13" x14ac:dyDescent="0.2">
      <c r="A1990" t="s">
        <v>3967</v>
      </c>
      <c r="B1990" t="s">
        <v>3968</v>
      </c>
      <c r="C1990">
        <v>38</v>
      </c>
      <c r="D1990" t="s">
        <v>16</v>
      </c>
      <c r="E1990" t="s">
        <v>21</v>
      </c>
      <c r="F1990" s="1">
        <v>45192</v>
      </c>
      <c r="G1990" s="1">
        <v>46085</v>
      </c>
      <c r="H1990">
        <v>61</v>
      </c>
      <c r="I1990">
        <v>7</v>
      </c>
      <c r="J1990">
        <v>1</v>
      </c>
      <c r="K1990" t="str">
        <f t="shared" si="93"/>
        <v>Sep-2023</v>
      </c>
      <c r="L1990" s="1">
        <f t="shared" ca="1" si="94"/>
        <v>73</v>
      </c>
      <c r="M1990" t="str">
        <f t="shared" si="95"/>
        <v>36-45</v>
      </c>
    </row>
    <row r="1991" spans="1:13" x14ac:dyDescent="0.2">
      <c r="A1991" t="s">
        <v>3969</v>
      </c>
      <c r="B1991" t="s">
        <v>3970</v>
      </c>
      <c r="C1991">
        <v>59</v>
      </c>
      <c r="D1991" t="s">
        <v>16</v>
      </c>
      <c r="E1991" t="s">
        <v>21</v>
      </c>
      <c r="F1991" s="1">
        <v>46055</v>
      </c>
      <c r="G1991" s="1">
        <v>46036</v>
      </c>
      <c r="H1991">
        <v>37</v>
      </c>
      <c r="I1991">
        <v>7</v>
      </c>
      <c r="J1991">
        <v>0</v>
      </c>
      <c r="K1991" t="str">
        <f t="shared" si="93"/>
        <v>Feb-2026</v>
      </c>
      <c r="L1991" s="1">
        <f t="shared" ca="1" si="94"/>
        <v>122</v>
      </c>
      <c r="M1991" t="str">
        <f t="shared" si="95"/>
        <v>46+</v>
      </c>
    </row>
    <row r="1992" spans="1:13" x14ac:dyDescent="0.2">
      <c r="A1992" t="s">
        <v>3971</v>
      </c>
      <c r="B1992" t="s">
        <v>3972</v>
      </c>
      <c r="C1992">
        <v>25</v>
      </c>
      <c r="D1992" t="s">
        <v>12</v>
      </c>
      <c r="E1992" t="s">
        <v>17</v>
      </c>
      <c r="F1992" s="1">
        <v>45150</v>
      </c>
      <c r="G1992" s="1">
        <v>46052</v>
      </c>
      <c r="H1992">
        <v>20</v>
      </c>
      <c r="I1992">
        <v>10</v>
      </c>
      <c r="J1992">
        <v>0</v>
      </c>
      <c r="K1992" t="str">
        <f t="shared" si="93"/>
        <v>Aug-2023</v>
      </c>
      <c r="L1992" s="1">
        <f t="shared" ca="1" si="94"/>
        <v>106</v>
      </c>
      <c r="M1992" t="str">
        <f t="shared" si="95"/>
        <v>18-25</v>
      </c>
    </row>
    <row r="1993" spans="1:13" x14ac:dyDescent="0.2">
      <c r="A1993" t="s">
        <v>3973</v>
      </c>
      <c r="B1993" t="s">
        <v>3974</v>
      </c>
      <c r="C1993">
        <v>39</v>
      </c>
      <c r="D1993" t="s">
        <v>20</v>
      </c>
      <c r="E1993" t="s">
        <v>21</v>
      </c>
      <c r="F1993" s="1">
        <v>45688</v>
      </c>
      <c r="G1993" s="1">
        <v>46056</v>
      </c>
      <c r="H1993">
        <v>32</v>
      </c>
      <c r="I1993">
        <v>8</v>
      </c>
      <c r="J1993">
        <v>0</v>
      </c>
      <c r="K1993" t="str">
        <f t="shared" si="93"/>
        <v>Jan-2025</v>
      </c>
      <c r="L1993" s="1">
        <f t="shared" ca="1" si="94"/>
        <v>102</v>
      </c>
      <c r="M1993" t="str">
        <f t="shared" si="95"/>
        <v>36-45</v>
      </c>
    </row>
    <row r="1994" spans="1:13" x14ac:dyDescent="0.2">
      <c r="A1994" t="s">
        <v>3975</v>
      </c>
      <c r="B1994" t="s">
        <v>3976</v>
      </c>
      <c r="C1994">
        <v>55</v>
      </c>
      <c r="D1994" t="s">
        <v>12</v>
      </c>
      <c r="E1994" t="s">
        <v>21</v>
      </c>
      <c r="F1994" s="1">
        <v>45221</v>
      </c>
      <c r="G1994" s="1">
        <v>46094</v>
      </c>
      <c r="H1994">
        <v>70</v>
      </c>
      <c r="I1994">
        <v>4</v>
      </c>
      <c r="J1994">
        <v>0</v>
      </c>
      <c r="K1994" t="str">
        <f t="shared" si="93"/>
        <v>Oct-2023</v>
      </c>
      <c r="L1994" s="1">
        <f t="shared" ca="1" si="94"/>
        <v>64</v>
      </c>
      <c r="M1994" t="str">
        <f t="shared" si="95"/>
        <v>46+</v>
      </c>
    </row>
    <row r="1995" spans="1:13" x14ac:dyDescent="0.2">
      <c r="A1995" t="s">
        <v>3977</v>
      </c>
      <c r="B1995" t="s">
        <v>3978</v>
      </c>
      <c r="C1995">
        <v>42</v>
      </c>
      <c r="D1995" t="s">
        <v>16</v>
      </c>
      <c r="E1995" t="s">
        <v>21</v>
      </c>
      <c r="F1995" s="1">
        <v>45804</v>
      </c>
      <c r="G1995" s="1">
        <v>46134</v>
      </c>
      <c r="H1995">
        <v>50</v>
      </c>
      <c r="I1995">
        <v>2</v>
      </c>
      <c r="J1995">
        <v>0</v>
      </c>
      <c r="K1995" t="str">
        <f t="shared" si="93"/>
        <v>May-2025</v>
      </c>
      <c r="L1995" s="1">
        <f t="shared" ca="1" si="94"/>
        <v>24</v>
      </c>
      <c r="M1995" t="str">
        <f t="shared" si="95"/>
        <v>36-45</v>
      </c>
    </row>
    <row r="1996" spans="1:13" x14ac:dyDescent="0.2">
      <c r="A1996" t="s">
        <v>3979</v>
      </c>
      <c r="B1996" t="s">
        <v>3980</v>
      </c>
      <c r="C1996">
        <v>31</v>
      </c>
      <c r="D1996" t="s">
        <v>16</v>
      </c>
      <c r="E1996" t="s">
        <v>21</v>
      </c>
      <c r="F1996" s="1">
        <v>45504</v>
      </c>
      <c r="G1996" s="1">
        <v>46031</v>
      </c>
      <c r="H1996">
        <v>5</v>
      </c>
      <c r="I1996">
        <v>5</v>
      </c>
      <c r="J1996">
        <v>0</v>
      </c>
      <c r="K1996" t="str">
        <f t="shared" si="93"/>
        <v>Jul-2024</v>
      </c>
      <c r="L1996" s="1">
        <f t="shared" ca="1" si="94"/>
        <v>127</v>
      </c>
      <c r="M1996" t="str">
        <f t="shared" si="95"/>
        <v>26-35</v>
      </c>
    </row>
    <row r="1997" spans="1:13" x14ac:dyDescent="0.2">
      <c r="A1997" t="s">
        <v>3981</v>
      </c>
      <c r="B1997" t="s">
        <v>3982</v>
      </c>
      <c r="C1997">
        <v>45</v>
      </c>
      <c r="D1997" t="s">
        <v>12</v>
      </c>
      <c r="E1997" t="s">
        <v>17</v>
      </c>
      <c r="F1997" s="1">
        <v>45567</v>
      </c>
      <c r="G1997" s="1">
        <v>46092</v>
      </c>
      <c r="H1997">
        <v>42</v>
      </c>
      <c r="I1997">
        <v>2</v>
      </c>
      <c r="J1997">
        <v>0</v>
      </c>
      <c r="K1997" t="str">
        <f t="shared" si="93"/>
        <v>Oct-2024</v>
      </c>
      <c r="L1997" s="1">
        <f t="shared" ca="1" si="94"/>
        <v>66</v>
      </c>
      <c r="M1997" t="str">
        <f t="shared" si="95"/>
        <v>36-45</v>
      </c>
    </row>
    <row r="1998" spans="1:13" x14ac:dyDescent="0.2">
      <c r="A1998" t="s">
        <v>3983</v>
      </c>
      <c r="B1998" t="s">
        <v>3984</v>
      </c>
      <c r="C1998">
        <v>24</v>
      </c>
      <c r="D1998" t="s">
        <v>12</v>
      </c>
      <c r="E1998" t="s">
        <v>17</v>
      </c>
      <c r="F1998" s="1">
        <v>45604</v>
      </c>
      <c r="G1998" s="1">
        <v>46145</v>
      </c>
      <c r="H1998">
        <v>53</v>
      </c>
      <c r="I1998">
        <v>7</v>
      </c>
      <c r="J1998">
        <v>1</v>
      </c>
      <c r="K1998" t="str">
        <f t="shared" si="93"/>
        <v>Nov-2024</v>
      </c>
      <c r="L1998" s="1">
        <f t="shared" ca="1" si="94"/>
        <v>13</v>
      </c>
      <c r="M1998" t="str">
        <f t="shared" si="95"/>
        <v>18-25</v>
      </c>
    </row>
    <row r="1999" spans="1:13" x14ac:dyDescent="0.2">
      <c r="A1999" t="s">
        <v>3985</v>
      </c>
      <c r="B1999" t="s">
        <v>3986</v>
      </c>
      <c r="C1999">
        <v>51</v>
      </c>
      <c r="D1999" t="s">
        <v>16</v>
      </c>
      <c r="E1999" t="s">
        <v>21</v>
      </c>
      <c r="F1999" s="1">
        <v>45659</v>
      </c>
      <c r="G1999" s="1">
        <v>46039</v>
      </c>
      <c r="H1999">
        <v>47</v>
      </c>
      <c r="I1999">
        <v>9</v>
      </c>
      <c r="J1999">
        <v>1</v>
      </c>
      <c r="K1999" t="str">
        <f t="shared" si="93"/>
        <v>Jan-2025</v>
      </c>
      <c r="L1999" s="1">
        <f t="shared" ca="1" si="94"/>
        <v>119</v>
      </c>
      <c r="M1999" t="str">
        <f t="shared" si="95"/>
        <v>46+</v>
      </c>
    </row>
    <row r="2000" spans="1:13" x14ac:dyDescent="0.2">
      <c r="A2000" t="s">
        <v>3987</v>
      </c>
      <c r="B2000" t="s">
        <v>3988</v>
      </c>
      <c r="C2000">
        <v>58</v>
      </c>
      <c r="D2000" t="s">
        <v>16</v>
      </c>
      <c r="E2000" t="s">
        <v>21</v>
      </c>
      <c r="F2000" s="1">
        <v>46099</v>
      </c>
      <c r="G2000" s="1">
        <v>46071</v>
      </c>
      <c r="H2000">
        <v>39</v>
      </c>
      <c r="I2000">
        <v>4</v>
      </c>
      <c r="J2000">
        <v>1</v>
      </c>
      <c r="K2000" t="str">
        <f t="shared" si="93"/>
        <v>Mar-2026</v>
      </c>
      <c r="L2000" s="1">
        <f t="shared" ca="1" si="94"/>
        <v>87</v>
      </c>
      <c r="M2000" t="str">
        <f t="shared" si="95"/>
        <v>46+</v>
      </c>
    </row>
    <row r="2001" spans="1:13" x14ac:dyDescent="0.2">
      <c r="A2001" t="s">
        <v>3989</v>
      </c>
      <c r="B2001" t="s">
        <v>3990</v>
      </c>
      <c r="C2001">
        <v>31</v>
      </c>
      <c r="D2001" t="s">
        <v>16</v>
      </c>
      <c r="E2001" t="s">
        <v>17</v>
      </c>
      <c r="F2001" s="1">
        <v>45251</v>
      </c>
      <c r="G2001" s="1">
        <v>46123</v>
      </c>
      <c r="H2001">
        <v>10</v>
      </c>
      <c r="I2001">
        <v>2</v>
      </c>
      <c r="J2001">
        <v>0</v>
      </c>
      <c r="K2001" t="str">
        <f t="shared" si="93"/>
        <v>Nov-2023</v>
      </c>
      <c r="L2001" s="1">
        <f t="shared" ca="1" si="94"/>
        <v>35</v>
      </c>
      <c r="M2001" t="str">
        <f t="shared" si="95"/>
        <v>26-35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A63-F069-1346-9638-8A80D07372D0}">
  <dimension ref="A1:F7"/>
  <sheetViews>
    <sheetView workbookViewId="0">
      <selection activeCell="C19" sqref="C19"/>
    </sheetView>
  </sheetViews>
  <sheetFormatPr baseColWidth="10" defaultRowHeight="16" x14ac:dyDescent="0.2"/>
  <cols>
    <col min="1" max="1" width="17.6640625" bestFit="1" customWidth="1"/>
    <col min="2" max="2" width="12.1640625" bestFit="1" customWidth="1"/>
    <col min="3" max="3" width="17" bestFit="1" customWidth="1"/>
  </cols>
  <sheetData>
    <row r="1" spans="1:6" x14ac:dyDescent="0.2">
      <c r="A1" t="s">
        <v>4</v>
      </c>
      <c r="B1" t="s">
        <v>9</v>
      </c>
      <c r="C1" t="s">
        <v>3991</v>
      </c>
    </row>
    <row r="2" spans="1:6" x14ac:dyDescent="0.2">
      <c r="A2" t="s">
        <v>21</v>
      </c>
      <c r="B2" t="s">
        <v>3992</v>
      </c>
      <c r="C2">
        <v>561</v>
      </c>
      <c r="E2" s="2" t="s">
        <v>3994</v>
      </c>
      <c r="F2" s="2" t="s">
        <v>3995</v>
      </c>
    </row>
    <row r="3" spans="1:6" x14ac:dyDescent="0.2">
      <c r="A3" t="s">
        <v>21</v>
      </c>
      <c r="B3" t="s">
        <v>3993</v>
      </c>
      <c r="C3">
        <v>462</v>
      </c>
      <c r="E3" t="s">
        <v>3992</v>
      </c>
      <c r="F3">
        <f>SUM(C2,C4,C6)</f>
        <v>1210</v>
      </c>
    </row>
    <row r="4" spans="1:6" x14ac:dyDescent="0.2">
      <c r="A4" t="s">
        <v>17</v>
      </c>
      <c r="B4" t="s">
        <v>3992</v>
      </c>
      <c r="C4">
        <v>387</v>
      </c>
      <c r="E4" t="s">
        <v>3993</v>
      </c>
      <c r="F4">
        <f>SUM(C3,C5,C7)</f>
        <v>790</v>
      </c>
    </row>
    <row r="5" spans="1:6" x14ac:dyDescent="0.2">
      <c r="A5" t="s">
        <v>17</v>
      </c>
      <c r="B5" t="s">
        <v>3993</v>
      </c>
      <c r="C5">
        <v>202</v>
      </c>
    </row>
    <row r="6" spans="1:6" x14ac:dyDescent="0.2">
      <c r="A6" t="s">
        <v>13</v>
      </c>
      <c r="B6" t="s">
        <v>3992</v>
      </c>
      <c r="C6">
        <v>262</v>
      </c>
    </row>
    <row r="7" spans="1:6" x14ac:dyDescent="0.2">
      <c r="A7" t="s">
        <v>13</v>
      </c>
      <c r="B7" t="s">
        <v>3993</v>
      </c>
      <c r="C7">
        <v>126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48EE-CC00-4645-B6BF-8617FB992CE0}">
  <dimension ref="A1:D4"/>
  <sheetViews>
    <sheetView workbookViewId="0">
      <selection activeCell="G5" sqref="G5"/>
    </sheetView>
  </sheetViews>
  <sheetFormatPr baseColWidth="10" defaultRowHeight="16" x14ac:dyDescent="0.2"/>
  <cols>
    <col min="1" max="1" width="17.6640625" bestFit="1" customWidth="1"/>
    <col min="2" max="2" width="17" bestFit="1" customWidth="1"/>
    <col min="3" max="3" width="20.1640625" bestFit="1" customWidth="1"/>
    <col min="4" max="4" width="12.5" bestFit="1" customWidth="1"/>
  </cols>
  <sheetData>
    <row r="1" spans="1:4" x14ac:dyDescent="0.2">
      <c r="A1" t="s">
        <v>4</v>
      </c>
      <c r="B1" t="s">
        <v>3991</v>
      </c>
      <c r="C1" t="s">
        <v>3996</v>
      </c>
      <c r="D1" t="s">
        <v>3997</v>
      </c>
    </row>
    <row r="2" spans="1:4" x14ac:dyDescent="0.2">
      <c r="A2" t="s">
        <v>13</v>
      </c>
      <c r="B2">
        <v>388</v>
      </c>
      <c r="C2">
        <v>126</v>
      </c>
      <c r="D2">
        <v>32.474229999999999</v>
      </c>
    </row>
    <row r="3" spans="1:4" x14ac:dyDescent="0.2">
      <c r="A3" t="s">
        <v>17</v>
      </c>
      <c r="B3">
        <v>589</v>
      </c>
      <c r="C3">
        <v>202</v>
      </c>
      <c r="D3">
        <v>34.29542</v>
      </c>
    </row>
    <row r="4" spans="1:4" x14ac:dyDescent="0.2">
      <c r="A4" t="s">
        <v>21</v>
      </c>
      <c r="B4">
        <v>1023</v>
      </c>
      <c r="C4">
        <v>462</v>
      </c>
      <c r="D4">
        <v>45.161290000000001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6BFC-8276-D944-BDF6-99B10C76C479}">
  <dimension ref="A3:B37"/>
  <sheetViews>
    <sheetView tabSelected="1" workbookViewId="0">
      <selection activeCell="D15" sqref="D15"/>
    </sheetView>
  </sheetViews>
  <sheetFormatPr baseColWidth="10" defaultRowHeight="16" x14ac:dyDescent="0.2"/>
  <cols>
    <col min="1" max="1" width="13" bestFit="1" customWidth="1"/>
    <col min="2" max="2" width="15.6640625" bestFit="1" customWidth="1"/>
  </cols>
  <sheetData>
    <row r="3" spans="1:2" x14ac:dyDescent="0.2">
      <c r="A3" s="3" t="s">
        <v>3999</v>
      </c>
      <c r="B3" t="s">
        <v>4034</v>
      </c>
    </row>
    <row r="4" spans="1:2" x14ac:dyDescent="0.2">
      <c r="A4" s="4" t="s">
        <v>4000</v>
      </c>
      <c r="B4">
        <v>20</v>
      </c>
    </row>
    <row r="5" spans="1:2" x14ac:dyDescent="0.2">
      <c r="A5" s="4" t="s">
        <v>4001</v>
      </c>
      <c r="B5">
        <v>28</v>
      </c>
    </row>
    <row r="6" spans="1:2" x14ac:dyDescent="0.2">
      <c r="A6" s="4" t="s">
        <v>4002</v>
      </c>
      <c r="B6">
        <v>5</v>
      </c>
    </row>
    <row r="7" spans="1:2" x14ac:dyDescent="0.2">
      <c r="A7" s="4" t="s">
        <v>4003</v>
      </c>
      <c r="B7">
        <v>20</v>
      </c>
    </row>
    <row r="8" spans="1:2" x14ac:dyDescent="0.2">
      <c r="A8" s="4" t="s">
        <v>4004</v>
      </c>
      <c r="B8">
        <v>27</v>
      </c>
    </row>
    <row r="9" spans="1:2" x14ac:dyDescent="0.2">
      <c r="A9" s="4" t="s">
        <v>4005</v>
      </c>
      <c r="B9">
        <v>25</v>
      </c>
    </row>
    <row r="10" spans="1:2" x14ac:dyDescent="0.2">
      <c r="A10" s="4" t="s">
        <v>4006</v>
      </c>
      <c r="B10">
        <v>20</v>
      </c>
    </row>
    <row r="11" spans="1:2" x14ac:dyDescent="0.2">
      <c r="A11" s="4" t="s">
        <v>4007</v>
      </c>
      <c r="B11">
        <v>28</v>
      </c>
    </row>
    <row r="12" spans="1:2" x14ac:dyDescent="0.2">
      <c r="A12" s="4" t="s">
        <v>4008</v>
      </c>
      <c r="B12">
        <v>24</v>
      </c>
    </row>
    <row r="13" spans="1:2" x14ac:dyDescent="0.2">
      <c r="A13" s="4" t="s">
        <v>4009</v>
      </c>
      <c r="B13">
        <v>19</v>
      </c>
    </row>
    <row r="14" spans="1:2" x14ac:dyDescent="0.2">
      <c r="A14" s="4" t="s">
        <v>4010</v>
      </c>
      <c r="B14">
        <v>27</v>
      </c>
    </row>
    <row r="15" spans="1:2" x14ac:dyDescent="0.2">
      <c r="A15" s="4" t="s">
        <v>4011</v>
      </c>
      <c r="B15">
        <v>36</v>
      </c>
    </row>
    <row r="16" spans="1:2" x14ac:dyDescent="0.2">
      <c r="A16" s="4" t="s">
        <v>4012</v>
      </c>
      <c r="B16">
        <v>17</v>
      </c>
    </row>
    <row r="17" spans="1:2" x14ac:dyDescent="0.2">
      <c r="A17" s="4" t="s">
        <v>4013</v>
      </c>
      <c r="B17">
        <v>27</v>
      </c>
    </row>
    <row r="18" spans="1:2" x14ac:dyDescent="0.2">
      <c r="A18" s="4" t="s">
        <v>4014</v>
      </c>
      <c r="B18">
        <v>21</v>
      </c>
    </row>
    <row r="19" spans="1:2" x14ac:dyDescent="0.2">
      <c r="A19" s="4" t="s">
        <v>4015</v>
      </c>
      <c r="B19">
        <v>24</v>
      </c>
    </row>
    <row r="20" spans="1:2" x14ac:dyDescent="0.2">
      <c r="A20" s="4" t="s">
        <v>4016</v>
      </c>
      <c r="B20">
        <v>26</v>
      </c>
    </row>
    <row r="21" spans="1:2" x14ac:dyDescent="0.2">
      <c r="A21" s="4" t="s">
        <v>4017</v>
      </c>
      <c r="B21">
        <v>20</v>
      </c>
    </row>
    <row r="22" spans="1:2" x14ac:dyDescent="0.2">
      <c r="A22" s="4" t="s">
        <v>4018</v>
      </c>
      <c r="B22">
        <v>19</v>
      </c>
    </row>
    <row r="23" spans="1:2" x14ac:dyDescent="0.2">
      <c r="A23" s="4" t="s">
        <v>4019</v>
      </c>
      <c r="B23">
        <v>19</v>
      </c>
    </row>
    <row r="24" spans="1:2" x14ac:dyDescent="0.2">
      <c r="A24" s="4" t="s">
        <v>4020</v>
      </c>
      <c r="B24">
        <v>21</v>
      </c>
    </row>
    <row r="25" spans="1:2" x14ac:dyDescent="0.2">
      <c r="A25" s="4" t="s">
        <v>4021</v>
      </c>
      <c r="B25">
        <v>37</v>
      </c>
    </row>
    <row r="26" spans="1:2" x14ac:dyDescent="0.2">
      <c r="A26" s="4" t="s">
        <v>4022</v>
      </c>
      <c r="B26">
        <v>27</v>
      </c>
    </row>
    <row r="27" spans="1:2" x14ac:dyDescent="0.2">
      <c r="A27" s="4" t="s">
        <v>4023</v>
      </c>
      <c r="B27">
        <v>26</v>
      </c>
    </row>
    <row r="28" spans="1:2" x14ac:dyDescent="0.2">
      <c r="A28" s="4" t="s">
        <v>4024</v>
      </c>
      <c r="B28">
        <v>22</v>
      </c>
    </row>
    <row r="29" spans="1:2" x14ac:dyDescent="0.2">
      <c r="A29" s="4" t="s">
        <v>4025</v>
      </c>
      <c r="B29">
        <v>22</v>
      </c>
    </row>
    <row r="30" spans="1:2" x14ac:dyDescent="0.2">
      <c r="A30" s="4" t="s">
        <v>4026</v>
      </c>
      <c r="B30">
        <v>27</v>
      </c>
    </row>
    <row r="31" spans="1:2" x14ac:dyDescent="0.2">
      <c r="A31" s="4" t="s">
        <v>4027</v>
      </c>
      <c r="B31">
        <v>27</v>
      </c>
    </row>
    <row r="32" spans="1:2" x14ac:dyDescent="0.2">
      <c r="A32" s="4" t="s">
        <v>4028</v>
      </c>
      <c r="B32">
        <v>25</v>
      </c>
    </row>
    <row r="33" spans="1:2" x14ac:dyDescent="0.2">
      <c r="A33" s="4" t="s">
        <v>4029</v>
      </c>
      <c r="B33">
        <v>29</v>
      </c>
    </row>
    <row r="34" spans="1:2" x14ac:dyDescent="0.2">
      <c r="A34" s="4" t="s">
        <v>4030</v>
      </c>
      <c r="B34">
        <v>32</v>
      </c>
    </row>
    <row r="35" spans="1:2" x14ac:dyDescent="0.2">
      <c r="A35" s="4" t="s">
        <v>4031</v>
      </c>
      <c r="B35">
        <v>22</v>
      </c>
    </row>
    <row r="36" spans="1:2" x14ac:dyDescent="0.2">
      <c r="A36" s="4" t="s">
        <v>4032</v>
      </c>
      <c r="B36">
        <v>21</v>
      </c>
    </row>
    <row r="37" spans="1:2" x14ac:dyDescent="0.2">
      <c r="A37" s="4" t="s">
        <v>4033</v>
      </c>
      <c r="B37">
        <v>790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1FCC17-CB4C-3F4F-A365-453CB57FB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CustomerSubscriptions</vt:lpstr>
      <vt:lpstr>Pie</vt:lpstr>
      <vt:lpstr>BarData</vt:lpstr>
      <vt:lpstr>LineChart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Patel</dc:creator>
  <cp:lastModifiedBy>Devan Patel</cp:lastModifiedBy>
  <dcterms:created xsi:type="dcterms:W3CDTF">2026-05-08T10:37:14Z</dcterms:created>
  <dcterms:modified xsi:type="dcterms:W3CDTF">2026-05-16T14:43:25Z</dcterms:modified>
</cp:coreProperties>
</file>